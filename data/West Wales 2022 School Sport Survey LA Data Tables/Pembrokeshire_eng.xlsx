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26.xml" ContentType="application/vnd.openxmlformats-officedocument.spreadsheetml.table+xml"/>
  <Override PartName="/xl/tables/table25.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24.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dataunit-my.sharepoint.com/personal/hrandall_dataunitwales_gov_uk/Documents/Desktop/SportWales/Final/LA/English/"/>
    </mc:Choice>
  </mc:AlternateContent>
  <xr:revisionPtr revIDLastSave="0" documentId="8_{C3DF57D4-0F48-4E73-8628-C2754BE3B0B0}" xr6:coauthVersionLast="47" xr6:coauthVersionMax="47" xr10:uidLastSave="{00000000-0000-0000-0000-000000000000}"/>
  <bookViews>
    <workbookView xWindow="33375" yWindow="-9135" windowWidth="4860" windowHeight="2400" xr2:uid="{00000000-000D-0000-FFFF-FFFF00000000}"/>
  </bookViews>
  <sheets>
    <sheet name="Contents" sheetId="1" r:id="rId1"/>
    <sheet name="Technical Information" sheetId="2" r:id="rId2"/>
    <sheet name="Sample" sheetId="3" r:id="rId3"/>
    <sheet name="Table 1" sheetId="4" r:id="rId4"/>
    <sheet name="Table 2" sheetId="5" r:id="rId5"/>
    <sheet name="Table 3" sheetId="6" r:id="rId6"/>
    <sheet name="Table 4" sheetId="7" r:id="rId7"/>
    <sheet name="Table 5" sheetId="8" r:id="rId8"/>
    <sheet name="Table 6" sheetId="9" r:id="rId9"/>
    <sheet name="Table 7a" sheetId="10" r:id="rId10"/>
    <sheet name="Table 7b" sheetId="11" r:id="rId11"/>
    <sheet name="Table 7c" sheetId="12" r:id="rId12"/>
    <sheet name="Table 8a" sheetId="13" r:id="rId13"/>
    <sheet name="Table 8b" sheetId="14" r:id="rId14"/>
    <sheet name="Table 8c" sheetId="15" r:id="rId15"/>
    <sheet name="Table 9a" sheetId="16" r:id="rId16"/>
    <sheet name="Table 9b" sheetId="17" r:id="rId17"/>
    <sheet name="Table 9c" sheetId="18" r:id="rId18"/>
    <sheet name="Table 10a" sheetId="19" r:id="rId19"/>
    <sheet name="Table 10b" sheetId="20" r:id="rId20"/>
    <sheet name="Table 10c" sheetId="21" r:id="rId21"/>
    <sheet name="Table 11a" sheetId="22" r:id="rId22"/>
    <sheet name="Table 11b" sheetId="23" r:id="rId23"/>
    <sheet name="Table 11c" sheetId="24" r:id="rId24"/>
    <sheet name="Table 12a" sheetId="25" r:id="rId25"/>
    <sheet name="Table 12b" sheetId="26" r:id="rId26"/>
    <sheet name="Table 12c" sheetId="27" r:id="rId27"/>
    <sheet name="Table 13a" sheetId="28" r:id="rId28"/>
    <sheet name="Table 13b" sheetId="29" r:id="rId29"/>
    <sheet name="Table 13c" sheetId="30" r:id="rId30"/>
    <sheet name="Table 14a" sheetId="31" r:id="rId31"/>
    <sheet name="Table 14b" sheetId="32" r:id="rId32"/>
    <sheet name="Table 15a" sheetId="33" r:id="rId33"/>
    <sheet name="Table 15b" sheetId="34" r:id="rId34"/>
    <sheet name="Table 16a" sheetId="35" r:id="rId35"/>
    <sheet name="Table 16b" sheetId="36" r:id="rId36"/>
    <sheet name="Table P1" sheetId="37" r:id="rId37"/>
    <sheet name="Table P2" sheetId="38" r:id="rId38"/>
    <sheet name="Table P3" sheetId="39" r:id="rId39"/>
    <sheet name="Table P4" sheetId="40" r:id="rId40"/>
    <sheet name="Table P5" sheetId="41" r:id="rId41"/>
    <sheet name="Table P6" sheetId="42" r:id="rId42"/>
    <sheet name="Table P7" sheetId="43" r:id="rId43"/>
    <sheet name="Table P8" sheetId="44" r:id="rId44"/>
    <sheet name="Table P9" sheetId="45" r:id="rId45"/>
    <sheet name="Table S1" sheetId="46" r:id="rId46"/>
    <sheet name="Table S2" sheetId="47" r:id="rId47"/>
    <sheet name="Table S3" sheetId="48" r:id="rId48"/>
    <sheet name="Table S4" sheetId="49" r:id="rId49"/>
    <sheet name="Table S5" sheetId="50" r:id="rId50"/>
    <sheet name="Table S6" sheetId="51" r:id="rId51"/>
    <sheet name="Table S7" sheetId="52" r:id="rId52"/>
    <sheet name="Table S8" sheetId="53" r:id="rId53"/>
    <sheet name="Table S9" sheetId="54" r:id="rId5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54" l="1"/>
  <c r="A28" i="53"/>
  <c r="A32" i="52"/>
  <c r="A32" i="51"/>
  <c r="A25" i="50"/>
  <c r="A19" i="49"/>
  <c r="A61" i="48"/>
  <c r="A61" i="47"/>
  <c r="A17" i="46"/>
  <c r="A27" i="45"/>
  <c r="A28" i="44"/>
  <c r="A32" i="43"/>
  <c r="A32" i="42"/>
  <c r="A25" i="41"/>
  <c r="A19" i="40"/>
  <c r="A61" i="39"/>
  <c r="A61" i="38"/>
  <c r="A39" i="37"/>
  <c r="A14" i="36"/>
  <c r="A13" i="35"/>
  <c r="A29" i="34"/>
  <c r="A28" i="33"/>
  <c r="A44" i="32"/>
  <c r="A43" i="31"/>
  <c r="A71" i="30"/>
  <c r="A71" i="29"/>
  <c r="A70" i="28"/>
  <c r="A71" i="27"/>
  <c r="A71" i="26"/>
  <c r="A70" i="25"/>
  <c r="A70" i="24"/>
  <c r="A23" i="23"/>
  <c r="A71" i="22"/>
  <c r="A71" i="21"/>
  <c r="A70" i="20"/>
  <c r="A52" i="19"/>
  <c r="A71" i="18"/>
  <c r="A70" i="17"/>
  <c r="A52" i="16"/>
  <c r="A71" i="15"/>
  <c r="A70" i="14"/>
  <c r="A52" i="13"/>
  <c r="A71" i="12"/>
  <c r="A70" i="11"/>
  <c r="A52" i="10"/>
  <c r="A52" i="9"/>
  <c r="A52" i="8"/>
  <c r="A52" i="7"/>
  <c r="A52" i="6"/>
  <c r="A68" i="5"/>
  <c r="A68" i="4"/>
  <c r="A60" i="1"/>
  <c r="A59" i="1"/>
  <c r="A58" i="1"/>
  <c r="A57" i="1"/>
  <c r="A56" i="1"/>
  <c r="A55" i="1"/>
  <c r="A54" i="1"/>
  <c r="A53" i="1"/>
  <c r="A52" i="1"/>
  <c r="A51" i="1"/>
  <c r="A50" i="1"/>
  <c r="A49" i="1"/>
  <c r="A48" i="1"/>
  <c r="A47" i="1"/>
  <c r="A46" i="1"/>
  <c r="A45" i="1"/>
  <c r="A44" i="1"/>
  <c r="A43" i="1"/>
  <c r="A41" i="1"/>
  <c r="A40" i="1"/>
  <c r="A39" i="1"/>
  <c r="A38" i="1"/>
  <c r="A37" i="1"/>
  <c r="A36" i="1"/>
  <c r="A34" i="1"/>
  <c r="A33" i="1"/>
  <c r="A32" i="1"/>
  <c r="A31" i="1"/>
  <c r="A30" i="1"/>
  <c r="A29" i="1"/>
  <c r="A27" i="1"/>
  <c r="A26" i="1"/>
  <c r="A25" i="1"/>
  <c r="A23" i="1"/>
  <c r="A22" i="1"/>
  <c r="A21" i="1"/>
  <c r="A20" i="1"/>
  <c r="A19" i="1"/>
  <c r="A18" i="1"/>
  <c r="A17" i="1"/>
  <c r="A16" i="1"/>
  <c r="A15" i="1"/>
  <c r="A14" i="1"/>
  <c r="A13" i="1"/>
  <c r="A12" i="1"/>
  <c r="A10" i="1"/>
  <c r="A9" i="1"/>
  <c r="A8" i="1"/>
  <c r="A7" i="1"/>
  <c r="A6" i="1"/>
  <c r="A4" i="1"/>
</calcChain>
</file>

<file path=xl/sharedStrings.xml><?xml version="1.0" encoding="utf-8"?>
<sst xmlns="http://schemas.openxmlformats.org/spreadsheetml/2006/main" count="16313" uniqueCount="562">
  <si>
    <t>Technical notes about these tables</t>
  </si>
  <si>
    <t>Notes</t>
  </si>
  <si>
    <t xml:space="preserve"> </t>
  </si>
  <si>
    <t>Time period</t>
  </si>
  <si>
    <t>Unless otherwise stated, all measures refer to participation undertaken in the school year of September 2021 to July 2022.</t>
  </si>
  <si>
    <t>Areas</t>
  </si>
  <si>
    <t>Geographical areas reported in these tables combine the following local authority areas:
Regional Sports Partnership: North Wales - Isle of Anglesey, Gwynedd, Conwy, Denbighshire, Flintshire and Wrexham
Regional Sports Partnership: Mid Wales - Powys and Ceredigion
Regional Sports Partnership: West Wales - Pembrokeshire, Carmarthenshire, Swansea and Neath Port Talbot
Regional Sports Partnership: Central South - Bridgend, The Vale of Glamorgan, Cardiff, Rhondda Cynon Taf and Merthyr Tydfil
Regional Sports Partnership: Gwent - Caerphilly, Blaenau Gwent, Torfaen, Monmouthshire and Newport</t>
  </si>
  <si>
    <t>Margin of error</t>
  </si>
  <si>
    <t>The margin of error is one way to show how close a sample statistic is to the population statistic, meaning it is possible to estimate how well the sample represents the entire population of the survey. 
Specifically, the margin of error statistic represents the range of values within which the population statistic is estimated to lie. For example, a margin of error of 2% around an estimated result of 10 means that we expect the population statistic to be between 9.8 and 10.2. 
The higher the margin of error the further the observed (sample) result is likely to be from the estimated population result. A margin of error of 0 refers to a sample size equal to the size of the population. 
The margin of error is calculated using the unweighted sample size and has only been calculated when both the sample and population sizes are available.
It is generally acceped that a sample with a margin of error below 5% will produce statistics quite close to those of the population. A sample with a margin of error below 1% will produce statistics very close to those of the population.</t>
  </si>
  <si>
    <t>Robustness of estimates</t>
  </si>
  <si>
    <t>To ensure that the School Sport Survey estimates quoted in this bulletin are robust, we have calculated the margin of error for each demographic and geographic breakdown. The margin of error has been calculated for each breakdown using the respective sample size and population size, using data from the Pupil Level Annual School Census (PLASC).</t>
  </si>
  <si>
    <t>Data cleaning</t>
  </si>
  <si>
    <t>Pupils were asked their year group and their age and in some cases the age group and age of a respondent didn't align. In these cases supporting data was used to determine whether the year group or age group was incorrect. If the correct year group could not be found then the response was removed.
Due to there not being a Special Education Needs (SEN) school within each local authority, the responses from pupils who attend SEN schools have been removed from any sub-national breakdown. These responses are included in Wales level statistics.</t>
  </si>
  <si>
    <t>Sample statistics</t>
  </si>
  <si>
    <t>Breakdown</t>
  </si>
  <si>
    <t>Unweighted sample size</t>
  </si>
  <si>
    <t>Population size</t>
  </si>
  <si>
    <t>Response rate</t>
  </si>
  <si>
    <t>Wales</t>
  </si>
  <si>
    <t>Regional Sport Partnership: West Wales</t>
  </si>
  <si>
    <t>Pembrokeshire</t>
  </si>
  <si>
    <t>Pembrokeshire demographic breakdown:</t>
  </si>
  <si>
    <t>Gender</t>
  </si>
  <si>
    <t>Boy</t>
  </si>
  <si>
    <t>Girl</t>
  </si>
  <si>
    <t>Pupils identifying as 'Other'</t>
  </si>
  <si>
    <t>I do not want to say</t>
  </si>
  <si>
    <t>Year group</t>
  </si>
  <si>
    <t>Years 3 and 4</t>
  </si>
  <si>
    <t>Years 5 and 6</t>
  </si>
  <si>
    <t>Years 7 to 9</t>
  </si>
  <si>
    <t>Years 10 and 11</t>
  </si>
  <si>
    <t>Broad year groups</t>
  </si>
  <si>
    <t>Years 3 to 6</t>
  </si>
  <si>
    <t>Years 7 to 11</t>
  </si>
  <si>
    <t>Ethnicity</t>
  </si>
  <si>
    <t>White</t>
  </si>
  <si>
    <t xml:space="preserve"> - Welsh, English, Scottish, Northern Irish or British</t>
  </si>
  <si>
    <t xml:space="preserve"> - Irish</t>
  </si>
  <si>
    <t xml:space="preserve"> - Gypsy or Irish Traveller</t>
  </si>
  <si>
    <t xml:space="preserve"> - Roma</t>
  </si>
  <si>
    <t xml:space="preserve"> - Any other White background</t>
  </si>
  <si>
    <t>Mixed / Multiple ethnic group</t>
  </si>
  <si>
    <t xml:space="preserve"> - White and Black Caribbean</t>
  </si>
  <si>
    <t xml:space="preserve"> - White and Black African</t>
  </si>
  <si>
    <t xml:space="preserve"> - White and Asian</t>
  </si>
  <si>
    <t xml:space="preserve"> - Any other Mixed or Multiple background</t>
  </si>
  <si>
    <t>Asian / Asian Welsh / Asian British</t>
  </si>
  <si>
    <t xml:space="preserve"> - Indian</t>
  </si>
  <si>
    <t xml:space="preserve"> - Pakistani</t>
  </si>
  <si>
    <t xml:space="preserve"> - Bangladeshi</t>
  </si>
  <si>
    <t xml:space="preserve"> - Chinese</t>
  </si>
  <si>
    <t xml:space="preserve"> - Any other Asian background</t>
  </si>
  <si>
    <t>Black / Black Welsh / Black British / Caribbean / African</t>
  </si>
  <si>
    <t xml:space="preserve"> - Caribbean</t>
  </si>
  <si>
    <t xml:space="preserve"> - African background</t>
  </si>
  <si>
    <t xml:space="preserve"> - Any other Black, Black British or Caribbean background</t>
  </si>
  <si>
    <t>Other ethnic group</t>
  </si>
  <si>
    <t xml:space="preserve"> - Arab</t>
  </si>
  <si>
    <t xml:space="preserve"> - Any other ethnic group</t>
  </si>
  <si>
    <t>I don't want to say</t>
  </si>
  <si>
    <t>Disability or impairment</t>
  </si>
  <si>
    <t>Any disability or impairment</t>
  </si>
  <si>
    <t>No disability or impairment</t>
  </si>
  <si>
    <t>Learning difficulty</t>
  </si>
  <si>
    <t>Any learning difficulty</t>
  </si>
  <si>
    <t>No learning difficulty</t>
  </si>
  <si>
    <t>Free School Meal (FSM) quartile</t>
  </si>
  <si>
    <t>FSM 1 - (low level of free school meal eligibility)</t>
  </si>
  <si>
    <t>FSM 2</t>
  </si>
  <si>
    <t>FSM 3</t>
  </si>
  <si>
    <t>FSM 4 - (high level of free school meal eligibility)</t>
  </si>
  <si>
    <t>Welsh speaker</t>
  </si>
  <si>
    <t>Speaks Welsh</t>
  </si>
  <si>
    <t>Does not speak Welsh</t>
  </si>
  <si>
    <t>Gender by broad year groups</t>
  </si>
  <si>
    <t>Boy: Years 3 to 6</t>
  </si>
  <si>
    <t>Boy: Years 7 to 11</t>
  </si>
  <si>
    <t>Girl: Years 3 to 6</t>
  </si>
  <si>
    <t>Girl: Years 7 to 11</t>
  </si>
  <si>
    <t>-</t>
  </si>
  <si>
    <t>Population figures for ethnicities are rounded to the nearest 5. Numbers less than 5 are suppressed.</t>
  </si>
  <si>
    <t>Table 1: Key Indicators in Pembrokeshire - by protected characteristic (percentage of pupils)</t>
  </si>
  <si>
    <t>% of pupils who participate in at least three occasions of sport per week</t>
  </si>
  <si>
    <t>% of pupils who enjoy PE lessons 'a lot'</t>
  </si>
  <si>
    <t>% of pupils who are confident in trying new sports</t>
  </si>
  <si>
    <t>% of pupils who think PE lessons and school sport help them 'a lot' to have a healthy lifestyle</t>
  </si>
  <si>
    <t>% of pupils who think that pupils' ideas about PE and school sport are listened to 'always'</t>
  </si>
  <si>
    <t>% of pupils who participate in sport in a community club at least once per week</t>
  </si>
  <si>
    <t>FSM 1</t>
  </si>
  <si>
    <t>FSM 4</t>
  </si>
  <si>
    <r>
      <t>Speaks Welsh</t>
    </r>
    <r>
      <rPr>
        <vertAlign val="superscript"/>
        <sz val="12"/>
        <rFont val="Arial"/>
      </rPr>
      <t>i</t>
    </r>
    <r>
      <rPr>
        <sz val="12"/>
        <color rgb="FF000000"/>
        <rFont val="Arial"/>
      </rPr>
      <t/>
    </r>
  </si>
  <si>
    <r>
      <rPr>
        <vertAlign val="superscript"/>
        <sz val="12"/>
        <rFont val="Arial"/>
      </rPr>
      <t>i</t>
    </r>
    <r>
      <rPr>
        <sz val="12"/>
        <color rgb="FF000000"/>
        <rFont val="Arial"/>
      </rPr>
      <t>Speaks Welsh - Includes being a fluent Welsh speaker, or can chat confidently or simply in Welsh.</t>
    </r>
  </si>
  <si>
    <t>- School level data are suppressed below 5 responses, all other data are suppressed below 30 responses.</t>
  </si>
  <si>
    <t>Source: School Sport Survey 2022</t>
  </si>
  <si>
    <t>Base: total number of survey responses in Wales is  115,167</t>
  </si>
  <si>
    <t>Base: total number of survey responses in Regional Sport Partnership: West Wales is  24,572</t>
  </si>
  <si>
    <t>Base: total number of survey responses in Pembrokeshire is  5,469</t>
  </si>
  <si>
    <t>Table 2: Number of occasions of participation per week in Pembrokeshire by protected characteristic</t>
  </si>
  <si>
    <t>No frequent activity</t>
  </si>
  <si>
    <t>Once per week</t>
  </si>
  <si>
    <t>Twice per week</t>
  </si>
  <si>
    <t>Three times a week or more</t>
  </si>
  <si>
    <t>Table 3: Three or more occasions of activity per week in Pembrokeshire (FG Indicator 38) - by school, year groups and gender (percentage of pupils)</t>
  </si>
  <si>
    <t>All</t>
  </si>
  <si>
    <t>All:
Years 3 to 6</t>
  </si>
  <si>
    <t>All:
Years 7 to 11</t>
  </si>
  <si>
    <t>Boy:
Years 3 to 6</t>
  </si>
  <si>
    <t>Boy:
Years 7 to 11</t>
  </si>
  <si>
    <t>Girl:
Years 3 to 6</t>
  </si>
  <si>
    <t>Girl:
Years 7 to 11</t>
  </si>
  <si>
    <t>Pupils identifying as 'Other':
Years 3 to 6</t>
  </si>
  <si>
    <t>Pupils identifying as 'Other':
Years 7 to 11</t>
  </si>
  <si>
    <t>I do not want to say:
Years 3 to 6</t>
  </si>
  <si>
    <t>I do not want to say:
Years 7 to 11</t>
  </si>
  <si>
    <t>Primary in Pembrokeshire: 
Years 3 to 6</t>
  </si>
  <si>
    <t>Cilgerran Church In Wales Vc School</t>
  </si>
  <si>
    <t>Cosheston Vc School</t>
  </si>
  <si>
    <t>Fenton Community Primary School</t>
  </si>
  <si>
    <t>Golden Grove CP School</t>
  </si>
  <si>
    <t>Holy Name Rc School</t>
  </si>
  <si>
    <t>Hook CP School</t>
  </si>
  <si>
    <t>Johnston Community Primary School</t>
  </si>
  <si>
    <t>Mary Immaculate Catholic School</t>
  </si>
  <si>
    <t>Milford Haven Community Primary School</t>
  </si>
  <si>
    <t>Narberth Community Primary School</t>
  </si>
  <si>
    <t>Prendergast Community Primary School</t>
  </si>
  <si>
    <t>Puncheston Community Primary School</t>
  </si>
  <si>
    <t>Roch Community School</t>
  </si>
  <si>
    <t>Sageston Community Primary School</t>
  </si>
  <si>
    <t>Spittal Church In Wales Vc School</t>
  </si>
  <si>
    <t>St Francis Catholic School</t>
  </si>
  <si>
    <t>St Teilos Rc School</t>
  </si>
  <si>
    <t>Stepaside Community Primary School</t>
  </si>
  <si>
    <t>Tenby Church In Wales Vc Primary School</t>
  </si>
  <si>
    <t>Waldo Williams Primary School</t>
  </si>
  <si>
    <t>Wolfscastle Communty Primary School</t>
  </si>
  <si>
    <t>Ysgol Bro Ingli</t>
  </si>
  <si>
    <t>Ysgol Clydau</t>
  </si>
  <si>
    <t>Ysgol Gymunedol Croesgoch</t>
  </si>
  <si>
    <t>Ysgol Gymunedol Maenclochog</t>
  </si>
  <si>
    <t>Ysgol Gynradd Gymunedol Eglwyswrw</t>
  </si>
  <si>
    <t>Ysgol Llandudoch</t>
  </si>
  <si>
    <t>Ysgol Llanychllwydog</t>
  </si>
  <si>
    <t>Ysgol Penrhyn Dewi (years 3 to 6)</t>
  </si>
  <si>
    <t>Ysgol y Frenni</t>
  </si>
  <si>
    <t>Secondary in Pembrokeshire: 
Years 7 to 11</t>
  </si>
  <si>
    <t>Haverfordwest High Vc School</t>
  </si>
  <si>
    <t>Milford Haven School</t>
  </si>
  <si>
    <t>Ysgol Bro Gwaun</t>
  </si>
  <si>
    <t>Ysgol Caer Elen (years 7 to 11)</t>
  </si>
  <si>
    <t>Ysgol Greenhill School</t>
  </si>
  <si>
    <t>Ysgol Harri Tudur / Henry Tudor School</t>
  </si>
  <si>
    <t>Ysgol Penrhyn Dewi (years 7 to 11)</t>
  </si>
  <si>
    <t>Ysgol y Preseli</t>
  </si>
  <si>
    <t>Schools that did not have a representative number of boys and girls from each year group complete the survey have not been included.</t>
  </si>
  <si>
    <t>Table 4: Number of occasions of participation per week in Pembrokeshire (percentage of pupils)</t>
  </si>
  <si>
    <t>Table 5: Frequent participation in extracurricular sport in Pembrokeshire - at least once a week (percentage of pupils)</t>
  </si>
  <si>
    <t>Table 6: Frequent participation in community sport outside of school in Pembrokeshire - at least once a week (percentage of pupils)</t>
  </si>
  <si>
    <t>Table 7a: Any participation in sport in the last year in Pembrokeshire - any setting (percentage of pupils)</t>
  </si>
  <si>
    <t>Table 7b: Any participation in sport in the last year in Pembrokeshire - any setting - by sport (percentage of pupils)</t>
  </si>
  <si>
    <t>Archery</t>
  </si>
  <si>
    <t>Athletics</t>
  </si>
  <si>
    <t>Badminton</t>
  </si>
  <si>
    <t>Basketball</t>
  </si>
  <si>
    <t>BMX</t>
  </si>
  <si>
    <t>Boccia</t>
  </si>
  <si>
    <t>Bowls (not ten-pin bowling)</t>
  </si>
  <si>
    <t>Boxing</t>
  </si>
  <si>
    <t>Canoeing or Kayaking</t>
  </si>
  <si>
    <t>Caving</t>
  </si>
  <si>
    <t>Cheerleading</t>
  </si>
  <si>
    <t>Climbing</t>
  </si>
  <si>
    <t>Cricket</t>
  </si>
  <si>
    <t>Curling</t>
  </si>
  <si>
    <t>Cycling</t>
  </si>
  <si>
    <t>Dance</t>
  </si>
  <si>
    <t>Dodgeball</t>
  </si>
  <si>
    <t>Fencing</t>
  </si>
  <si>
    <t>Field Hockey</t>
  </si>
  <si>
    <t>Fishing or Angling</t>
  </si>
  <si>
    <t>Fitness classes (e.g. aerobics, yoga, circuits)</t>
  </si>
  <si>
    <t>Football</t>
  </si>
  <si>
    <t>Goalball</t>
  </si>
  <si>
    <t>Golf</t>
  </si>
  <si>
    <t>Gymnastics</t>
  </si>
  <si>
    <t>Horse Riding</t>
  </si>
  <si>
    <t>Ice Hockey</t>
  </si>
  <si>
    <t>Judo</t>
  </si>
  <si>
    <t>Karate</t>
  </si>
  <si>
    <t>Lacrosse</t>
  </si>
  <si>
    <t>Lifesaving</t>
  </si>
  <si>
    <t>Motor sports</t>
  </si>
  <si>
    <t>Mountain biking</t>
  </si>
  <si>
    <t>Netball</t>
  </si>
  <si>
    <t>Paddleboarding</t>
  </si>
  <si>
    <t>Parkour</t>
  </si>
  <si>
    <t>Pool or Snooker</t>
  </si>
  <si>
    <t>Roller sports</t>
  </si>
  <si>
    <t>Rounders or Baseball or Softball</t>
  </si>
  <si>
    <t>Rowing</t>
  </si>
  <si>
    <t>Rugby</t>
  </si>
  <si>
    <t>Running or jogging</t>
  </si>
  <si>
    <t>Sailing</t>
  </si>
  <si>
    <t>Skateboarding</t>
  </si>
  <si>
    <t>Snowsports</t>
  </si>
  <si>
    <t>Squash</t>
  </si>
  <si>
    <t>Surfing</t>
  </si>
  <si>
    <t>Swimming</t>
  </si>
  <si>
    <t>Table tennis</t>
  </si>
  <si>
    <t>Target shooting</t>
  </si>
  <si>
    <t>Tennis or short tennis</t>
  </si>
  <si>
    <t>Trampolining</t>
  </si>
  <si>
    <t>Triathlon</t>
  </si>
  <si>
    <t>Volleyball</t>
  </si>
  <si>
    <t>Water Polo</t>
  </si>
  <si>
    <t>Weightlifting</t>
  </si>
  <si>
    <t>Wheelchair Basketball</t>
  </si>
  <si>
    <t>Wheelchair Rugby</t>
  </si>
  <si>
    <t>Wheelchair Tennis</t>
  </si>
  <si>
    <t>Windsurfing</t>
  </si>
  <si>
    <t>Wrestling</t>
  </si>
  <si>
    <t>Other sports</t>
  </si>
  <si>
    <t>Table 7c: Any participation in sport in the last year in Pembrokeshire - any setting - by sport, by school (percentage of pupils)</t>
  </si>
  <si>
    <t>Table 8a: Any participation in sport in the last year in Pembrokeshire - Extracurricular sport (percentage of pupils)</t>
  </si>
  <si>
    <t>Table 8b: Any participation in sport in the last year in Pembrokeshire - Extracurricular sport - by sport (percentage of pupils)</t>
  </si>
  <si>
    <t>Table 8c: Any participation in sport in the last year in Pembrokeshire - Extracurricular sport - by sport, by school (percentage of pupils)</t>
  </si>
  <si>
    <t>Table 9a: Any participation in sport in the last year in Pembrokeshire - Community club outside of school (percentage of pupils)</t>
  </si>
  <si>
    <t>Table 9b: Any participation in sport in the last year in Pembrokeshire - Community club outside of school - by sport (percentage of pupils)</t>
  </si>
  <si>
    <t>Table 9c: Any participation in sport in the last year in Pembrokeshire - Community club outside of school - by sport, by school (percentage of pupils)</t>
  </si>
  <si>
    <t>Table 10a: Any participation in sport in the last year in Pembrokeshire - Other settings outside of school (percentage of pupils)</t>
  </si>
  <si>
    <t>Table 10b: Any participation in sport in the last year in Pembrokeshire - Other settings outside of school - by sport (percentage of pupils)</t>
  </si>
  <si>
    <t>Table 10c: Any participation in sport in the last year in Pembrokeshire - Other settings outside of school - by sport, by school (percentage of pupils)</t>
  </si>
  <si>
    <t>Table 11a: Any participation - pupil has a disability or impairment (percentage of pupils)</t>
  </si>
  <si>
    <t>Table 11b: Any participation - pupil has a disability or impairment (percentage of pupils)</t>
  </si>
  <si>
    <t>For the sports I do, I normally take part in them.</t>
  </si>
  <si>
    <t>Using a wheelchair (only for sport)</t>
  </si>
  <si>
    <t>Using a wheelchair (for sport and at school)</t>
  </si>
  <si>
    <t>Using a power chair</t>
  </si>
  <si>
    <t xml:space="preserve">Seated on the floor or on a chair </t>
  </si>
  <si>
    <t>Standing</t>
  </si>
  <si>
    <t>With support from another person</t>
  </si>
  <si>
    <t>With a person who is my guide</t>
  </si>
  <si>
    <t xml:space="preserve">Using British Sign Language (BSL) for communication </t>
  </si>
  <si>
    <t>Using Makaton for communication</t>
  </si>
  <si>
    <t>Using a prosthetic, like a blade or arm</t>
  </si>
  <si>
    <t>Using equipment, like a frame or walking aid</t>
  </si>
  <si>
    <t>Other</t>
  </si>
  <si>
    <t xml:space="preserve">Prefer not to say </t>
  </si>
  <si>
    <t>Table 11c: Any particpation - pupil has a disability or impairment (percentage of pupils)</t>
  </si>
  <si>
    <t>Seated (using a chair or on the floor)</t>
  </si>
  <si>
    <t>Supported by a person who is my guide/another person</t>
  </si>
  <si>
    <t>Using Makaton/British Sign Language</t>
  </si>
  <si>
    <t>Prefer not to say</t>
  </si>
  <si>
    <t>Table 12a: Latent demand in Pembrokeshire, by sport (percentage of pupils)</t>
  </si>
  <si>
    <t>Table 12b: Latent demand in Pembrokeshire - by sport, by school (percentage of pupils)</t>
  </si>
  <si>
    <t>Table 12c: Latent demand - pupil has a disability or impairment (percentage of pupils)</t>
  </si>
  <si>
    <t>Table 13a: Unmet demand in Pembrokeshire, by sport (percentage of pupils)</t>
  </si>
  <si>
    <t>Table 13b: Unmet demand in Pembrokeshire - by sport, by school (percentage of pupils)</t>
  </si>
  <si>
    <t>Table 13c: Unmet demand - pupil has a disability or impairment (percentage of pupils)</t>
  </si>
  <si>
    <t>Table 14a: Motivation and attitudes in Pembrokeshire (percentage of pupils)</t>
  </si>
  <si>
    <t>How much do you think PE lessons and sport help you to have a healthy lifestyle?  </t>
  </si>
  <si>
    <t>A lot    </t>
  </si>
  <si>
    <t>A little    </t>
  </si>
  <si>
    <t>Not at all    </t>
  </si>
  <si>
    <t>I do not know</t>
  </si>
  <si>
    <t>How often do you feel your ideas about PE and school sport are listened to?</t>
  </si>
  <si>
    <t>Always    </t>
  </si>
  <si>
    <t>Sometimes    </t>
  </si>
  <si>
    <t>Never   </t>
  </si>
  <si>
    <t>I do not have ideas that I want to share  </t>
  </si>
  <si>
    <t>I do not know how to share my ideas</t>
  </si>
  <si>
    <t>How much do you enjoy PE lessons?   </t>
  </si>
  <si>
    <t>A lot  </t>
  </si>
  <si>
    <t>A little  </t>
  </si>
  <si>
    <t>Not at all  </t>
  </si>
  <si>
    <t>How much do you enjoy doing sport at after-school or lunchtime clubs?   </t>
  </si>
  <si>
    <t>A little </t>
  </si>
  <si>
    <t>I do not do sport after-school or in lunchtime clubs </t>
  </si>
  <si>
    <t>How much do you enjoy doing sport in a community club, when you are not at school?   </t>
  </si>
  <si>
    <t>I do not do sport when I am not at school </t>
  </si>
  <si>
    <t>How much do you enjoy doing sport somewhere else that is outside of school and community clubs?</t>
  </si>
  <si>
    <t>I do not do sport when I am not at school   </t>
  </si>
  <si>
    <t>How confident are you in trying new sports?  </t>
  </si>
  <si>
    <t>Very confident    </t>
  </si>
  <si>
    <t>Quite confident    </t>
  </si>
  <si>
    <t>Not very confident    </t>
  </si>
  <si>
    <t>Not confident at all</t>
  </si>
  <si>
    <t>Table 14b: Motivation and attitudes in Pembrokeshire (percentage of pupils)</t>
  </si>
  <si>
    <t>Table 15a: Motivation and attitudes in Pembrokeshire (percentage of pupils)</t>
  </si>
  <si>
    <t>I would do more sport if... (tick all that apply)</t>
  </si>
  <si>
    <t>There were more sport opportunities that suited me</t>
  </si>
  <si>
    <t>If I didn't have to get the school bus home</t>
  </si>
  <si>
    <t>If I had more time</t>
  </si>
  <si>
    <t>If it was cheaper</t>
  </si>
  <si>
    <t>If it was easier to get to</t>
  </si>
  <si>
    <t>If I had the equipment I need</t>
  </si>
  <si>
    <t>If the places I played sport in were better</t>
  </si>
  <si>
    <t>If boys and girls did sport or PE seperately</t>
  </si>
  <si>
    <t>If boys and girls did sport or PE together</t>
  </si>
  <si>
    <t>If I enjoyed PE more</t>
  </si>
  <si>
    <t>If I enjoyed sport more</t>
  </si>
  <si>
    <t>If more people in sport looked like me</t>
  </si>
  <si>
    <t>If I was more confident</t>
  </si>
  <si>
    <t>If I was better at sports</t>
  </si>
  <si>
    <r>
      <t>If I could manage my period better</t>
    </r>
    <r>
      <rPr>
        <vertAlign val="superscript"/>
        <sz val="12"/>
        <rFont val="Arial"/>
      </rPr>
      <t>i</t>
    </r>
    <r>
      <rPr>
        <sz val="12"/>
        <color rgb="FF000000"/>
        <rFont val="Arial"/>
      </rPr>
      <t/>
    </r>
  </si>
  <si>
    <t>Someone else went with me</t>
  </si>
  <si>
    <t>I do not need or want to play more sport</t>
  </si>
  <si>
    <t>Something else</t>
  </si>
  <si>
    <r>
      <rPr>
        <vertAlign val="superscript"/>
        <sz val="12"/>
        <rFont val="Arial"/>
      </rPr>
      <t>i</t>
    </r>
    <r>
      <rPr>
        <sz val="12"/>
        <color rgb="FF000000"/>
        <rFont val="Arial"/>
      </rPr>
      <t>If I could manage my period better - This response option was only available to those in Year 5 and above.</t>
    </r>
  </si>
  <si>
    <t>Table 15b: Motivation and attitudes in Pembrokeshire (percentage of pupils)</t>
  </si>
  <si>
    <t>Table 16a: Membership and volunteering in Pembrokeshire (percentage of pupils)</t>
  </si>
  <si>
    <t>Sport club membership</t>
  </si>
  <si>
    <t>Member of a sports club</t>
  </si>
  <si>
    <t>Coaching and Volunteering</t>
  </si>
  <si>
    <t>Receives coaching or training in Welsh in a club outside of school</t>
  </si>
  <si>
    <t>Volunteers or helps with a sport at school or in your community</t>
  </si>
  <si>
    <t>Table 16b: Membership and volunteering in Pembrokeshire (percentage of pupils)</t>
  </si>
  <si>
    <t>Table P1: Time allocated for curricular Physical Education (PE) in Pembrokeshire - Years 3 to 6</t>
  </si>
  <si>
    <t>Average (mean) total number of minutes dedicated to PE per week</t>
  </si>
  <si>
    <t xml:space="preserve">Percentage of schools who said some of their allocated PE time is spent elsewhere (E.g. for pupils to get changed, setting up the session, for example) </t>
  </si>
  <si>
    <t>Base: total number of survey responses in Wales is 773</t>
  </si>
  <si>
    <t>Base: total number of survey responses in Regional Sport Partnership: West Wales is 173</t>
  </si>
  <si>
    <t>Base: total number of survey responses in Pembrokeshire is 36</t>
  </si>
  <si>
    <t>Table P2: Curricular (PE) provision to pupils in school years 3 to 6 in Pembrokeshire, by sport (percentage of schools)</t>
  </si>
  <si>
    <t>Activity is provided for any of year groups 3-6</t>
  </si>
  <si>
    <t>Activity is provided for all year groups 3-6</t>
  </si>
  <si>
    <t>Activities provided: Year 3 groups</t>
  </si>
  <si>
    <t>Activities provided: Year 4 groups</t>
  </si>
  <si>
    <t>Activities provided: Year 5 groups</t>
  </si>
  <si>
    <t>Activities provided: Year 6 groups</t>
  </si>
  <si>
    <t>Health, Fitness and Well-Being Activities</t>
  </si>
  <si>
    <t>Aerobics</t>
  </si>
  <si>
    <t>Circuit activities</t>
  </si>
  <si>
    <t>Cross-country / Distance running</t>
  </si>
  <si>
    <t>Daily Active Offer / Daily Mile</t>
  </si>
  <si>
    <t>Judo / Martial Arts</t>
  </si>
  <si>
    <t>Skipping</t>
  </si>
  <si>
    <t>Step Aerobics</t>
  </si>
  <si>
    <t>Swimming (including competitive and play)</t>
  </si>
  <si>
    <t>Weight training</t>
  </si>
  <si>
    <t>Yoga</t>
  </si>
  <si>
    <t>Competitive Activities</t>
  </si>
  <si>
    <t>Baseball / Rounders / Softball</t>
  </si>
  <si>
    <t>Bowls</t>
  </si>
  <si>
    <t>Hockey</t>
  </si>
  <si>
    <t>Multi Skills</t>
  </si>
  <si>
    <t>Rugby League</t>
  </si>
  <si>
    <t>Rugby Union</t>
  </si>
  <si>
    <t>Table Tennis</t>
  </si>
  <si>
    <t>Tennis / Short Tennis</t>
  </si>
  <si>
    <t>Waterpolo</t>
  </si>
  <si>
    <t>Creative Activities</t>
  </si>
  <si>
    <t>Synchronized Swimming</t>
  </si>
  <si>
    <t>Adventurous Activities</t>
  </si>
  <si>
    <t>Canoeing</t>
  </si>
  <si>
    <t>Kayaking</t>
  </si>
  <si>
    <t>Orienteering</t>
  </si>
  <si>
    <t>Open Water Swimming</t>
  </si>
  <si>
    <t>Snow sports</t>
  </si>
  <si>
    <t>Table P3: Extracurricular provision to pupils in school years 3 to 6 in Pembrokeshire, by sport (percentage of schools)</t>
  </si>
  <si>
    <t>Mixed Sessions</t>
  </si>
  <si>
    <t>Male Only Sessions</t>
  </si>
  <si>
    <t>Female only Sessions</t>
  </si>
  <si>
    <t>Table P4: Factors affecting curricular sport provision in Pembrokeshire (percentage of schools)</t>
  </si>
  <si>
    <t>Which of the following factors influence which sports are offered at your school as part of curriculum P.E.?</t>
  </si>
  <si>
    <t>The sports facilities available at the school or in the community</t>
  </si>
  <si>
    <t>Access to the necessary sport equipment</t>
  </si>
  <si>
    <t>Staff skills</t>
  </si>
  <si>
    <t>Staff preference</t>
  </si>
  <si>
    <t>Previous staff training</t>
  </si>
  <si>
    <t>Pupil preference</t>
  </si>
  <si>
    <t>Historical precedence (i.e. we've always done it)</t>
  </si>
  <si>
    <t>Opportunities to compete locally</t>
  </si>
  <si>
    <t>Staff capacity</t>
  </si>
  <si>
    <t>Additional support</t>
  </si>
  <si>
    <t>Table P5: Provision for pupils with a Disability or Additional Learning Need in Pembrokeshire (percentage of schools)</t>
  </si>
  <si>
    <t>Is there the opportunity for disabled pupils/pupils with an impairment or Additional Learning Need (ALN) to participate in P.E. lessons</t>
  </si>
  <si>
    <t>Yes, all of the time</t>
  </si>
  <si>
    <t>Yes, some of the time</t>
  </si>
  <si>
    <t>No, but they attend specific sessions in that time (e.g. a physiotherapist attends the school)</t>
  </si>
  <si>
    <t>No, they do not participate in P.E. lessons at the school</t>
  </si>
  <si>
    <t>Do you have accessible space in school to deliver all activities inclusively for disabled pupils/pupils with an impairment or Additional Learning Need (ALN)?</t>
  </si>
  <si>
    <t>Yes</t>
  </si>
  <si>
    <t>No</t>
  </si>
  <si>
    <t>Are you confident in modifying planned task and activities to meaningfully include disabled pupils/pupils with impairment or Additional Learning Need (ALN)?</t>
  </si>
  <si>
    <t>Do you have the equipment in school which enables inclusion of disabled pupils/pupils with impairment or Additional Learning Need (ALN)?</t>
  </si>
  <si>
    <t>Do you use additional people to support inclusion of disabled pupils/pupils with impairment or Additional Learning Need (ALN) within PE sessions?</t>
  </si>
  <si>
    <t>Table P6: Opinions of PE provision, resources and support in Pembrokeshire (percentage of schools)</t>
  </si>
  <si>
    <t>Agree strongly</t>
  </si>
  <si>
    <t>Agree slightly</t>
  </si>
  <si>
    <t>Neither agree nor disagree</t>
  </si>
  <si>
    <t>Disagree slightly</t>
  </si>
  <si>
    <t>Disagree strongly</t>
  </si>
  <si>
    <t>Don't know</t>
  </si>
  <si>
    <t>Physical literacy</t>
  </si>
  <si>
    <t>The teachers at my school understand the term ‘physical literacy’</t>
  </si>
  <si>
    <t>My school regards physical literacy to be as important as numeracy and literacy</t>
  </si>
  <si>
    <t>The 2021-22 cohort of pupils at the school are motivated when they take part in P.E. and sport</t>
  </si>
  <si>
    <t>The 2021-22 cohort of pupils at the school are confident taking part in P.E.</t>
  </si>
  <si>
    <t>Resources for PE</t>
  </si>
  <si>
    <t>More time should be devoted to P.E at my school</t>
  </si>
  <si>
    <t>More time should be devoted to extracurricular sport at my school</t>
  </si>
  <si>
    <t>There are enough staff available to teach P.E. at my school</t>
  </si>
  <si>
    <t>There are enough staff available to teach extracurricular sport at my school</t>
  </si>
  <si>
    <t>There is sufficient financial support available for extracurricular sport at my school</t>
  </si>
  <si>
    <t>Training and CPD</t>
  </si>
  <si>
    <t>I am satisfied with the quality of continuous professional development (CPD) available to staff regarding P.E. provision at my school</t>
  </si>
  <si>
    <t>Our staff are released to undertake sufficient CPD for P.E. and sport</t>
  </si>
  <si>
    <t>Our staff are confident in delivery quality P.E. lessons</t>
  </si>
  <si>
    <t>Our staff are confident in their ability to teach P.E. within the new curriculum</t>
  </si>
  <si>
    <t>Our staff members have enough support/CPD to effectively engage with pupils with a disability and/or impairments, or additional learning needs (ALN) when delivering P.E. and sport</t>
  </si>
  <si>
    <t>Our staff have sufficient health and safety knowledge to safely deliver P.E. and sport</t>
  </si>
  <si>
    <t>Facilities and equipment</t>
  </si>
  <si>
    <t>The changing rooms at my school are of high-quality</t>
  </si>
  <si>
    <t>The schools’ sports facilities are of high-quality</t>
  </si>
  <si>
    <t>The school has access to sufficient facilities to provide quality P.E. and sport</t>
  </si>
  <si>
    <t>The school has access to sufficient equipment to provide quality P.E. and sport</t>
  </si>
  <si>
    <t>The quality of P.E. delivery at my school is high</t>
  </si>
  <si>
    <t>Table P7: Facilities at your School in Pembrokeshire (percentage of schools)</t>
  </si>
  <si>
    <t>Facilities used during previous 12 months by schools</t>
  </si>
  <si>
    <t>Facilities Owned by Schools</t>
  </si>
  <si>
    <t>School-owned facilities frequently used by pupils</t>
  </si>
  <si>
    <t>School-Owned facilities available for public use</t>
  </si>
  <si>
    <t>Indoor Sport Facilities</t>
  </si>
  <si>
    <t>Main sports hall (markings for at least 3 badminton courts)</t>
  </si>
  <si>
    <t>Activity hall (multi-purpose room e.g. assembly hall)</t>
  </si>
  <si>
    <t>Studio (often with mirrored wall and sprung floor)</t>
  </si>
  <si>
    <t>Gym/health and fitness suite</t>
  </si>
  <si>
    <t>Indoor tennis courts</t>
  </si>
  <si>
    <t>Squash courts</t>
  </si>
  <si>
    <t>Main swimming pool (at least 15m in length)</t>
  </si>
  <si>
    <t>Learner swimming pool (less than 15m in length)</t>
  </si>
  <si>
    <t>Changing rooms (indoor)</t>
  </si>
  <si>
    <t>Outdoor Sport Facilities</t>
  </si>
  <si>
    <t>Artificial pitch (3G/4G) with floodlights</t>
  </si>
  <si>
    <t>Artificial pitch (3G/4G) without floodlights</t>
  </si>
  <si>
    <t>Artificial pitch (sand based) with floodlights</t>
  </si>
  <si>
    <t>Artificial pitch (sand based) without floodlights</t>
  </si>
  <si>
    <t>Multi-use games area (MUGA) with floodlights</t>
  </si>
  <si>
    <t>Multi-use games area (MUGA) without floodlights</t>
  </si>
  <si>
    <t>Sports pitch with markings</t>
  </si>
  <si>
    <t>Playing field</t>
  </si>
  <si>
    <t>Outdoor tennis court(s)</t>
  </si>
  <si>
    <t>Running track (permanent)</t>
  </si>
  <si>
    <t>Cricket pitch</t>
  </si>
  <si>
    <t>Changing rooms (outdoor)</t>
  </si>
  <si>
    <t>Table P8: Life skills - Swimming in Pembrokeshire (percentage of schools)</t>
  </si>
  <si>
    <t>Years 3-6</t>
  </si>
  <si>
    <t>Who delivers your swimming lessons?</t>
  </si>
  <si>
    <t>Teachers from your school (P.E. specialists)</t>
  </si>
  <si>
    <t>Teachers from your school (not P.E. specialists)</t>
  </si>
  <si>
    <t>Learning Support Assistants from your school</t>
  </si>
  <si>
    <t>Lifeguards</t>
  </si>
  <si>
    <t>Qualified swimming teachers not based in school</t>
  </si>
  <si>
    <t>We did not deliver swimming in the current academic year at the school</t>
  </si>
  <si>
    <t>On average, on how many weeks do pupils get to experience curricular swimming during an academic year?</t>
  </si>
  <si>
    <t>0</t>
  </si>
  <si>
    <t>1 to 5</t>
  </si>
  <si>
    <t>6 to 10</t>
  </si>
  <si>
    <t>11 to 15</t>
  </si>
  <si>
    <t>16 to 20</t>
  </si>
  <si>
    <t>20+</t>
  </si>
  <si>
    <t>Generally, how is swimming delivered to pupils at the school?</t>
  </si>
  <si>
    <t>A series of intensive lessons (pupils attend swimming more than twice in one week)</t>
  </si>
  <si>
    <t>Weekly lessons as part of curricular P.E.</t>
  </si>
  <si>
    <t>Less frequent lessons</t>
  </si>
  <si>
    <t>There is not a set pattern of delivery</t>
  </si>
  <si>
    <t>Table P9: Life skills - Cycling in Pembrokeshire (percentage of schools)</t>
  </si>
  <si>
    <t>Year 3</t>
  </si>
  <si>
    <t>Year 4</t>
  </si>
  <si>
    <t>Year 5</t>
  </si>
  <si>
    <t>Year 6</t>
  </si>
  <si>
    <t>National Standards Cycle Training</t>
  </si>
  <si>
    <t>Pupils able to access National Standards Cycle Training - Level 1 &amp; Level 2 Combined</t>
  </si>
  <si>
    <t>Pupils able to access National Standards Cycle Training - Level 1</t>
  </si>
  <si>
    <t>Pupils able to access National Standards Cycle Training - Level 2</t>
  </si>
  <si>
    <t>Were there sufficient National Cycle Training Places available to meet the demand at your school?</t>
  </si>
  <si>
    <t>Was there sufficient cycling equipment to meet training demand?</t>
  </si>
  <si>
    <t>Who Provided the required equipment for National Standards Cycle Training? (Tick all that apply)</t>
  </si>
  <si>
    <t>Pupils provide their own</t>
  </si>
  <si>
    <t>School</t>
  </si>
  <si>
    <t>Charity Group</t>
  </si>
  <si>
    <t>Local Authority</t>
  </si>
  <si>
    <t>National Governing Body</t>
  </si>
  <si>
    <t>NA</t>
  </si>
  <si>
    <t>NA - Question was not asked for each year group.</t>
  </si>
  <si>
    <t>Table S1: Time allocated for curricular Physical Education (PE) in Pembrokeshire - Years 7 to 11</t>
  </si>
  <si>
    <t>Base: total number of survey responses in Wales is 182</t>
  </si>
  <si>
    <t>Base: total number of survey responses in Regional Sport Partnership: West Wales is 37</t>
  </si>
  <si>
    <t>Base: total number of survey responses in Pembrokeshire is 7</t>
  </si>
  <si>
    <t>Table S2: Curricular (PE) provision to pupils in school years 7 to 11 in Pembrokeshire, by sport (percentage of schools)</t>
  </si>
  <si>
    <t>Activity is provided for any of year groups 7-11</t>
  </si>
  <si>
    <t>Activity is provided for all year groups 7-11</t>
  </si>
  <si>
    <t>Activities provided: Year 7 groups</t>
  </si>
  <si>
    <t>Activities provided: Year 8 groups</t>
  </si>
  <si>
    <t>Activities provided: Year 9 groups</t>
  </si>
  <si>
    <t>Activities provided: Year 10 groups</t>
  </si>
  <si>
    <t>Activities provided: Year 11 groups</t>
  </si>
  <si>
    <t>Table S3: Extracurricular provision to pupils in school years 7 to 11 in Pembrokeshire, by sport (percentage of schools)</t>
  </si>
  <si>
    <t>Table S4: Factors affecting curricular sport provision in Pembrokeshire (percentage of schools)</t>
  </si>
  <si>
    <t>Table S5: Provision for pupils with a Disability or Additional Learning Need in Pembrokeshire (percentage of schools)</t>
  </si>
  <si>
    <t>Table S6: Opinions of PE provision, resources and support in Pembrokeshire (percentage of schools)</t>
  </si>
  <si>
    <t>Table S7: Facilities at your School in Pembrokeshire (percentage of schools)</t>
  </si>
  <si>
    <t>Table S8: Life skills - Swimming in Pembrokeshire (percentage of schools)</t>
  </si>
  <si>
    <t>Years 7-11</t>
  </si>
  <si>
    <t>Table S9: Life skills - Cycling in Pembrokeshire (percentage of schools)</t>
  </si>
  <si>
    <t>Year 7</t>
  </si>
  <si>
    <t>Year 8</t>
  </si>
  <si>
    <t>Year 9</t>
  </si>
  <si>
    <t>Year 10</t>
  </si>
  <si>
    <t>Year 11</t>
  </si>
  <si>
    <t>School Sport Survey 2022: Local authority results for Pembrokeshire - Years 3 to 11</t>
  </si>
  <si>
    <t>Table of Contents</t>
  </si>
  <si>
    <t>Key Performance Indicator summary</t>
  </si>
  <si>
    <t>Key Indicators</t>
  </si>
  <si>
    <t>Frequency of participation</t>
  </si>
  <si>
    <t>Number of occasions of participation per week by protected characteristic</t>
  </si>
  <si>
    <t>Three or more occasions of activity per week - by school, year groups and gender</t>
  </si>
  <si>
    <t>Number of occasions of participation per week by school</t>
  </si>
  <si>
    <t>Frequent participation in extracurricular sport (at least once a week)</t>
  </si>
  <si>
    <t>Frequent participation in community sport outside of school (at least once a week)</t>
  </si>
  <si>
    <t>Any participation in sport in the last year, by Setting</t>
  </si>
  <si>
    <t>Any setting</t>
  </si>
  <si>
    <t>- by sport</t>
  </si>
  <si>
    <t>- by sport, by school</t>
  </si>
  <si>
    <t>Extracurricular sport</t>
  </si>
  <si>
    <t>Community club outside of school</t>
  </si>
  <si>
    <t>Other settings outside of school</t>
  </si>
  <si>
    <t>Participation support for those with a disability or impairment</t>
  </si>
  <si>
    <t>Any participation, by sport</t>
  </si>
  <si>
    <t>Support required when participating</t>
  </si>
  <si>
    <t>Method of participation</t>
  </si>
  <si>
    <t>Demand</t>
  </si>
  <si>
    <t>Latent demand, by sport</t>
  </si>
  <si>
    <t>- has a disability, impairment or learning difficulty</t>
  </si>
  <si>
    <t>Unmet demand, by sport</t>
  </si>
  <si>
    <t>Motivation, Attitudes, Membership and Volunteering</t>
  </si>
  <si>
    <t>Motivation and attitudes, by age and gender</t>
  </si>
  <si>
    <t>- by school</t>
  </si>
  <si>
    <t>I would do more sport if…', by age and gender</t>
  </si>
  <si>
    <t>Membership and volunteering, by age and gender</t>
  </si>
  <si>
    <t>School Provision statistics</t>
  </si>
  <si>
    <t>Time allocated for curricular Physical Education (PE) in primary schools (school years 3 to 6)</t>
  </si>
  <si>
    <t>Curricular provision to pupils in school years 3 to 6, by sport</t>
  </si>
  <si>
    <t>Extracurricular provision to pupils in school years 3 to 6, by sport</t>
  </si>
  <si>
    <t>Factors affecting curricular sport provision in primary schools</t>
  </si>
  <si>
    <t>Provision for pupils with a Disability or Additional Learning Need in primary schools</t>
  </si>
  <si>
    <t>Opinions of PE provision, resources and support in primary schools</t>
  </si>
  <si>
    <t>Facilities in Primary Schools</t>
  </si>
  <si>
    <t>Life Skills in Primary Schools - Swimming</t>
  </si>
  <si>
    <t>Life Skills in Primary Schools - Cycling</t>
  </si>
  <si>
    <t>Time allocated for curricular Physical Education (PE) in secondary schools (school years 7 to 11)</t>
  </si>
  <si>
    <t>Curricular provision to pupils in school years 7 to 11, by sport</t>
  </si>
  <si>
    <t>Extracurricular provision to pupils in school years 7  to 11, by sport</t>
  </si>
  <si>
    <t>Factors affecting curricular sport provision in secondary schools</t>
  </si>
  <si>
    <t>Provision for pupils with a Disability or Additional Learning Need in secondary schools</t>
  </si>
  <si>
    <t>Opinions of PE provision, resources and support in secondary schools</t>
  </si>
  <si>
    <t>Facilities in Secondary Schools</t>
  </si>
  <si>
    <t>Life Skills in Secondary Schools - Swimming</t>
  </si>
  <si>
    <t>Life Skills in Secondary Schools - Cycling</t>
  </si>
  <si>
    <t>Release date: November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</si>
</sst>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font>
      <sz val="12"/>
      <color rgb="FF000000"/>
      <name val="Arial"/>
    </font>
    <font>
      <b/>
      <sz val="16"/>
      <color rgb="FF000000"/>
      <name val="Arial"/>
    </font>
    <font>
      <b/>
      <sz val="12"/>
      <color rgb="FF000000"/>
      <name val="Arial"/>
    </font>
    <font>
      <i/>
      <sz val="12"/>
      <color rgb="FF000000"/>
      <name val="Arial"/>
    </font>
    <font>
      <u/>
      <sz val="12"/>
      <color theme="10"/>
      <name val="Arial"/>
    </font>
    <font>
      <vertAlign val="superscript"/>
      <sz val="12"/>
      <name val="Arial"/>
    </font>
  </fonts>
  <fills count="4">
    <fill>
      <patternFill patternType="none"/>
    </fill>
    <fill>
      <patternFill patternType="gray125"/>
    </fill>
    <fill>
      <patternFill patternType="solid">
        <fgColor rgb="FFD9D9D9"/>
      </patternFill>
    </fill>
    <fill>
      <patternFill patternType="solid">
        <fgColor rgb="FFFFFFFF"/>
      </patternFill>
    </fill>
  </fills>
  <borders count="8">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0">
    <xf numFmtId="0" fontId="0" fillId="0" borderId="0" xfId="0"/>
    <xf numFmtId="0" fontId="1" fillId="0" borderId="0" xfId="0" applyFont="1" applyAlignment="1">
      <alignment horizontal="left" vertical="center"/>
    </xf>
    <xf numFmtId="0" fontId="0" fillId="2" borderId="0" xfId="0" applyFill="1"/>
    <xf numFmtId="0" fontId="2" fillId="2" borderId="0" xfId="0" applyFont="1" applyFill="1"/>
    <xf numFmtId="0" fontId="2" fillId="0" borderId="0" xfId="0" applyFont="1" applyAlignment="1">
      <alignment wrapText="1"/>
    </xf>
    <xf numFmtId="0" fontId="0" fillId="0" borderId="0" xfId="0" applyAlignment="1">
      <alignment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0" fillId="0" borderId="1" xfId="0" applyBorder="1"/>
    <xf numFmtId="0" fontId="1" fillId="0" borderId="2" xfId="0" applyFont="1" applyBorder="1" applyAlignment="1">
      <alignment horizontal="left" vertical="center"/>
    </xf>
    <xf numFmtId="0" fontId="0" fillId="0" borderId="3" xfId="0" applyBorder="1"/>
    <xf numFmtId="0" fontId="0" fillId="0" borderId="2" xfId="0" applyBorder="1"/>
    <xf numFmtId="3" fontId="0" fillId="0" borderId="0" xfId="0" applyNumberFormat="1"/>
    <xf numFmtId="3" fontId="0" fillId="0" borderId="2" xfId="0" applyNumberFormat="1" applyBorder="1"/>
    <xf numFmtId="164" fontId="0" fillId="0" borderId="0" xfId="0" applyNumberFormat="1"/>
    <xf numFmtId="164" fontId="0" fillId="0" borderId="2" xfId="0" applyNumberFormat="1" applyBorder="1"/>
    <xf numFmtId="165" fontId="0" fillId="0" borderId="1" xfId="0" applyNumberFormat="1" applyBorder="1"/>
    <xf numFmtId="165" fontId="0" fillId="0" borderId="3" xfId="0" applyNumberFormat="1" applyBorder="1"/>
    <xf numFmtId="3" fontId="0" fillId="0" borderId="0" xfId="0" applyNumberFormat="1" applyAlignment="1">
      <alignment horizontal="right"/>
    </xf>
    <xf numFmtId="164" fontId="0" fillId="0" borderId="0" xfId="0" applyNumberFormat="1" applyAlignment="1">
      <alignment horizontal="right"/>
    </xf>
    <xf numFmtId="165" fontId="0" fillId="0" borderId="1" xfId="0" applyNumberFormat="1" applyBorder="1" applyAlignment="1">
      <alignment horizontal="right"/>
    </xf>
    <xf numFmtId="0" fontId="2" fillId="0" borderId="1" xfId="0" applyFont="1" applyBorder="1"/>
    <xf numFmtId="0" fontId="3" fillId="0" borderId="1" xfId="0" applyFont="1" applyBorder="1"/>
    <xf numFmtId="164" fontId="0" fillId="0" borderId="1" xfId="0" applyNumberFormat="1" applyBorder="1"/>
    <xf numFmtId="164" fontId="0" fillId="0" borderId="3" xfId="0" applyNumberFormat="1" applyBorder="1"/>
    <xf numFmtId="164" fontId="0" fillId="0" borderId="1" xfId="0" applyNumberFormat="1" applyBorder="1" applyAlignment="1">
      <alignment horizontal="right"/>
    </xf>
    <xf numFmtId="0" fontId="4" fillId="0" borderId="0" xfId="0" applyFont="1"/>
    <xf numFmtId="164" fontId="0" fillId="0" borderId="2" xfId="0" applyNumberFormat="1" applyBorder="1" applyAlignment="1">
      <alignment horizontal="right"/>
    </xf>
    <xf numFmtId="164" fontId="0" fillId="0" borderId="3" xfId="0" applyNumberFormat="1" applyBorder="1" applyAlignment="1">
      <alignment horizontal="right"/>
    </xf>
    <xf numFmtId="0" fontId="0" fillId="0" borderId="0" xfId="0" applyAlignment="1">
      <alignment horizontal="center" wrapText="1"/>
    </xf>
    <xf numFmtId="0" fontId="2" fillId="0" borderId="4" xfId="0" applyFont="1" applyBorder="1" applyAlignment="1">
      <alignment horizontal="center" wrapText="1"/>
    </xf>
    <xf numFmtId="164" fontId="0" fillId="0" borderId="4" xfId="0" applyNumberFormat="1" applyBorder="1"/>
    <xf numFmtId="164" fontId="0" fillId="0" borderId="5" xfId="0" applyNumberFormat="1" applyBorder="1"/>
    <xf numFmtId="164" fontId="0" fillId="0" borderId="4" xfId="0" applyNumberFormat="1" applyBorder="1" applyAlignment="1">
      <alignment horizontal="right"/>
    </xf>
    <xf numFmtId="0" fontId="2" fillId="0" borderId="6" xfId="0" applyFont="1" applyBorder="1" applyAlignment="1">
      <alignment horizontal="center" wrapText="1"/>
    </xf>
    <xf numFmtId="164" fontId="0" fillId="0" borderId="6" xfId="0" applyNumberFormat="1" applyBorder="1"/>
    <xf numFmtId="164" fontId="0" fillId="0" borderId="7" xfId="0" applyNumberFormat="1" applyBorder="1"/>
    <xf numFmtId="0" fontId="0" fillId="0" borderId="4" xfId="0" applyBorder="1"/>
    <xf numFmtId="0" fontId="2" fillId="0" borderId="1" xfId="0" applyFont="1" applyBorder="1" applyAlignment="1">
      <alignment wrapText="1"/>
    </xf>
    <xf numFmtId="0" fontId="1" fillId="3" borderId="0" xfId="0" applyFont="1" applyFill="1" applyAlignment="1">
      <alignment horizontal="left" vertical="center"/>
    </xf>
    <xf numFmtId="0" fontId="2" fillId="3" borderId="0" xfId="0" applyFont="1" applyFill="1" applyAlignment="1">
      <alignment horizontal="left" vertical="top"/>
    </xf>
    <xf numFmtId="0" fontId="4" fillId="3" borderId="0" xfId="0" applyFont="1" applyFill="1" applyAlignment="1">
      <alignment vertical="top"/>
    </xf>
    <xf numFmtId="0" fontId="0" fillId="3" borderId="1" xfId="0" applyFill="1" applyBorder="1"/>
    <xf numFmtId="0" fontId="0" fillId="2" borderId="1" xfId="0" applyFill="1" applyBorder="1"/>
    <xf numFmtId="0" fontId="0" fillId="3" borderId="1" xfId="0" applyFill="1" applyBorder="1" applyAlignment="1">
      <alignment vertical="top"/>
    </xf>
    <xf numFmtId="0" fontId="4" fillId="3" borderId="2" xfId="0" applyFont="1" applyFill="1" applyBorder="1" applyAlignment="1">
      <alignment vertical="top"/>
    </xf>
    <xf numFmtId="0" fontId="0" fillId="3" borderId="3" xfId="0" applyFill="1" applyBorder="1"/>
    <xf numFmtId="0" fontId="0" fillId="3" borderId="3" xfId="0" applyFill="1" applyBorder="1" applyAlignment="1">
      <alignment vertical="top"/>
    </xf>
    <xf numFmtId="0" fontId="2" fillId="3"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echnicalinformation" displayName="technicalinformation" ref="A2:B7" totalsRowShown="0">
  <tableColumns count="2">
    <tableColumn id="1" xr3:uid="{00000000-0010-0000-0000-000001000000}" name="Notes"/>
    <tableColumn id="2" xr3:uid="{00000000-0010-0000-0000-000002000000}" name=" "/>
  </tableColumns>
  <tableStyleInfo name="none" showFirstColumn="0" showLastColumn="0" showRowStripes="1" showColumnStripes="0"/>
  <extLst>
    <ext xmlns:x14="http://schemas.microsoft.com/office/spreadsheetml/2009/9/main" uri="{504A1905-F514-4f6f-8877-14C23A59335A}">
      <x14:table altText="Technical Information" altTextSummary="Table with 2 columns._x000d__x000a__x000d__x000a_Column A shows a list of headings._x000d__x000a__x000d__x000a_Column B shows a description of each heading in column A._x000d__x000a__x000d__x000a_Two tables that describe the quality of the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ample" displayName="sample" ref="A2:E66" totalsRowShown="0">
  <tableColumns count="5">
    <tableColumn id="1" xr3:uid="{00000000-0010-0000-0100-000001000000}" name="Breakdown"/>
    <tableColumn id="2" xr3:uid="{00000000-0010-0000-0100-000002000000}" name="Unweighted sample size"/>
    <tableColumn id="3" xr3:uid="{00000000-0010-0000-0100-000003000000}" name="Population size"/>
    <tableColumn id="4" xr3:uid="{00000000-0010-0000-0100-000004000000}" name="Response rate"/>
    <tableColumn id="5" xr3:uid="{00000000-0010-0000-0100-000005000000}" name="Margin of error"/>
  </tableColumns>
  <tableStyleInfo name="none" showFirstColumn="0" showLastColumn="0" showRowStripes="1" showColumnStripes="0"/>
  <extLst>
    <ext xmlns:x14="http://schemas.microsoft.com/office/spreadsheetml/2009/9/main" uri="{504A1905-F514-4f6f-8877-14C23A59335A}">
      <x14:table altText="Sample" altTextSummary="Two tables that describe the quality of the data._x000d__x000a__x000d__x000a_Table 1 shows data indicating the quality of the data. Table 1 has 5 columns._x000d__x000a__x000d__x000a_Column A shows a list of demographic groups._x000d__x000a__x000d__x000a_Columns B to D show different population sizes. Column E shows the Margin of Error within the data._x000d__x000a__x000d__x000a_Table 2 shows a key for the quality of the data throughout the document._x000d__x000a__x000d__x000a_Column A shows a list of letters._x000d__x000a__x000d__x000a_Column B shows the corresponding categories of data quality._x000d__x000a_Table with 6 column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1" ref="A2:G61" totalsRowShown="0">
  <tableColumns count="7">
    <tableColumn id="1" xr3:uid="{00000000-0010-0000-0200-000001000000}" name=" "/>
    <tableColumn id="2" xr3:uid="{00000000-0010-0000-0200-000002000000}" name="% of pupils who participate in at least three occasions of sport per week"/>
    <tableColumn id="3" xr3:uid="{00000000-0010-0000-0200-000003000000}" name="% of pupils who enjoy PE lessons 'a lot'"/>
    <tableColumn id="4" xr3:uid="{00000000-0010-0000-0200-000004000000}" name="% of pupils who are confident in trying new sports"/>
    <tableColumn id="5" xr3:uid="{00000000-0010-0000-0200-000005000000}" name="% of pupils who think PE lessons and school sport help them 'a lot' to have a healthy lifestyle"/>
    <tableColumn id="6" xr3:uid="{00000000-0010-0000-0200-000006000000}" name="% of pupils who think that pupils' ideas about PE and school sport are listened to 'always'"/>
    <tableColumn id="7" xr3:uid="{00000000-0010-0000-0200-000007000000}" name="% of pupils who participate in sport in a community club at least once per week"/>
  </tableColumns>
  <tableStyleInfo name="none" showFirstColumn="0" showLastColumn="0" showRowStripes="1" showColumnStripes="0"/>
  <extLst>
    <ext xmlns:x14="http://schemas.microsoft.com/office/spreadsheetml/2009/9/main" uri="{504A1905-F514-4f6f-8877-14C23A59335A}">
      <x14:table altText="Table 1" altTextSummary="Table with 6 columns._x000d__x000a__x000d__x000a_Column A shows a list of demographic groups._x000d__x000a__x000d__x000a_Columns B to G show data from key questions from the survey._x000d__x000a__x000d__x000a_Additional technical notes and a link to the contents page sit beneath the table._x000d__x000a_Table with 5 column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2" ref="A2:E61" totalsRowShown="0">
  <tableColumns count="5">
    <tableColumn id="1" xr3:uid="{00000000-0010-0000-0300-000001000000}" name=" "/>
    <tableColumn id="2" xr3:uid="{00000000-0010-0000-0300-000002000000}" name="No frequent activity"/>
    <tableColumn id="3" xr3:uid="{00000000-0010-0000-0300-000003000000}" name="Once per week"/>
    <tableColumn id="4" xr3:uid="{00000000-0010-0000-0300-000004000000}" name="Twice per week"/>
    <tableColumn id="5" xr3:uid="{00000000-0010-0000-03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2" altTextSummary="Table with 5 columns._x000d__x000a__x000d__x000a_Column A shows a list of demographic groups._x000d__x000a__x000d__x000a_Columns B to E show the proportion of pupils participating in sport or activity across 4 levels of frequency. The levels are No frequent activity, participation once per week, participation twice per week and participation three or more times per week._x000d__x000a__x000d__x000a_Additional technical notes and a link to the contents page sit beneath the table._x000d__x000a_Table with 16 column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3" ref="A2:P45" totalsRowShown="0">
  <tableColumns count="16">
    <tableColumn id="1" xr3:uid="{00000000-0010-0000-0400-000001000000}" name=" "/>
    <tableColumn id="2" xr3:uid="{00000000-0010-0000-0400-000002000000}" name="All"/>
    <tableColumn id="3" xr3:uid="{00000000-0010-0000-0400-000003000000}" name="All:_x000a_Years 3 to 6"/>
    <tableColumn id="4" xr3:uid="{00000000-0010-0000-0400-000004000000}" name="All:_x000a_Years 7 to 11"/>
    <tableColumn id="5" xr3:uid="{00000000-0010-0000-0400-000005000000}" name="Boy"/>
    <tableColumn id="6" xr3:uid="{00000000-0010-0000-0400-000006000000}" name="Boy:_x000a_Years 3 to 6"/>
    <tableColumn id="7" xr3:uid="{00000000-0010-0000-0400-000007000000}" name="Boy:_x000a_Years 7 to 11"/>
    <tableColumn id="8" xr3:uid="{00000000-0010-0000-0400-000008000000}" name="Girl"/>
    <tableColumn id="9" xr3:uid="{00000000-0010-0000-0400-000009000000}" name="Girl:_x000a_Years 3 to 6"/>
    <tableColumn id="10" xr3:uid="{00000000-0010-0000-0400-00000A000000}" name="Girl:_x000a_Years 7 to 11"/>
    <tableColumn id="11" xr3:uid="{00000000-0010-0000-0400-00000B000000}" name="Pupils identifying as 'Other'"/>
    <tableColumn id="12" xr3:uid="{00000000-0010-0000-0400-00000C000000}" name="Pupils identifying as 'Other':_x000a_Years 3 to 6"/>
    <tableColumn id="13" xr3:uid="{00000000-0010-0000-0400-00000D000000}" name="Pupils identifying as 'Other':_x000a_Years 7 to 11"/>
    <tableColumn id="14" xr3:uid="{00000000-0010-0000-0400-00000E000000}" name="I do not want to say"/>
    <tableColumn id="15" xr3:uid="{00000000-0010-0000-0400-00000F000000}" name="I do not want to say:_x000a_Years 3 to 6"/>
    <tableColumn id="16" xr3:uid="{00000000-0010-0000-04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3"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5 column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4" ref="A2:E45" totalsRowShown="0">
  <tableColumns count="5">
    <tableColumn id="1" xr3:uid="{00000000-0010-0000-0500-000001000000}" name=" "/>
    <tableColumn id="2" xr3:uid="{00000000-0010-0000-0500-000002000000}" name="No frequent activity"/>
    <tableColumn id="3" xr3:uid="{00000000-0010-0000-0500-000003000000}" name="Once per week"/>
    <tableColumn id="4" xr3:uid="{00000000-0010-0000-0500-000004000000}" name="Twice per week"/>
    <tableColumn id="5" xr3:uid="{00000000-0010-0000-05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4" altTextSummary="Table with 5 columns._x000d__x000a__x000d__x000a_Column A shows a list of geographic levels. These levels are National, Regional Sport Partnership Areas, Local Authority and Schools._x000d__x000a__x000d__x000a_Column B, Column C, Column D and Column E show the proportion of pupils participating at each level of frequency. The levels are No frequent activity, participation once per week, twice per week and three or more times per week._x000d__x000a__x000d__x000a_Additional technical notes and a link to the contents page sit beneath the table._x000d__x000a__x000d__x000a_Table with 16 column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5" ref="A2:P45" totalsRowShown="0">
  <tableColumns count="16">
    <tableColumn id="1" xr3:uid="{00000000-0010-0000-0600-000001000000}" name=" "/>
    <tableColumn id="2" xr3:uid="{00000000-0010-0000-0600-000002000000}" name="All"/>
    <tableColumn id="3" xr3:uid="{00000000-0010-0000-0600-000003000000}" name="All:_x000a_Years 3 to 6"/>
    <tableColumn id="4" xr3:uid="{00000000-0010-0000-0600-000004000000}" name="All:_x000a_Years 7 to 11"/>
    <tableColumn id="5" xr3:uid="{00000000-0010-0000-0600-000005000000}" name="Boy"/>
    <tableColumn id="6" xr3:uid="{00000000-0010-0000-0600-000006000000}" name="Boy:_x000a_Years 3 to 6"/>
    <tableColumn id="7" xr3:uid="{00000000-0010-0000-0600-000007000000}" name="Boy:_x000a_Years 7 to 11"/>
    <tableColumn id="8" xr3:uid="{00000000-0010-0000-0600-000008000000}" name="Girl"/>
    <tableColumn id="9" xr3:uid="{00000000-0010-0000-0600-000009000000}" name="Girl:_x000a_Years 3 to 6"/>
    <tableColumn id="10" xr3:uid="{00000000-0010-0000-0600-00000A000000}" name="Girl:_x000a_Years 7 to 11"/>
    <tableColumn id="11" xr3:uid="{00000000-0010-0000-0600-00000B000000}" name="Pupils identifying as 'Other'"/>
    <tableColumn id="12" xr3:uid="{00000000-0010-0000-0600-00000C000000}" name="Pupils identifying as 'Other':_x000a_Years 3 to 6"/>
    <tableColumn id="13" xr3:uid="{00000000-0010-0000-0600-00000D000000}" name="Pupils identifying as 'Other':_x000a_Years 7 to 11"/>
    <tableColumn id="14" xr3:uid="{00000000-0010-0000-0600-00000E000000}" name="I do not want to say"/>
    <tableColumn id="15" xr3:uid="{00000000-0010-0000-0600-00000F000000}" name="I do not want to say:_x000a_Years 3 to 6"/>
    <tableColumn id="16" xr3:uid="{00000000-0010-0000-06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5"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6" displayName="table6" ref="A2:P45" totalsRowShown="0">
  <tableColumns count="16">
    <tableColumn id="1" xr3:uid="{00000000-0010-0000-0700-000001000000}" name=" "/>
    <tableColumn id="2" xr3:uid="{00000000-0010-0000-0700-000002000000}" name="All"/>
    <tableColumn id="3" xr3:uid="{00000000-0010-0000-0700-000003000000}" name="All:_x000a_Years 3 to 6"/>
    <tableColumn id="4" xr3:uid="{00000000-0010-0000-0700-000004000000}" name="All:_x000a_Years 7 to 11"/>
    <tableColumn id="5" xr3:uid="{00000000-0010-0000-0700-000005000000}" name="Boy"/>
    <tableColumn id="6" xr3:uid="{00000000-0010-0000-0700-000006000000}" name="Boy:_x000a_Years 3 to 6"/>
    <tableColumn id="7" xr3:uid="{00000000-0010-0000-0700-000007000000}" name="Boy:_x000a_Years 7 to 11"/>
    <tableColumn id="8" xr3:uid="{00000000-0010-0000-0700-000008000000}" name="Girl"/>
    <tableColumn id="9" xr3:uid="{00000000-0010-0000-0700-000009000000}" name="Girl:_x000a_Years 3 to 6"/>
    <tableColumn id="10" xr3:uid="{00000000-0010-0000-0700-00000A000000}" name="Girl:_x000a_Years 7 to 11"/>
    <tableColumn id="11" xr3:uid="{00000000-0010-0000-0700-00000B000000}" name="Pupils identifying as 'Other'"/>
    <tableColumn id="12" xr3:uid="{00000000-0010-0000-0700-00000C000000}" name="Pupils identifying as 'Other':_x000a_Years 3 to 6"/>
    <tableColumn id="13" xr3:uid="{00000000-0010-0000-0700-00000D000000}" name="Pupils identifying as 'Other':_x000a_Years 7 to 11"/>
    <tableColumn id="14" xr3:uid="{00000000-0010-0000-0700-00000E000000}" name="I do not want to say"/>
    <tableColumn id="15" xr3:uid="{00000000-0010-0000-0700-00000F000000}" name="I do not want to say:_x000a_Years 3 to 6"/>
    <tableColumn id="16" xr3:uid="{00000000-0010-0000-0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6"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7a" displayName="table7a" ref="A2:P45" totalsRowShown="0">
  <tableColumns count="16">
    <tableColumn id="1" xr3:uid="{00000000-0010-0000-0800-000001000000}" name=" "/>
    <tableColumn id="2" xr3:uid="{00000000-0010-0000-0800-000002000000}" name="All"/>
    <tableColumn id="3" xr3:uid="{00000000-0010-0000-0800-000003000000}" name="All:_x000a_Years 3 to 6"/>
    <tableColumn id="4" xr3:uid="{00000000-0010-0000-0800-000004000000}" name="All:_x000a_Years 7 to 11"/>
    <tableColumn id="5" xr3:uid="{00000000-0010-0000-0800-000005000000}" name="Boy"/>
    <tableColumn id="6" xr3:uid="{00000000-0010-0000-0800-000006000000}" name="Boy:_x000a_Years 3 to 6"/>
    <tableColumn id="7" xr3:uid="{00000000-0010-0000-0800-000007000000}" name="Boy:_x000a_Years 7 to 11"/>
    <tableColumn id="8" xr3:uid="{00000000-0010-0000-0800-000008000000}" name="Girl"/>
    <tableColumn id="9" xr3:uid="{00000000-0010-0000-0800-000009000000}" name="Girl:_x000a_Years 3 to 6"/>
    <tableColumn id="10" xr3:uid="{00000000-0010-0000-0800-00000A000000}" name="Girl:_x000a_Years 7 to 11"/>
    <tableColumn id="11" xr3:uid="{00000000-0010-0000-0800-00000B000000}" name="Pupils identifying as 'Other'"/>
    <tableColumn id="12" xr3:uid="{00000000-0010-0000-0800-00000C000000}" name="Pupils identifying as 'Other':_x000a_Years 3 to 6"/>
    <tableColumn id="13" xr3:uid="{00000000-0010-0000-0800-00000D000000}" name="Pupils identifying as 'Other':_x000a_Years 7 to 11"/>
    <tableColumn id="14" xr3:uid="{00000000-0010-0000-0800-00000E000000}" name="I do not want to say"/>
    <tableColumn id="15" xr3:uid="{00000000-0010-0000-0800-00000F000000}" name="I do not want to say:_x000a_Years 3 to 6"/>
    <tableColumn id="16" xr3:uid="{00000000-0010-0000-08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7b" displayName="table7b" ref="A2:P64" totalsRowShown="0">
  <tableColumns count="16">
    <tableColumn id="1" xr3:uid="{00000000-0010-0000-0900-000001000000}" name=" "/>
    <tableColumn id="2" xr3:uid="{00000000-0010-0000-0900-000002000000}" name="All"/>
    <tableColumn id="3" xr3:uid="{00000000-0010-0000-0900-000003000000}" name="All:_x000a_Years 3 to 6"/>
    <tableColumn id="4" xr3:uid="{00000000-0010-0000-0900-000004000000}" name="All:_x000a_Years 7 to 11"/>
    <tableColumn id="5" xr3:uid="{00000000-0010-0000-0900-000005000000}" name="Boy"/>
    <tableColumn id="6" xr3:uid="{00000000-0010-0000-0900-000006000000}" name="Boy:_x000a_Years 3 to 6"/>
    <tableColumn id="7" xr3:uid="{00000000-0010-0000-0900-000007000000}" name="Boy:_x000a_Years 7 to 11"/>
    <tableColumn id="8" xr3:uid="{00000000-0010-0000-0900-000008000000}" name="Girl"/>
    <tableColumn id="9" xr3:uid="{00000000-0010-0000-0900-000009000000}" name="Girl:_x000a_Years 3 to 6"/>
    <tableColumn id="10" xr3:uid="{00000000-0010-0000-0900-00000A000000}" name="Girl:_x000a_Years 7 to 11"/>
    <tableColumn id="11" xr3:uid="{00000000-0010-0000-0900-00000B000000}" name="Pupils identifying as 'Other'"/>
    <tableColumn id="12" xr3:uid="{00000000-0010-0000-0900-00000C000000}" name="Pupils identifying as 'Other':_x000a_Years 3 to 6"/>
    <tableColumn id="13" xr3:uid="{00000000-0010-0000-0900-00000D000000}" name="Pupils identifying as 'Other':_x000a_Years 7 to 11"/>
    <tableColumn id="14" xr3:uid="{00000000-0010-0000-0900-00000E000000}" name="I do not want to say"/>
    <tableColumn id="15" xr3:uid="{00000000-0010-0000-0900-00000F000000}" name="I do not want to say:_x000a_Years 3 to 6"/>
    <tableColumn id="16" xr3:uid="{00000000-0010-0000-09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7 column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7c" displayName="table7c" ref="A2:AR64" totalsRowShown="0">
  <tableColumns count="44">
    <tableColumn id="1" xr3:uid="{00000000-0010-0000-0A00-000001000000}" name=" "/>
    <tableColumn id="2" xr3:uid="{00000000-0010-0000-0A00-000002000000}" name="Wales"/>
    <tableColumn id="3" xr3:uid="{00000000-0010-0000-0A00-000003000000}" name="Regional Sport Partnership: West Wales"/>
    <tableColumn id="4" xr3:uid="{00000000-0010-0000-0A00-000004000000}" name="Pembrokeshire"/>
    <tableColumn id="5" xr3:uid="{00000000-0010-0000-0A00-000005000000}" name="Primary in Pembrokeshire: _x000a_Years 3 to 6"/>
    <tableColumn id="6" xr3:uid="{00000000-0010-0000-0A00-000006000000}" name="Cilgerran Church In Wales Vc School"/>
    <tableColumn id="7" xr3:uid="{00000000-0010-0000-0A00-000007000000}" name="Cosheston Vc School"/>
    <tableColumn id="8" xr3:uid="{00000000-0010-0000-0A00-000008000000}" name="Fenton Community Primary School"/>
    <tableColumn id="9" xr3:uid="{00000000-0010-0000-0A00-000009000000}" name="Golden Grove CP School"/>
    <tableColumn id="10" xr3:uid="{00000000-0010-0000-0A00-00000A000000}" name="Holy Name Rc School"/>
    <tableColumn id="11" xr3:uid="{00000000-0010-0000-0A00-00000B000000}" name="Hook CP School"/>
    <tableColumn id="12" xr3:uid="{00000000-0010-0000-0A00-00000C000000}" name="Johnston Community Primary School"/>
    <tableColumn id="13" xr3:uid="{00000000-0010-0000-0A00-00000D000000}" name="Mary Immaculate Catholic School"/>
    <tableColumn id="14" xr3:uid="{00000000-0010-0000-0A00-00000E000000}" name="Milford Haven Community Primary School"/>
    <tableColumn id="15" xr3:uid="{00000000-0010-0000-0A00-00000F000000}" name="Narberth Community Primary School"/>
    <tableColumn id="16" xr3:uid="{00000000-0010-0000-0A00-000010000000}" name="Prendergast Community Primary School"/>
    <tableColumn id="17" xr3:uid="{00000000-0010-0000-0A00-000011000000}" name="Puncheston Community Primary School"/>
    <tableColumn id="18" xr3:uid="{00000000-0010-0000-0A00-000012000000}" name="Roch Community School"/>
    <tableColumn id="19" xr3:uid="{00000000-0010-0000-0A00-000013000000}" name="Sageston Community Primary School"/>
    <tableColumn id="20" xr3:uid="{00000000-0010-0000-0A00-000014000000}" name="Spittal Church In Wales Vc School"/>
    <tableColumn id="21" xr3:uid="{00000000-0010-0000-0A00-000015000000}" name="St Francis Catholic School"/>
    <tableColumn id="22" xr3:uid="{00000000-0010-0000-0A00-000016000000}" name="St Teilos Rc School"/>
    <tableColumn id="23" xr3:uid="{00000000-0010-0000-0A00-000017000000}" name="Stepaside Community Primary School"/>
    <tableColumn id="24" xr3:uid="{00000000-0010-0000-0A00-000018000000}" name="Tenby Church In Wales Vc Primary School"/>
    <tableColumn id="25" xr3:uid="{00000000-0010-0000-0A00-000019000000}" name="Waldo Williams Primary School"/>
    <tableColumn id="26" xr3:uid="{00000000-0010-0000-0A00-00001A000000}" name="Wolfscastle Communty Primary School"/>
    <tableColumn id="27" xr3:uid="{00000000-0010-0000-0A00-00001B000000}" name="Ysgol Bro Ingli"/>
    <tableColumn id="28" xr3:uid="{00000000-0010-0000-0A00-00001C000000}" name="Ysgol Clydau"/>
    <tableColumn id="29" xr3:uid="{00000000-0010-0000-0A00-00001D000000}" name="Ysgol Gymunedol Croesgoch"/>
    <tableColumn id="30" xr3:uid="{00000000-0010-0000-0A00-00001E000000}" name="Ysgol Gymunedol Maenclochog"/>
    <tableColumn id="31" xr3:uid="{00000000-0010-0000-0A00-00001F000000}" name="Ysgol Gynradd Gymunedol Eglwyswrw"/>
    <tableColumn id="32" xr3:uid="{00000000-0010-0000-0A00-000020000000}" name="Ysgol Llandudoch"/>
    <tableColumn id="33" xr3:uid="{00000000-0010-0000-0A00-000021000000}" name="Ysgol Llanychllwydog"/>
    <tableColumn id="34" xr3:uid="{00000000-0010-0000-0A00-000022000000}" name="Ysgol Penrhyn Dewi (years 3 to 6)"/>
    <tableColumn id="35" xr3:uid="{00000000-0010-0000-0A00-000023000000}" name="Ysgol y Frenni"/>
    <tableColumn id="36" xr3:uid="{00000000-0010-0000-0A00-000024000000}" name="Secondary in Pembrokeshire: _x000a_Years 7 to 11"/>
    <tableColumn id="37" xr3:uid="{00000000-0010-0000-0A00-000025000000}" name="Haverfordwest High Vc School"/>
    <tableColumn id="38" xr3:uid="{00000000-0010-0000-0A00-000026000000}" name="Milford Haven School"/>
    <tableColumn id="39" xr3:uid="{00000000-0010-0000-0A00-000027000000}" name="Ysgol Bro Gwaun"/>
    <tableColumn id="40" xr3:uid="{00000000-0010-0000-0A00-000028000000}" name="Ysgol Caer Elen (years 7 to 11)"/>
    <tableColumn id="41" xr3:uid="{00000000-0010-0000-0A00-000029000000}" name="Ysgol Greenhill School"/>
    <tableColumn id="42" xr3:uid="{00000000-0010-0000-0A00-00002A000000}" name="Ysgol Harri Tudur / Henry Tudor School"/>
    <tableColumn id="43" xr3:uid="{00000000-0010-0000-0A00-00002B000000}" name="Ysgol Penrhyn Dewi (years 7 to 11)"/>
    <tableColumn id="44" xr3:uid="{00000000-0010-0000-0A00-00002C000000}" name="Ysgol y Preseli"/>
  </tableColumns>
  <tableStyleInfo name="none" showFirstColumn="0" showLastColumn="0" showRowStripes="1" showColumnStripes="0"/>
  <extLst>
    <ext xmlns:x14="http://schemas.microsoft.com/office/spreadsheetml/2009/9/main" uri="{504A1905-F514-4f6f-8877-14C23A59335A}">
      <x14:table altText="Table 7c" altTextSummary="Table with 27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8a" displayName="table8a" ref="A2:P45" totalsRowShown="0">
  <tableColumns count="16">
    <tableColumn id="1" xr3:uid="{00000000-0010-0000-0B00-000001000000}" name=" "/>
    <tableColumn id="2" xr3:uid="{00000000-0010-0000-0B00-000002000000}" name="All"/>
    <tableColumn id="3" xr3:uid="{00000000-0010-0000-0B00-000003000000}" name="All:_x000a_Years 3 to 6"/>
    <tableColumn id="4" xr3:uid="{00000000-0010-0000-0B00-000004000000}" name="All:_x000a_Years 7 to 11"/>
    <tableColumn id="5" xr3:uid="{00000000-0010-0000-0B00-000005000000}" name="Boy"/>
    <tableColumn id="6" xr3:uid="{00000000-0010-0000-0B00-000006000000}" name="Boy:_x000a_Years 3 to 6"/>
    <tableColumn id="7" xr3:uid="{00000000-0010-0000-0B00-000007000000}" name="Boy:_x000a_Years 7 to 11"/>
    <tableColumn id="8" xr3:uid="{00000000-0010-0000-0B00-000008000000}" name="Girl"/>
    <tableColumn id="9" xr3:uid="{00000000-0010-0000-0B00-000009000000}" name="Girl:_x000a_Years 3 to 6"/>
    <tableColumn id="10" xr3:uid="{00000000-0010-0000-0B00-00000A000000}" name="Girl:_x000a_Years 7 to 11"/>
    <tableColumn id="11" xr3:uid="{00000000-0010-0000-0B00-00000B000000}" name="Pupils identifying as 'Other'"/>
    <tableColumn id="12" xr3:uid="{00000000-0010-0000-0B00-00000C000000}" name="Pupils identifying as 'Other':_x000a_Years 3 to 6"/>
    <tableColumn id="13" xr3:uid="{00000000-0010-0000-0B00-00000D000000}" name="Pupils identifying as 'Other':_x000a_Years 7 to 11"/>
    <tableColumn id="14" xr3:uid="{00000000-0010-0000-0B00-00000E000000}" name="I do not want to say"/>
    <tableColumn id="15" xr3:uid="{00000000-0010-0000-0B00-00000F000000}" name="I do not want to say:_x000a_Years 3 to 6"/>
    <tableColumn id="16" xr3:uid="{00000000-0010-0000-0B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8b" displayName="table8b" ref="A2:P64" totalsRowShown="0">
  <tableColumns count="16">
    <tableColumn id="1" xr3:uid="{00000000-0010-0000-0C00-000001000000}" name=" "/>
    <tableColumn id="2" xr3:uid="{00000000-0010-0000-0C00-000002000000}" name="All"/>
    <tableColumn id="3" xr3:uid="{00000000-0010-0000-0C00-000003000000}" name="All:_x000a_Years 3 to 6"/>
    <tableColumn id="4" xr3:uid="{00000000-0010-0000-0C00-000004000000}" name="All:_x000a_Years 7 to 11"/>
    <tableColumn id="5" xr3:uid="{00000000-0010-0000-0C00-000005000000}" name="Boy"/>
    <tableColumn id="6" xr3:uid="{00000000-0010-0000-0C00-000006000000}" name="Boy:_x000a_Years 3 to 6"/>
    <tableColumn id="7" xr3:uid="{00000000-0010-0000-0C00-000007000000}" name="Boy:_x000a_Years 7 to 11"/>
    <tableColumn id="8" xr3:uid="{00000000-0010-0000-0C00-000008000000}" name="Girl"/>
    <tableColumn id="9" xr3:uid="{00000000-0010-0000-0C00-000009000000}" name="Girl:_x000a_Years 3 to 6"/>
    <tableColumn id="10" xr3:uid="{00000000-0010-0000-0C00-00000A000000}" name="Girl:_x000a_Years 7 to 11"/>
    <tableColumn id="11" xr3:uid="{00000000-0010-0000-0C00-00000B000000}" name="Pupils identifying as 'Other'"/>
    <tableColumn id="12" xr3:uid="{00000000-0010-0000-0C00-00000C000000}" name="Pupils identifying as 'Other':_x000a_Years 3 to 6"/>
    <tableColumn id="13" xr3:uid="{00000000-0010-0000-0C00-00000D000000}" name="Pupils identifying as 'Other':_x000a_Years 7 to 11"/>
    <tableColumn id="14" xr3:uid="{00000000-0010-0000-0C00-00000E000000}" name="I do not want to say"/>
    <tableColumn id="15" xr3:uid="{00000000-0010-0000-0C00-00000F000000}" name="I do not want to say:_x000a_Years 3 to 6"/>
    <tableColumn id="16" xr3:uid="{00000000-0010-0000-0C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8c" displayName="table8c" ref="A2:AR64" totalsRowShown="0">
  <tableColumns count="44">
    <tableColumn id="1" xr3:uid="{00000000-0010-0000-0D00-000001000000}" name=" "/>
    <tableColumn id="2" xr3:uid="{00000000-0010-0000-0D00-000002000000}" name="Wales"/>
    <tableColumn id="3" xr3:uid="{00000000-0010-0000-0D00-000003000000}" name="Regional Sport Partnership: West Wales"/>
    <tableColumn id="4" xr3:uid="{00000000-0010-0000-0D00-000004000000}" name="Pembrokeshire"/>
    <tableColumn id="5" xr3:uid="{00000000-0010-0000-0D00-000005000000}" name="Primary in Pembrokeshire: _x000a_Years 3 to 6"/>
    <tableColumn id="6" xr3:uid="{00000000-0010-0000-0D00-000006000000}" name="Cilgerran Church In Wales Vc School"/>
    <tableColumn id="7" xr3:uid="{00000000-0010-0000-0D00-000007000000}" name="Cosheston Vc School"/>
    <tableColumn id="8" xr3:uid="{00000000-0010-0000-0D00-000008000000}" name="Fenton Community Primary School"/>
    <tableColumn id="9" xr3:uid="{00000000-0010-0000-0D00-000009000000}" name="Golden Grove CP School"/>
    <tableColumn id="10" xr3:uid="{00000000-0010-0000-0D00-00000A000000}" name="Holy Name Rc School"/>
    <tableColumn id="11" xr3:uid="{00000000-0010-0000-0D00-00000B000000}" name="Hook CP School"/>
    <tableColumn id="12" xr3:uid="{00000000-0010-0000-0D00-00000C000000}" name="Johnston Community Primary School"/>
    <tableColumn id="13" xr3:uid="{00000000-0010-0000-0D00-00000D000000}" name="Mary Immaculate Catholic School"/>
    <tableColumn id="14" xr3:uid="{00000000-0010-0000-0D00-00000E000000}" name="Milford Haven Community Primary School"/>
    <tableColumn id="15" xr3:uid="{00000000-0010-0000-0D00-00000F000000}" name="Narberth Community Primary School"/>
    <tableColumn id="16" xr3:uid="{00000000-0010-0000-0D00-000010000000}" name="Prendergast Community Primary School"/>
    <tableColumn id="17" xr3:uid="{00000000-0010-0000-0D00-000011000000}" name="Puncheston Community Primary School"/>
    <tableColumn id="18" xr3:uid="{00000000-0010-0000-0D00-000012000000}" name="Roch Community School"/>
    <tableColumn id="19" xr3:uid="{00000000-0010-0000-0D00-000013000000}" name="Sageston Community Primary School"/>
    <tableColumn id="20" xr3:uid="{00000000-0010-0000-0D00-000014000000}" name="Spittal Church In Wales Vc School"/>
    <tableColumn id="21" xr3:uid="{00000000-0010-0000-0D00-000015000000}" name="St Francis Catholic School"/>
    <tableColumn id="22" xr3:uid="{00000000-0010-0000-0D00-000016000000}" name="St Teilos Rc School"/>
    <tableColumn id="23" xr3:uid="{00000000-0010-0000-0D00-000017000000}" name="Stepaside Community Primary School"/>
    <tableColumn id="24" xr3:uid="{00000000-0010-0000-0D00-000018000000}" name="Tenby Church In Wales Vc Primary School"/>
    <tableColumn id="25" xr3:uid="{00000000-0010-0000-0D00-000019000000}" name="Waldo Williams Primary School"/>
    <tableColumn id="26" xr3:uid="{00000000-0010-0000-0D00-00001A000000}" name="Wolfscastle Communty Primary School"/>
    <tableColumn id="27" xr3:uid="{00000000-0010-0000-0D00-00001B000000}" name="Ysgol Bro Ingli"/>
    <tableColumn id="28" xr3:uid="{00000000-0010-0000-0D00-00001C000000}" name="Ysgol Clydau"/>
    <tableColumn id="29" xr3:uid="{00000000-0010-0000-0D00-00001D000000}" name="Ysgol Gymunedol Croesgoch"/>
    <tableColumn id="30" xr3:uid="{00000000-0010-0000-0D00-00001E000000}" name="Ysgol Gymunedol Maenclochog"/>
    <tableColumn id="31" xr3:uid="{00000000-0010-0000-0D00-00001F000000}" name="Ysgol Gynradd Gymunedol Eglwyswrw"/>
    <tableColumn id="32" xr3:uid="{00000000-0010-0000-0D00-000020000000}" name="Ysgol Llandudoch"/>
    <tableColumn id="33" xr3:uid="{00000000-0010-0000-0D00-000021000000}" name="Ysgol Llanychllwydog"/>
    <tableColumn id="34" xr3:uid="{00000000-0010-0000-0D00-000022000000}" name="Ysgol Penrhyn Dewi (years 3 to 6)"/>
    <tableColumn id="35" xr3:uid="{00000000-0010-0000-0D00-000023000000}" name="Ysgol y Frenni"/>
    <tableColumn id="36" xr3:uid="{00000000-0010-0000-0D00-000024000000}" name="Secondary in Pembrokeshire: _x000a_Years 7 to 11"/>
    <tableColumn id="37" xr3:uid="{00000000-0010-0000-0D00-000025000000}" name="Haverfordwest High Vc School"/>
    <tableColumn id="38" xr3:uid="{00000000-0010-0000-0D00-000026000000}" name="Milford Haven School"/>
    <tableColumn id="39" xr3:uid="{00000000-0010-0000-0D00-000027000000}" name="Ysgol Bro Gwaun"/>
    <tableColumn id="40" xr3:uid="{00000000-0010-0000-0D00-000028000000}" name="Ysgol Caer Elen (years 7 to 11)"/>
    <tableColumn id="41" xr3:uid="{00000000-0010-0000-0D00-000029000000}" name="Ysgol Greenhill School"/>
    <tableColumn id="42" xr3:uid="{00000000-0010-0000-0D00-00002A000000}" name="Ysgol Harri Tudur / Henry Tudor School"/>
    <tableColumn id="43" xr3:uid="{00000000-0010-0000-0D00-00002B000000}" name="Ysgol Penrhyn Dewi (years 7 to 11)"/>
    <tableColumn id="44" xr3:uid="{00000000-0010-0000-0D00-00002C000000}" name="Ysgol y Preseli"/>
  </tableColumns>
  <tableStyleInfo name="none" showFirstColumn="0" showLastColumn="0" showRowStripes="1" showColumnStripes="0"/>
  <extLst>
    <ext xmlns:x14="http://schemas.microsoft.com/office/spreadsheetml/2009/9/main" uri="{504A1905-F514-4f6f-8877-14C23A59335A}">
      <x14:table altText="Table 8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9a" displayName="table9a" ref="A2:P45" totalsRowShown="0">
  <tableColumns count="16">
    <tableColumn id="1" xr3:uid="{00000000-0010-0000-0E00-000001000000}" name=" "/>
    <tableColumn id="2" xr3:uid="{00000000-0010-0000-0E00-000002000000}" name="All"/>
    <tableColumn id="3" xr3:uid="{00000000-0010-0000-0E00-000003000000}" name="All:_x000a_Years 3 to 6"/>
    <tableColumn id="4" xr3:uid="{00000000-0010-0000-0E00-000004000000}" name="All:_x000a_Years 7 to 11"/>
    <tableColumn id="5" xr3:uid="{00000000-0010-0000-0E00-000005000000}" name="Boy"/>
    <tableColumn id="6" xr3:uid="{00000000-0010-0000-0E00-000006000000}" name="Boy:_x000a_Years 3 to 6"/>
    <tableColumn id="7" xr3:uid="{00000000-0010-0000-0E00-000007000000}" name="Boy:_x000a_Years 7 to 11"/>
    <tableColumn id="8" xr3:uid="{00000000-0010-0000-0E00-000008000000}" name="Girl"/>
    <tableColumn id="9" xr3:uid="{00000000-0010-0000-0E00-000009000000}" name="Girl:_x000a_Years 3 to 6"/>
    <tableColumn id="10" xr3:uid="{00000000-0010-0000-0E00-00000A000000}" name="Girl:_x000a_Years 7 to 11"/>
    <tableColumn id="11" xr3:uid="{00000000-0010-0000-0E00-00000B000000}" name="Pupils identifying as 'Other'"/>
    <tableColumn id="12" xr3:uid="{00000000-0010-0000-0E00-00000C000000}" name="Pupils identifying as 'Other':_x000a_Years 3 to 6"/>
    <tableColumn id="13" xr3:uid="{00000000-0010-0000-0E00-00000D000000}" name="Pupils identifying as 'Other':_x000a_Years 7 to 11"/>
    <tableColumn id="14" xr3:uid="{00000000-0010-0000-0E00-00000E000000}" name="I do not want to say"/>
    <tableColumn id="15" xr3:uid="{00000000-0010-0000-0E00-00000F000000}" name="I do not want to say:_x000a_Years 3 to 6"/>
    <tableColumn id="16" xr3:uid="{00000000-0010-0000-0E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9b" displayName="table9b" ref="A2:P64" totalsRowShown="0">
  <tableColumns count="16">
    <tableColumn id="1" xr3:uid="{00000000-0010-0000-0F00-000001000000}" name=" "/>
    <tableColumn id="2" xr3:uid="{00000000-0010-0000-0F00-000002000000}" name="All"/>
    <tableColumn id="3" xr3:uid="{00000000-0010-0000-0F00-000003000000}" name="All:_x000a_Years 3 to 6"/>
    <tableColumn id="4" xr3:uid="{00000000-0010-0000-0F00-000004000000}" name="All:_x000a_Years 7 to 11"/>
    <tableColumn id="5" xr3:uid="{00000000-0010-0000-0F00-000005000000}" name="Boy"/>
    <tableColumn id="6" xr3:uid="{00000000-0010-0000-0F00-000006000000}" name="Boy:_x000a_Years 3 to 6"/>
    <tableColumn id="7" xr3:uid="{00000000-0010-0000-0F00-000007000000}" name="Boy:_x000a_Years 7 to 11"/>
    <tableColumn id="8" xr3:uid="{00000000-0010-0000-0F00-000008000000}" name="Girl"/>
    <tableColumn id="9" xr3:uid="{00000000-0010-0000-0F00-000009000000}" name="Girl:_x000a_Years 3 to 6"/>
    <tableColumn id="10" xr3:uid="{00000000-0010-0000-0F00-00000A000000}" name="Girl:_x000a_Years 7 to 11"/>
    <tableColumn id="11" xr3:uid="{00000000-0010-0000-0F00-00000B000000}" name="Pupils identifying as 'Other'"/>
    <tableColumn id="12" xr3:uid="{00000000-0010-0000-0F00-00000C000000}" name="Pupils identifying as 'Other':_x000a_Years 3 to 6"/>
    <tableColumn id="13" xr3:uid="{00000000-0010-0000-0F00-00000D000000}" name="Pupils identifying as 'Other':_x000a_Years 7 to 11"/>
    <tableColumn id="14" xr3:uid="{00000000-0010-0000-0F00-00000E000000}" name="I do not want to say"/>
    <tableColumn id="15" xr3:uid="{00000000-0010-0000-0F00-00000F000000}" name="I do not want to say:_x000a_Years 3 to 6"/>
    <tableColumn id="16" xr3:uid="{00000000-0010-0000-0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9c" displayName="table9c" ref="A2:AR64" totalsRowShown="0">
  <tableColumns count="44">
    <tableColumn id="1" xr3:uid="{00000000-0010-0000-1000-000001000000}" name=" "/>
    <tableColumn id="2" xr3:uid="{00000000-0010-0000-1000-000002000000}" name="Wales"/>
    <tableColumn id="3" xr3:uid="{00000000-0010-0000-1000-000003000000}" name="Regional Sport Partnership: West Wales"/>
    <tableColumn id="4" xr3:uid="{00000000-0010-0000-1000-000004000000}" name="Pembrokeshire"/>
    <tableColumn id="5" xr3:uid="{00000000-0010-0000-1000-000005000000}" name="Primary in Pembrokeshire: _x000a_Years 3 to 6"/>
    <tableColumn id="6" xr3:uid="{00000000-0010-0000-1000-000006000000}" name="Cilgerran Church In Wales Vc School"/>
    <tableColumn id="7" xr3:uid="{00000000-0010-0000-1000-000007000000}" name="Cosheston Vc School"/>
    <tableColumn id="8" xr3:uid="{00000000-0010-0000-1000-000008000000}" name="Fenton Community Primary School"/>
    <tableColumn id="9" xr3:uid="{00000000-0010-0000-1000-000009000000}" name="Golden Grove CP School"/>
    <tableColumn id="10" xr3:uid="{00000000-0010-0000-1000-00000A000000}" name="Holy Name Rc School"/>
    <tableColumn id="11" xr3:uid="{00000000-0010-0000-1000-00000B000000}" name="Hook CP School"/>
    <tableColumn id="12" xr3:uid="{00000000-0010-0000-1000-00000C000000}" name="Johnston Community Primary School"/>
    <tableColumn id="13" xr3:uid="{00000000-0010-0000-1000-00000D000000}" name="Mary Immaculate Catholic School"/>
    <tableColumn id="14" xr3:uid="{00000000-0010-0000-1000-00000E000000}" name="Milford Haven Community Primary School"/>
    <tableColumn id="15" xr3:uid="{00000000-0010-0000-1000-00000F000000}" name="Narberth Community Primary School"/>
    <tableColumn id="16" xr3:uid="{00000000-0010-0000-1000-000010000000}" name="Prendergast Community Primary School"/>
    <tableColumn id="17" xr3:uid="{00000000-0010-0000-1000-000011000000}" name="Puncheston Community Primary School"/>
    <tableColumn id="18" xr3:uid="{00000000-0010-0000-1000-000012000000}" name="Roch Community School"/>
    <tableColumn id="19" xr3:uid="{00000000-0010-0000-1000-000013000000}" name="Sageston Community Primary School"/>
    <tableColumn id="20" xr3:uid="{00000000-0010-0000-1000-000014000000}" name="Spittal Church In Wales Vc School"/>
    <tableColumn id="21" xr3:uid="{00000000-0010-0000-1000-000015000000}" name="St Francis Catholic School"/>
    <tableColumn id="22" xr3:uid="{00000000-0010-0000-1000-000016000000}" name="St Teilos Rc School"/>
    <tableColumn id="23" xr3:uid="{00000000-0010-0000-1000-000017000000}" name="Stepaside Community Primary School"/>
    <tableColumn id="24" xr3:uid="{00000000-0010-0000-1000-000018000000}" name="Tenby Church In Wales Vc Primary School"/>
    <tableColumn id="25" xr3:uid="{00000000-0010-0000-1000-000019000000}" name="Waldo Williams Primary School"/>
    <tableColumn id="26" xr3:uid="{00000000-0010-0000-1000-00001A000000}" name="Wolfscastle Communty Primary School"/>
    <tableColumn id="27" xr3:uid="{00000000-0010-0000-1000-00001B000000}" name="Ysgol Bro Ingli"/>
    <tableColumn id="28" xr3:uid="{00000000-0010-0000-1000-00001C000000}" name="Ysgol Clydau"/>
    <tableColumn id="29" xr3:uid="{00000000-0010-0000-1000-00001D000000}" name="Ysgol Gymunedol Croesgoch"/>
    <tableColumn id="30" xr3:uid="{00000000-0010-0000-1000-00001E000000}" name="Ysgol Gymunedol Maenclochog"/>
    <tableColumn id="31" xr3:uid="{00000000-0010-0000-1000-00001F000000}" name="Ysgol Gynradd Gymunedol Eglwyswrw"/>
    <tableColumn id="32" xr3:uid="{00000000-0010-0000-1000-000020000000}" name="Ysgol Llandudoch"/>
    <tableColumn id="33" xr3:uid="{00000000-0010-0000-1000-000021000000}" name="Ysgol Llanychllwydog"/>
    <tableColumn id="34" xr3:uid="{00000000-0010-0000-1000-000022000000}" name="Ysgol Penrhyn Dewi (years 3 to 6)"/>
    <tableColumn id="35" xr3:uid="{00000000-0010-0000-1000-000023000000}" name="Ysgol y Frenni"/>
    <tableColumn id="36" xr3:uid="{00000000-0010-0000-1000-000024000000}" name="Secondary in Pembrokeshire: _x000a_Years 7 to 11"/>
    <tableColumn id="37" xr3:uid="{00000000-0010-0000-1000-000025000000}" name="Haverfordwest High Vc School"/>
    <tableColumn id="38" xr3:uid="{00000000-0010-0000-1000-000026000000}" name="Milford Haven School"/>
    <tableColumn id="39" xr3:uid="{00000000-0010-0000-1000-000027000000}" name="Ysgol Bro Gwaun"/>
    <tableColumn id="40" xr3:uid="{00000000-0010-0000-1000-000028000000}" name="Ysgol Caer Elen (years 7 to 11)"/>
    <tableColumn id="41" xr3:uid="{00000000-0010-0000-1000-000029000000}" name="Ysgol Greenhill School"/>
    <tableColumn id="42" xr3:uid="{00000000-0010-0000-1000-00002A000000}" name="Ysgol Harri Tudur / Henry Tudor School"/>
    <tableColumn id="43" xr3:uid="{00000000-0010-0000-1000-00002B000000}" name="Ysgol Penrhyn Dewi (years 7 to 11)"/>
    <tableColumn id="44" xr3:uid="{00000000-0010-0000-1000-00002C000000}" name="Ysgol y Preseli"/>
  </tableColumns>
  <tableStyleInfo name="none" showFirstColumn="0" showLastColumn="0" showRowStripes="1" showColumnStripes="0"/>
  <extLst>
    <ext xmlns:x14="http://schemas.microsoft.com/office/spreadsheetml/2009/9/main" uri="{504A1905-F514-4f6f-8877-14C23A59335A}">
      <x14:table altText="Table 9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10a" displayName="table10a" ref="A2:P45" totalsRowShown="0">
  <tableColumns count="16">
    <tableColumn id="1" xr3:uid="{00000000-0010-0000-1100-000001000000}" name=" "/>
    <tableColumn id="2" xr3:uid="{00000000-0010-0000-1100-000002000000}" name="All"/>
    <tableColumn id="3" xr3:uid="{00000000-0010-0000-1100-000003000000}" name="All:_x000a_Years 3 to 6"/>
    <tableColumn id="4" xr3:uid="{00000000-0010-0000-1100-000004000000}" name="All:_x000a_Years 7 to 11"/>
    <tableColumn id="5" xr3:uid="{00000000-0010-0000-1100-000005000000}" name="Boy"/>
    <tableColumn id="6" xr3:uid="{00000000-0010-0000-1100-000006000000}" name="Boy:_x000a_Years 3 to 6"/>
    <tableColumn id="7" xr3:uid="{00000000-0010-0000-1100-000007000000}" name="Boy:_x000a_Years 7 to 11"/>
    <tableColumn id="8" xr3:uid="{00000000-0010-0000-1100-000008000000}" name="Girl"/>
    <tableColumn id="9" xr3:uid="{00000000-0010-0000-1100-000009000000}" name="Girl:_x000a_Years 3 to 6"/>
    <tableColumn id="10" xr3:uid="{00000000-0010-0000-1100-00000A000000}" name="Girl:_x000a_Years 7 to 11"/>
    <tableColumn id="11" xr3:uid="{00000000-0010-0000-1100-00000B000000}" name="Pupils identifying as 'Other'"/>
    <tableColumn id="12" xr3:uid="{00000000-0010-0000-1100-00000C000000}" name="Pupils identifying as 'Other':_x000a_Years 3 to 6"/>
    <tableColumn id="13" xr3:uid="{00000000-0010-0000-1100-00000D000000}" name="Pupils identifying as 'Other':_x000a_Years 7 to 11"/>
    <tableColumn id="14" xr3:uid="{00000000-0010-0000-1100-00000E000000}" name="I do not want to say"/>
    <tableColumn id="15" xr3:uid="{00000000-0010-0000-1100-00000F000000}" name="I do not want to say:_x000a_Years 3 to 6"/>
    <tableColumn id="16" xr3:uid="{00000000-0010-0000-1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10b" displayName="table10b" ref="A2:P64" totalsRowShown="0">
  <tableColumns count="16">
    <tableColumn id="1" xr3:uid="{00000000-0010-0000-1200-000001000000}" name=" "/>
    <tableColumn id="2" xr3:uid="{00000000-0010-0000-1200-000002000000}" name="All"/>
    <tableColumn id="3" xr3:uid="{00000000-0010-0000-1200-000003000000}" name="All:_x000a_Years 3 to 6"/>
    <tableColumn id="4" xr3:uid="{00000000-0010-0000-1200-000004000000}" name="All:_x000a_Years 7 to 11"/>
    <tableColumn id="5" xr3:uid="{00000000-0010-0000-1200-000005000000}" name="Boy"/>
    <tableColumn id="6" xr3:uid="{00000000-0010-0000-1200-000006000000}" name="Boy:_x000a_Years 3 to 6"/>
    <tableColumn id="7" xr3:uid="{00000000-0010-0000-1200-000007000000}" name="Boy:_x000a_Years 7 to 11"/>
    <tableColumn id="8" xr3:uid="{00000000-0010-0000-1200-000008000000}" name="Girl"/>
    <tableColumn id="9" xr3:uid="{00000000-0010-0000-1200-000009000000}" name="Girl:_x000a_Years 3 to 6"/>
    <tableColumn id="10" xr3:uid="{00000000-0010-0000-1200-00000A000000}" name="Girl:_x000a_Years 7 to 11"/>
    <tableColumn id="11" xr3:uid="{00000000-0010-0000-1200-00000B000000}" name="Pupils identifying as 'Other'"/>
    <tableColumn id="12" xr3:uid="{00000000-0010-0000-1200-00000C000000}" name="Pupils identifying as 'Other':_x000a_Years 3 to 6"/>
    <tableColumn id="13" xr3:uid="{00000000-0010-0000-1200-00000D000000}" name="Pupils identifying as 'Other':_x000a_Years 7 to 11"/>
    <tableColumn id="14" xr3:uid="{00000000-0010-0000-1200-00000E000000}" name="I do not want to say"/>
    <tableColumn id="15" xr3:uid="{00000000-0010-0000-1200-00000F000000}" name="I do not want to say:_x000a_Years 3 to 6"/>
    <tableColumn id="16" xr3:uid="{00000000-0010-0000-12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10c" displayName="table10c" ref="A2:AR64" totalsRowShown="0">
  <tableColumns count="44">
    <tableColumn id="1" xr3:uid="{00000000-0010-0000-1300-000001000000}" name=" "/>
    <tableColumn id="2" xr3:uid="{00000000-0010-0000-1300-000002000000}" name="Wales"/>
    <tableColumn id="3" xr3:uid="{00000000-0010-0000-1300-000003000000}" name="Regional Sport Partnership: West Wales"/>
    <tableColumn id="4" xr3:uid="{00000000-0010-0000-1300-000004000000}" name="Pembrokeshire"/>
    <tableColumn id="5" xr3:uid="{00000000-0010-0000-1300-000005000000}" name="Primary in Pembrokeshire: _x000a_Years 3 to 6"/>
    <tableColumn id="6" xr3:uid="{00000000-0010-0000-1300-000006000000}" name="Cilgerran Church In Wales Vc School"/>
    <tableColumn id="7" xr3:uid="{00000000-0010-0000-1300-000007000000}" name="Cosheston Vc School"/>
    <tableColumn id="8" xr3:uid="{00000000-0010-0000-1300-000008000000}" name="Fenton Community Primary School"/>
    <tableColumn id="9" xr3:uid="{00000000-0010-0000-1300-000009000000}" name="Golden Grove CP School"/>
    <tableColumn id="10" xr3:uid="{00000000-0010-0000-1300-00000A000000}" name="Holy Name Rc School"/>
    <tableColumn id="11" xr3:uid="{00000000-0010-0000-1300-00000B000000}" name="Hook CP School"/>
    <tableColumn id="12" xr3:uid="{00000000-0010-0000-1300-00000C000000}" name="Johnston Community Primary School"/>
    <tableColumn id="13" xr3:uid="{00000000-0010-0000-1300-00000D000000}" name="Mary Immaculate Catholic School"/>
    <tableColumn id="14" xr3:uid="{00000000-0010-0000-1300-00000E000000}" name="Milford Haven Community Primary School"/>
    <tableColumn id="15" xr3:uid="{00000000-0010-0000-1300-00000F000000}" name="Narberth Community Primary School"/>
    <tableColumn id="16" xr3:uid="{00000000-0010-0000-1300-000010000000}" name="Prendergast Community Primary School"/>
    <tableColumn id="17" xr3:uid="{00000000-0010-0000-1300-000011000000}" name="Puncheston Community Primary School"/>
    <tableColumn id="18" xr3:uid="{00000000-0010-0000-1300-000012000000}" name="Roch Community School"/>
    <tableColumn id="19" xr3:uid="{00000000-0010-0000-1300-000013000000}" name="Sageston Community Primary School"/>
    <tableColumn id="20" xr3:uid="{00000000-0010-0000-1300-000014000000}" name="Spittal Church In Wales Vc School"/>
    <tableColumn id="21" xr3:uid="{00000000-0010-0000-1300-000015000000}" name="St Francis Catholic School"/>
    <tableColumn id="22" xr3:uid="{00000000-0010-0000-1300-000016000000}" name="St Teilos Rc School"/>
    <tableColumn id="23" xr3:uid="{00000000-0010-0000-1300-000017000000}" name="Stepaside Community Primary School"/>
    <tableColumn id="24" xr3:uid="{00000000-0010-0000-1300-000018000000}" name="Tenby Church In Wales Vc Primary School"/>
    <tableColumn id="25" xr3:uid="{00000000-0010-0000-1300-000019000000}" name="Waldo Williams Primary School"/>
    <tableColumn id="26" xr3:uid="{00000000-0010-0000-1300-00001A000000}" name="Wolfscastle Communty Primary School"/>
    <tableColumn id="27" xr3:uid="{00000000-0010-0000-1300-00001B000000}" name="Ysgol Bro Ingli"/>
    <tableColumn id="28" xr3:uid="{00000000-0010-0000-1300-00001C000000}" name="Ysgol Clydau"/>
    <tableColumn id="29" xr3:uid="{00000000-0010-0000-1300-00001D000000}" name="Ysgol Gymunedol Croesgoch"/>
    <tableColumn id="30" xr3:uid="{00000000-0010-0000-1300-00001E000000}" name="Ysgol Gymunedol Maenclochog"/>
    <tableColumn id="31" xr3:uid="{00000000-0010-0000-1300-00001F000000}" name="Ysgol Gynradd Gymunedol Eglwyswrw"/>
    <tableColumn id="32" xr3:uid="{00000000-0010-0000-1300-000020000000}" name="Ysgol Llandudoch"/>
    <tableColumn id="33" xr3:uid="{00000000-0010-0000-1300-000021000000}" name="Ysgol Llanychllwydog"/>
    <tableColumn id="34" xr3:uid="{00000000-0010-0000-1300-000022000000}" name="Ysgol Penrhyn Dewi (years 3 to 6)"/>
    <tableColumn id="35" xr3:uid="{00000000-0010-0000-1300-000023000000}" name="Ysgol y Frenni"/>
    <tableColumn id="36" xr3:uid="{00000000-0010-0000-1300-000024000000}" name="Secondary in Pembrokeshire: _x000a_Years 7 to 11"/>
    <tableColumn id="37" xr3:uid="{00000000-0010-0000-1300-000025000000}" name="Haverfordwest High Vc School"/>
    <tableColumn id="38" xr3:uid="{00000000-0010-0000-1300-000026000000}" name="Milford Haven School"/>
    <tableColumn id="39" xr3:uid="{00000000-0010-0000-1300-000027000000}" name="Ysgol Bro Gwaun"/>
    <tableColumn id="40" xr3:uid="{00000000-0010-0000-1300-000028000000}" name="Ysgol Caer Elen (years 7 to 11)"/>
    <tableColumn id="41" xr3:uid="{00000000-0010-0000-1300-000029000000}" name="Ysgol Greenhill School"/>
    <tableColumn id="42" xr3:uid="{00000000-0010-0000-1300-00002A000000}" name="Ysgol Harri Tudur / Henry Tudor School"/>
    <tableColumn id="43" xr3:uid="{00000000-0010-0000-1300-00002B000000}" name="Ysgol Penrhyn Dewi (years 7 to 11)"/>
    <tableColumn id="44" xr3:uid="{00000000-0010-0000-1300-00002C000000}" name="Ysgol y Preseli"/>
  </tableColumns>
  <tableStyleInfo name="none" showFirstColumn="0" showLastColumn="0" showRowStripes="1" showColumnStripes="0"/>
  <extLst>
    <ext xmlns:x14="http://schemas.microsoft.com/office/spreadsheetml/2009/9/main" uri="{504A1905-F514-4f6f-8877-14C23A59335A}">
      <x14:table altText="Table 10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11a" displayName="table11a" ref="A2:D64" totalsRowShown="0">
  <tableColumns count="4">
    <tableColumn id="1" xr3:uid="{00000000-0010-0000-1400-000001000000}" name=" "/>
    <tableColumn id="2" xr3:uid="{00000000-0010-0000-1400-000002000000}" name="Wales"/>
    <tableColumn id="3" xr3:uid="{00000000-0010-0000-1400-000003000000}" name="Regional Sport Partnership: West Wales"/>
    <tableColumn id="4" xr3:uid="{00000000-0010-0000-1400-000004000000}" name="Pembrokeshire"/>
  </tableColumns>
  <tableStyleInfo name="none" showFirstColumn="0" showLastColumn="0" showRowStripes="1" showColumnStripes="0"/>
  <extLst>
    <ext xmlns:x14="http://schemas.microsoft.com/office/spreadsheetml/2009/9/main" uri="{504A1905-F514-4f6f-8877-14C23A59335A}">
      <x14:table altText="Table 11a" altTextSummary="Table with 4 columns_x000d__x000a__x000d__x000a_Column A shows a list of sports._x000d__x000a__x000d__x000a_Column B to D shows the National, Regional Sport Partnership and Local Authority proportion of pupils participating in each sport with a disability or impairment_x000d__x000a__x000d__x000a_Additional technical notes and a link to the contents page sit beneath the table._x000d__x000a__x000d__x000a__x000d__x000a_Table with 4 columns"/>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11b" displayName="table11b" ref="A2:D16" totalsRowShown="0">
  <tableColumns count="4">
    <tableColumn id="1" xr3:uid="{00000000-0010-0000-1500-000001000000}" name=" "/>
    <tableColumn id="2" xr3:uid="{00000000-0010-0000-1500-000002000000}" name="Wales"/>
    <tableColumn id="3" xr3:uid="{00000000-0010-0000-1500-000003000000}" name="Regional Sport Partnership: West Wales"/>
    <tableColumn id="4" xr3:uid="{00000000-0010-0000-1500-000004000000}" name="Pembrokeshire"/>
  </tableColumns>
  <tableStyleInfo name="none" showFirstColumn="0" showLastColumn="0" showRowStripes="1" showColumnStripes="0"/>
  <extLst>
    <ext xmlns:x14="http://schemas.microsoft.com/office/spreadsheetml/2009/9/main" uri="{504A1905-F514-4f6f-8877-14C23A59335A}">
      <x14:table altText="Table 11b" altTextSummary="Table with 4 columns_x000d__x000a__x000d__x000a_Column A shows a list of ways that pupils with a disability or impairment participate in sport._x000d__x000a__x000d__x000a_Column B to D shows the the National, Regional Sport Partnership and Local Authority proportion of pupils who use these methods to participate._x000d__x000a__x000d__x000a_Additional technical notes and a link to the contents page sit beneath the table._x000d__x000a__x000d__x000a_Table with 9 columns."/>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11c" displayName="table11c" ref="A2:I64" totalsRowShown="0">
  <tableColumns count="9">
    <tableColumn id="1" xr3:uid="{00000000-0010-0000-1600-000001000000}" name=" "/>
    <tableColumn id="2" xr3:uid="{00000000-0010-0000-1600-000002000000}" name="Seated (using a chair or on the floor)"/>
    <tableColumn id="3" xr3:uid="{00000000-0010-0000-1600-000003000000}" name="Standing"/>
    <tableColumn id="4" xr3:uid="{00000000-0010-0000-1600-000004000000}" name="Supported by a person who is my guide/another person"/>
    <tableColumn id="5" xr3:uid="{00000000-0010-0000-1600-000005000000}" name="Using Makaton/British Sign Language"/>
    <tableColumn id="6" xr3:uid="{00000000-0010-0000-1600-000006000000}" name="Using a prosthetic, like a blade or arm"/>
    <tableColumn id="7" xr3:uid="{00000000-0010-0000-1600-000007000000}" name="Using equipment, like a frame or walking aid"/>
    <tableColumn id="8" xr3:uid="{00000000-0010-0000-1600-000008000000}" name="Other"/>
    <tableColumn id="9" xr3:uid="{00000000-0010-0000-1600-000009000000}" name="Prefer not to say"/>
  </tableColumns>
  <tableStyleInfo name="none" showFirstColumn="0" showLastColumn="0" showRowStripes="1" showColumnStripes="0"/>
  <extLst>
    <ext xmlns:x14="http://schemas.microsoft.com/office/spreadsheetml/2009/9/main" uri="{504A1905-F514-4f6f-8877-14C23A59335A}">
      <x14:table altText="Table 11c" altTextSummary="Table with 9 columns._x000d__x000a__x000d__x000a_Column A shows a list of sports_x000d__x000a__x000d__x000a_Columns B to I shows different ways that pupils with a disability or impairment may use to participate in sport._x000d__x000a_Table with 16 columns."/>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12a" displayName="table12a" ref="A2:P64" totalsRowShown="0">
  <tableColumns count="16">
    <tableColumn id="1" xr3:uid="{00000000-0010-0000-1700-000001000000}" name=" "/>
    <tableColumn id="2" xr3:uid="{00000000-0010-0000-1700-000002000000}" name="All"/>
    <tableColumn id="3" xr3:uid="{00000000-0010-0000-1700-000003000000}" name="All:_x000a_Years 3 to 6"/>
    <tableColumn id="4" xr3:uid="{00000000-0010-0000-1700-000004000000}" name="All:_x000a_Years 7 to 11"/>
    <tableColumn id="5" xr3:uid="{00000000-0010-0000-1700-000005000000}" name="Boy"/>
    <tableColumn id="6" xr3:uid="{00000000-0010-0000-1700-000006000000}" name="Boy:_x000a_Years 3 to 6"/>
    <tableColumn id="7" xr3:uid="{00000000-0010-0000-1700-000007000000}" name="Boy:_x000a_Years 7 to 11"/>
    <tableColumn id="8" xr3:uid="{00000000-0010-0000-1700-000008000000}" name="Girl"/>
    <tableColumn id="9" xr3:uid="{00000000-0010-0000-1700-000009000000}" name="Girl:_x000a_Years 3 to 6"/>
    <tableColumn id="10" xr3:uid="{00000000-0010-0000-1700-00000A000000}" name="Girl:_x000a_Years 7 to 11"/>
    <tableColumn id="11" xr3:uid="{00000000-0010-0000-1700-00000B000000}" name="Pupils identifying as 'Other'"/>
    <tableColumn id="12" xr3:uid="{00000000-0010-0000-1700-00000C000000}" name="Pupils identifying as 'Other':_x000a_Years 3 to 6"/>
    <tableColumn id="13" xr3:uid="{00000000-0010-0000-1700-00000D000000}" name="Pupils identifying as 'Other':_x000a_Years 7 to 11"/>
    <tableColumn id="14" xr3:uid="{00000000-0010-0000-1700-00000E000000}" name="I do not want to say"/>
    <tableColumn id="15" xr3:uid="{00000000-0010-0000-1700-00000F000000}" name="I do not want to say:_x000a_Years 3 to 6"/>
    <tableColumn id="16" xr3:uid="{00000000-0010-0000-1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2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12b" displayName="table12b" ref="A2:AR64" totalsRowShown="0">
  <tableColumns count="44">
    <tableColumn id="1" xr3:uid="{00000000-0010-0000-1800-000001000000}" name=" "/>
    <tableColumn id="2" xr3:uid="{00000000-0010-0000-1800-000002000000}" name="Wales"/>
    <tableColumn id="3" xr3:uid="{00000000-0010-0000-1800-000003000000}" name="Regional Sport Partnership: West Wales"/>
    <tableColumn id="4" xr3:uid="{00000000-0010-0000-1800-000004000000}" name="Pembrokeshire"/>
    <tableColumn id="5" xr3:uid="{00000000-0010-0000-1800-000005000000}" name="Primary in Pembrokeshire: _x000a_Years 3 to 6"/>
    <tableColumn id="6" xr3:uid="{00000000-0010-0000-1800-000006000000}" name="Cilgerran Church In Wales Vc School"/>
    <tableColumn id="7" xr3:uid="{00000000-0010-0000-1800-000007000000}" name="Cosheston Vc School"/>
    <tableColumn id="8" xr3:uid="{00000000-0010-0000-1800-000008000000}" name="Fenton Community Primary School"/>
    <tableColumn id="9" xr3:uid="{00000000-0010-0000-1800-000009000000}" name="Golden Grove CP School"/>
    <tableColumn id="10" xr3:uid="{00000000-0010-0000-1800-00000A000000}" name="Holy Name Rc School"/>
    <tableColumn id="11" xr3:uid="{00000000-0010-0000-1800-00000B000000}" name="Hook CP School"/>
    <tableColumn id="12" xr3:uid="{00000000-0010-0000-1800-00000C000000}" name="Johnston Community Primary School"/>
    <tableColumn id="13" xr3:uid="{00000000-0010-0000-1800-00000D000000}" name="Mary Immaculate Catholic School"/>
    <tableColumn id="14" xr3:uid="{00000000-0010-0000-1800-00000E000000}" name="Milford Haven Community Primary School"/>
    <tableColumn id="15" xr3:uid="{00000000-0010-0000-1800-00000F000000}" name="Narberth Community Primary School"/>
    <tableColumn id="16" xr3:uid="{00000000-0010-0000-1800-000010000000}" name="Prendergast Community Primary School"/>
    <tableColumn id="17" xr3:uid="{00000000-0010-0000-1800-000011000000}" name="Puncheston Community Primary School"/>
    <tableColumn id="18" xr3:uid="{00000000-0010-0000-1800-000012000000}" name="Roch Community School"/>
    <tableColumn id="19" xr3:uid="{00000000-0010-0000-1800-000013000000}" name="Sageston Community Primary School"/>
    <tableColumn id="20" xr3:uid="{00000000-0010-0000-1800-000014000000}" name="Spittal Church In Wales Vc School"/>
    <tableColumn id="21" xr3:uid="{00000000-0010-0000-1800-000015000000}" name="St Francis Catholic School"/>
    <tableColumn id="22" xr3:uid="{00000000-0010-0000-1800-000016000000}" name="St Teilos Rc School"/>
    <tableColumn id="23" xr3:uid="{00000000-0010-0000-1800-000017000000}" name="Stepaside Community Primary School"/>
    <tableColumn id="24" xr3:uid="{00000000-0010-0000-1800-000018000000}" name="Tenby Church In Wales Vc Primary School"/>
    <tableColumn id="25" xr3:uid="{00000000-0010-0000-1800-000019000000}" name="Waldo Williams Primary School"/>
    <tableColumn id="26" xr3:uid="{00000000-0010-0000-1800-00001A000000}" name="Wolfscastle Communty Primary School"/>
    <tableColumn id="27" xr3:uid="{00000000-0010-0000-1800-00001B000000}" name="Ysgol Bro Ingli"/>
    <tableColumn id="28" xr3:uid="{00000000-0010-0000-1800-00001C000000}" name="Ysgol Clydau"/>
    <tableColumn id="29" xr3:uid="{00000000-0010-0000-1800-00001D000000}" name="Ysgol Gymunedol Croesgoch"/>
    <tableColumn id="30" xr3:uid="{00000000-0010-0000-1800-00001E000000}" name="Ysgol Gymunedol Maenclochog"/>
    <tableColumn id="31" xr3:uid="{00000000-0010-0000-1800-00001F000000}" name="Ysgol Gynradd Gymunedol Eglwyswrw"/>
    <tableColumn id="32" xr3:uid="{00000000-0010-0000-1800-000020000000}" name="Ysgol Llandudoch"/>
    <tableColumn id="33" xr3:uid="{00000000-0010-0000-1800-000021000000}" name="Ysgol Llanychllwydog"/>
    <tableColumn id="34" xr3:uid="{00000000-0010-0000-1800-000022000000}" name="Ysgol Penrhyn Dewi (years 3 to 6)"/>
    <tableColumn id="35" xr3:uid="{00000000-0010-0000-1800-000023000000}" name="Ysgol y Frenni"/>
    <tableColumn id="36" xr3:uid="{00000000-0010-0000-1800-000024000000}" name="Secondary in Pembrokeshire: _x000a_Years 7 to 11"/>
    <tableColumn id="37" xr3:uid="{00000000-0010-0000-1800-000025000000}" name="Haverfordwest High Vc School"/>
    <tableColumn id="38" xr3:uid="{00000000-0010-0000-1800-000026000000}" name="Milford Haven School"/>
    <tableColumn id="39" xr3:uid="{00000000-0010-0000-1800-000027000000}" name="Ysgol Bro Gwaun"/>
    <tableColumn id="40" xr3:uid="{00000000-0010-0000-1800-000028000000}" name="Ysgol Caer Elen (years 7 to 11)"/>
    <tableColumn id="41" xr3:uid="{00000000-0010-0000-1800-000029000000}" name="Ysgol Greenhill School"/>
    <tableColumn id="42" xr3:uid="{00000000-0010-0000-1800-00002A000000}" name="Ysgol Harri Tudur / Henry Tudor School"/>
    <tableColumn id="43" xr3:uid="{00000000-0010-0000-1800-00002B000000}" name="Ysgol Penrhyn Dewi (years 7 to 11)"/>
    <tableColumn id="44" xr3:uid="{00000000-0010-0000-1800-00002C000000}" name="Ysgol y Preseli"/>
  </tableColumns>
  <tableStyleInfo name="none" showFirstColumn="0" showLastColumn="0" showRowStripes="1" showColumnStripes="0"/>
  <extLst>
    <ext xmlns:x14="http://schemas.microsoft.com/office/spreadsheetml/2009/9/main" uri="{504A1905-F514-4f6f-8877-14C23A59335A}">
      <x14:table altText="Table 12b" altTextSummary="Table with 29 columns_x000d__x000a__x000d__x000a_Column A shows a list of sport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12c" displayName="table12c" ref="A2:D64" totalsRowShown="0">
  <tableColumns count="4">
    <tableColumn id="1" xr3:uid="{00000000-0010-0000-1900-000001000000}" name=" "/>
    <tableColumn id="2" xr3:uid="{00000000-0010-0000-1900-000002000000}" name="Wales"/>
    <tableColumn id="3" xr3:uid="{00000000-0010-0000-1900-000003000000}" name="Regional Sport Partnership: West Wales"/>
    <tableColumn id="4" xr3:uid="{00000000-0010-0000-1900-000004000000}" name="Pembrokeshire"/>
  </tableColumns>
  <tableStyleInfo name="none" showFirstColumn="0" showLastColumn="0" showRowStripes="1" showColumnStripes="0"/>
  <extLst>
    <ext xmlns:x14="http://schemas.microsoft.com/office/spreadsheetml/2009/9/main" uri="{504A1905-F514-4f6f-8877-14C23A59335A}">
      <x14:table altText="Table 12c" altTextSummary="Table with 4 columns._x000d__x000a__x000d__x000a_Column A shows a list of sports_x000d__x000a__x000d__x000a_Column B to D shows the National, Regional Sport Partnership and Local Authority proportion of pupils with a disability or impairment who have Latent Demand for each sport._x000d__x000a__x000d__x000a_Additional technical notes and a link to the contents page sit beneath the table._x000d__x000a__x000d__x000a__x000d__x000a_Table with 16 columns"/>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13a" displayName="table13a" ref="A2:P64" totalsRowShown="0">
  <tableColumns count="16">
    <tableColumn id="1" xr3:uid="{00000000-0010-0000-1A00-000001000000}" name=" "/>
    <tableColumn id="2" xr3:uid="{00000000-0010-0000-1A00-000002000000}" name="All"/>
    <tableColumn id="3" xr3:uid="{00000000-0010-0000-1A00-000003000000}" name="All:_x000a_Years 3 to 6"/>
    <tableColumn id="4" xr3:uid="{00000000-0010-0000-1A00-000004000000}" name="All:_x000a_Years 7 to 11"/>
    <tableColumn id="5" xr3:uid="{00000000-0010-0000-1A00-000005000000}" name="Boy"/>
    <tableColumn id="6" xr3:uid="{00000000-0010-0000-1A00-000006000000}" name="Boy:_x000a_Years 3 to 6"/>
    <tableColumn id="7" xr3:uid="{00000000-0010-0000-1A00-000007000000}" name="Boy:_x000a_Years 7 to 11"/>
    <tableColumn id="8" xr3:uid="{00000000-0010-0000-1A00-000008000000}" name="Girl"/>
    <tableColumn id="9" xr3:uid="{00000000-0010-0000-1A00-000009000000}" name="Girl:_x000a_Years 3 to 6"/>
    <tableColumn id="10" xr3:uid="{00000000-0010-0000-1A00-00000A000000}" name="Girl:_x000a_Years 7 to 11"/>
    <tableColumn id="11" xr3:uid="{00000000-0010-0000-1A00-00000B000000}" name="Pupils identifying as 'Other'"/>
    <tableColumn id="12" xr3:uid="{00000000-0010-0000-1A00-00000C000000}" name="Pupils identifying as 'Other':_x000a_Years 3 to 6"/>
    <tableColumn id="13" xr3:uid="{00000000-0010-0000-1A00-00000D000000}" name="Pupils identifying as 'Other':_x000a_Years 7 to 11"/>
    <tableColumn id="14" xr3:uid="{00000000-0010-0000-1A00-00000E000000}" name="I do not want to say"/>
    <tableColumn id="15" xr3:uid="{00000000-0010-0000-1A00-00000F000000}" name="I do not want to say:_x000a_Years 3 to 6"/>
    <tableColumn id="16" xr3:uid="{00000000-0010-0000-1A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3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13b" displayName="table13b" ref="A2:AR64" totalsRowShown="0">
  <tableColumns count="44">
    <tableColumn id="1" xr3:uid="{00000000-0010-0000-1B00-000001000000}" name=" "/>
    <tableColumn id="2" xr3:uid="{00000000-0010-0000-1B00-000002000000}" name="Wales"/>
    <tableColumn id="3" xr3:uid="{00000000-0010-0000-1B00-000003000000}" name="Regional Sport Partnership: West Wales"/>
    <tableColumn id="4" xr3:uid="{00000000-0010-0000-1B00-000004000000}" name="Pembrokeshire"/>
    <tableColumn id="5" xr3:uid="{00000000-0010-0000-1B00-000005000000}" name="Primary in Pembrokeshire: _x000a_Years 3 to 6"/>
    <tableColumn id="6" xr3:uid="{00000000-0010-0000-1B00-000006000000}" name="Cilgerran Church In Wales Vc School"/>
    <tableColumn id="7" xr3:uid="{00000000-0010-0000-1B00-000007000000}" name="Cosheston Vc School"/>
    <tableColumn id="8" xr3:uid="{00000000-0010-0000-1B00-000008000000}" name="Fenton Community Primary School"/>
    <tableColumn id="9" xr3:uid="{00000000-0010-0000-1B00-000009000000}" name="Golden Grove CP School"/>
    <tableColumn id="10" xr3:uid="{00000000-0010-0000-1B00-00000A000000}" name="Holy Name Rc School"/>
    <tableColumn id="11" xr3:uid="{00000000-0010-0000-1B00-00000B000000}" name="Hook CP School"/>
    <tableColumn id="12" xr3:uid="{00000000-0010-0000-1B00-00000C000000}" name="Johnston Community Primary School"/>
    <tableColumn id="13" xr3:uid="{00000000-0010-0000-1B00-00000D000000}" name="Mary Immaculate Catholic School"/>
    <tableColumn id="14" xr3:uid="{00000000-0010-0000-1B00-00000E000000}" name="Milford Haven Community Primary School"/>
    <tableColumn id="15" xr3:uid="{00000000-0010-0000-1B00-00000F000000}" name="Narberth Community Primary School"/>
    <tableColumn id="16" xr3:uid="{00000000-0010-0000-1B00-000010000000}" name="Prendergast Community Primary School"/>
    <tableColumn id="17" xr3:uid="{00000000-0010-0000-1B00-000011000000}" name="Puncheston Community Primary School"/>
    <tableColumn id="18" xr3:uid="{00000000-0010-0000-1B00-000012000000}" name="Roch Community School"/>
    <tableColumn id="19" xr3:uid="{00000000-0010-0000-1B00-000013000000}" name="Sageston Community Primary School"/>
    <tableColumn id="20" xr3:uid="{00000000-0010-0000-1B00-000014000000}" name="Spittal Church In Wales Vc School"/>
    <tableColumn id="21" xr3:uid="{00000000-0010-0000-1B00-000015000000}" name="St Francis Catholic School"/>
    <tableColumn id="22" xr3:uid="{00000000-0010-0000-1B00-000016000000}" name="St Teilos Rc School"/>
    <tableColumn id="23" xr3:uid="{00000000-0010-0000-1B00-000017000000}" name="Stepaside Community Primary School"/>
    <tableColumn id="24" xr3:uid="{00000000-0010-0000-1B00-000018000000}" name="Tenby Church In Wales Vc Primary School"/>
    <tableColumn id="25" xr3:uid="{00000000-0010-0000-1B00-000019000000}" name="Waldo Williams Primary School"/>
    <tableColumn id="26" xr3:uid="{00000000-0010-0000-1B00-00001A000000}" name="Wolfscastle Communty Primary School"/>
    <tableColumn id="27" xr3:uid="{00000000-0010-0000-1B00-00001B000000}" name="Ysgol Bro Ingli"/>
    <tableColumn id="28" xr3:uid="{00000000-0010-0000-1B00-00001C000000}" name="Ysgol Clydau"/>
    <tableColumn id="29" xr3:uid="{00000000-0010-0000-1B00-00001D000000}" name="Ysgol Gymunedol Croesgoch"/>
    <tableColumn id="30" xr3:uid="{00000000-0010-0000-1B00-00001E000000}" name="Ysgol Gymunedol Maenclochog"/>
    <tableColumn id="31" xr3:uid="{00000000-0010-0000-1B00-00001F000000}" name="Ysgol Gynradd Gymunedol Eglwyswrw"/>
    <tableColumn id="32" xr3:uid="{00000000-0010-0000-1B00-000020000000}" name="Ysgol Llandudoch"/>
    <tableColumn id="33" xr3:uid="{00000000-0010-0000-1B00-000021000000}" name="Ysgol Llanychllwydog"/>
    <tableColumn id="34" xr3:uid="{00000000-0010-0000-1B00-000022000000}" name="Ysgol Penrhyn Dewi (years 3 to 6)"/>
    <tableColumn id="35" xr3:uid="{00000000-0010-0000-1B00-000023000000}" name="Ysgol y Frenni"/>
    <tableColumn id="36" xr3:uid="{00000000-0010-0000-1B00-000024000000}" name="Secondary in Pembrokeshire: _x000a_Years 7 to 11"/>
    <tableColumn id="37" xr3:uid="{00000000-0010-0000-1B00-000025000000}" name="Haverfordwest High Vc School"/>
    <tableColumn id="38" xr3:uid="{00000000-0010-0000-1B00-000026000000}" name="Milford Haven School"/>
    <tableColumn id="39" xr3:uid="{00000000-0010-0000-1B00-000027000000}" name="Ysgol Bro Gwaun"/>
    <tableColumn id="40" xr3:uid="{00000000-0010-0000-1B00-000028000000}" name="Ysgol Caer Elen (years 7 to 11)"/>
    <tableColumn id="41" xr3:uid="{00000000-0010-0000-1B00-000029000000}" name="Ysgol Greenhill School"/>
    <tableColumn id="42" xr3:uid="{00000000-0010-0000-1B00-00002A000000}" name="Ysgol Harri Tudur / Henry Tudor School"/>
    <tableColumn id="43" xr3:uid="{00000000-0010-0000-1B00-00002B000000}" name="Ysgol Penrhyn Dewi (years 7 to 11)"/>
    <tableColumn id="44" xr3:uid="{00000000-0010-0000-1B00-00002C000000}" name="Ysgol y Preseli"/>
  </tableColumns>
  <tableStyleInfo name="none" showFirstColumn="0" showLastColumn="0" showRowStripes="1" showColumnStripes="0"/>
  <extLst>
    <ext xmlns:x14="http://schemas.microsoft.com/office/spreadsheetml/2009/9/main" uri="{504A1905-F514-4f6f-8877-14C23A59335A}">
      <x14:table altText="Table 13b"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2 columns."/>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13c" displayName="table13c" ref="A2:D64" totalsRowShown="0">
  <tableColumns count="4">
    <tableColumn id="1" xr3:uid="{00000000-0010-0000-1C00-000001000000}" name=" "/>
    <tableColumn id="2" xr3:uid="{00000000-0010-0000-1C00-000002000000}" name="Wales"/>
    <tableColumn id="3" xr3:uid="{00000000-0010-0000-1C00-000003000000}" name="Regional Sport Partnership: West Wales"/>
    <tableColumn id="4" xr3:uid="{00000000-0010-0000-1C00-000004000000}" name="Pembrokeshire"/>
  </tableColumns>
  <tableStyleInfo name="none" showFirstColumn="0" showLastColumn="0" showRowStripes="1" showColumnStripes="0"/>
  <extLst>
    <ext xmlns:x14="http://schemas.microsoft.com/office/spreadsheetml/2009/9/main" uri="{504A1905-F514-4f6f-8877-14C23A59335A}">
      <x14:table altText="Table 13c" altTextSummary="Table with 2 columns._x000d__x000a__x000d__x000a_Column A shows a list of sports_x000d__x000a__x000d__x000a_Column B shows the National, Regional Sport Partnership and Local Authority of pupils with a disability or impairment who have Unmet Demand for each sport._x000d__x000a__x000d__x000a_Additional technical notes and a link to the contents page sit beneath the table._x000d__x000a__x000d__x000a_Table with 16 columns"/>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14a" displayName="table14a" ref="A2:P37" totalsRowShown="0">
  <tableColumns count="16">
    <tableColumn id="1" xr3:uid="{00000000-0010-0000-1D00-000001000000}" name=" "/>
    <tableColumn id="2" xr3:uid="{00000000-0010-0000-1D00-000002000000}" name="All"/>
    <tableColumn id="3" xr3:uid="{00000000-0010-0000-1D00-000003000000}" name="All:_x000a_Years 3 to 6"/>
    <tableColumn id="4" xr3:uid="{00000000-0010-0000-1D00-000004000000}" name="All:_x000a_Years 7 to 11"/>
    <tableColumn id="5" xr3:uid="{00000000-0010-0000-1D00-000005000000}" name="Boy"/>
    <tableColumn id="6" xr3:uid="{00000000-0010-0000-1D00-000006000000}" name="Boy:_x000a_Years 3 to 6"/>
    <tableColumn id="7" xr3:uid="{00000000-0010-0000-1D00-000007000000}" name="Boy:_x000a_Years 7 to 11"/>
    <tableColumn id="8" xr3:uid="{00000000-0010-0000-1D00-000008000000}" name="Girl"/>
    <tableColumn id="9" xr3:uid="{00000000-0010-0000-1D00-000009000000}" name="Girl:_x000a_Years 3 to 6"/>
    <tableColumn id="10" xr3:uid="{00000000-0010-0000-1D00-00000A000000}" name="Girl:_x000a_Years 7 to 11"/>
    <tableColumn id="11" xr3:uid="{00000000-0010-0000-1D00-00000B000000}" name="Pupils identifying as 'Other'"/>
    <tableColumn id="12" xr3:uid="{00000000-0010-0000-1D00-00000C000000}" name="Pupils identifying as 'Other':_x000a_Years 3 to 6"/>
    <tableColumn id="13" xr3:uid="{00000000-0010-0000-1D00-00000D000000}" name="Pupils identifying as 'Other':_x000a_Years 7 to 11"/>
    <tableColumn id="14" xr3:uid="{00000000-0010-0000-1D00-00000E000000}" name="I do not want to say"/>
    <tableColumn id="15" xr3:uid="{00000000-0010-0000-1D00-00000F000000}" name="I do not want to say:_x000a_Years 3 to 6"/>
    <tableColumn id="16" xr3:uid="{00000000-0010-0000-1D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4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4b" displayName="table14b" ref="A2:AR37" totalsRowShown="0">
  <tableColumns count="44">
    <tableColumn id="1" xr3:uid="{00000000-0010-0000-1E00-000001000000}" name=" "/>
    <tableColumn id="2" xr3:uid="{00000000-0010-0000-1E00-000002000000}" name="Wales"/>
    <tableColumn id="3" xr3:uid="{00000000-0010-0000-1E00-000003000000}" name="Regional Sport Partnership: West Wales"/>
    <tableColumn id="4" xr3:uid="{00000000-0010-0000-1E00-000004000000}" name="Pembrokeshire"/>
    <tableColumn id="5" xr3:uid="{00000000-0010-0000-1E00-000005000000}" name="Primary in Pembrokeshire: _x000a_Years 3 to 6"/>
    <tableColumn id="6" xr3:uid="{00000000-0010-0000-1E00-000006000000}" name="Cilgerran Church In Wales Vc School"/>
    <tableColumn id="7" xr3:uid="{00000000-0010-0000-1E00-000007000000}" name="Cosheston Vc School"/>
    <tableColumn id="8" xr3:uid="{00000000-0010-0000-1E00-000008000000}" name="Fenton Community Primary School"/>
    <tableColumn id="9" xr3:uid="{00000000-0010-0000-1E00-000009000000}" name="Golden Grove CP School"/>
    <tableColumn id="10" xr3:uid="{00000000-0010-0000-1E00-00000A000000}" name="Holy Name Rc School"/>
    <tableColumn id="11" xr3:uid="{00000000-0010-0000-1E00-00000B000000}" name="Hook CP School"/>
    <tableColumn id="12" xr3:uid="{00000000-0010-0000-1E00-00000C000000}" name="Johnston Community Primary School"/>
    <tableColumn id="13" xr3:uid="{00000000-0010-0000-1E00-00000D000000}" name="Mary Immaculate Catholic School"/>
    <tableColumn id="14" xr3:uid="{00000000-0010-0000-1E00-00000E000000}" name="Milford Haven Community Primary School"/>
    <tableColumn id="15" xr3:uid="{00000000-0010-0000-1E00-00000F000000}" name="Narberth Community Primary School"/>
    <tableColumn id="16" xr3:uid="{00000000-0010-0000-1E00-000010000000}" name="Prendergast Community Primary School"/>
    <tableColumn id="17" xr3:uid="{00000000-0010-0000-1E00-000011000000}" name="Puncheston Community Primary School"/>
    <tableColumn id="18" xr3:uid="{00000000-0010-0000-1E00-000012000000}" name="Roch Community School"/>
    <tableColumn id="19" xr3:uid="{00000000-0010-0000-1E00-000013000000}" name="Sageston Community Primary School"/>
    <tableColumn id="20" xr3:uid="{00000000-0010-0000-1E00-000014000000}" name="Spittal Church In Wales Vc School"/>
    <tableColumn id="21" xr3:uid="{00000000-0010-0000-1E00-000015000000}" name="St Francis Catholic School"/>
    <tableColumn id="22" xr3:uid="{00000000-0010-0000-1E00-000016000000}" name="St Teilos Rc School"/>
    <tableColumn id="23" xr3:uid="{00000000-0010-0000-1E00-000017000000}" name="Stepaside Community Primary School"/>
    <tableColumn id="24" xr3:uid="{00000000-0010-0000-1E00-000018000000}" name="Tenby Church In Wales Vc Primary School"/>
    <tableColumn id="25" xr3:uid="{00000000-0010-0000-1E00-000019000000}" name="Waldo Williams Primary School"/>
    <tableColumn id="26" xr3:uid="{00000000-0010-0000-1E00-00001A000000}" name="Wolfscastle Communty Primary School"/>
    <tableColumn id="27" xr3:uid="{00000000-0010-0000-1E00-00001B000000}" name="Ysgol Bro Ingli"/>
    <tableColumn id="28" xr3:uid="{00000000-0010-0000-1E00-00001C000000}" name="Ysgol Clydau"/>
    <tableColumn id="29" xr3:uid="{00000000-0010-0000-1E00-00001D000000}" name="Ysgol Gymunedol Croesgoch"/>
    <tableColumn id="30" xr3:uid="{00000000-0010-0000-1E00-00001E000000}" name="Ysgol Gymunedol Maenclochog"/>
    <tableColumn id="31" xr3:uid="{00000000-0010-0000-1E00-00001F000000}" name="Ysgol Gynradd Gymunedol Eglwyswrw"/>
    <tableColumn id="32" xr3:uid="{00000000-0010-0000-1E00-000020000000}" name="Ysgol Llandudoch"/>
    <tableColumn id="33" xr3:uid="{00000000-0010-0000-1E00-000021000000}" name="Ysgol Llanychllwydog"/>
    <tableColumn id="34" xr3:uid="{00000000-0010-0000-1E00-000022000000}" name="Ysgol Penrhyn Dewi (years 3 to 6)"/>
    <tableColumn id="35" xr3:uid="{00000000-0010-0000-1E00-000023000000}" name="Ysgol y Frenni"/>
    <tableColumn id="36" xr3:uid="{00000000-0010-0000-1E00-000024000000}" name="Secondary in Pembrokeshire: _x000a_Years 7 to 11"/>
    <tableColumn id="37" xr3:uid="{00000000-0010-0000-1E00-000025000000}" name="Haverfordwest High Vc School"/>
    <tableColumn id="38" xr3:uid="{00000000-0010-0000-1E00-000026000000}" name="Milford Haven School"/>
    <tableColumn id="39" xr3:uid="{00000000-0010-0000-1E00-000027000000}" name="Ysgol Bro Gwaun"/>
    <tableColumn id="40" xr3:uid="{00000000-0010-0000-1E00-000028000000}" name="Ysgol Caer Elen (years 7 to 11)"/>
    <tableColumn id="41" xr3:uid="{00000000-0010-0000-1E00-000029000000}" name="Ysgol Greenhill School"/>
    <tableColumn id="42" xr3:uid="{00000000-0010-0000-1E00-00002A000000}" name="Ysgol Harri Tudur / Henry Tudor School"/>
    <tableColumn id="43" xr3:uid="{00000000-0010-0000-1E00-00002B000000}" name="Ysgol Penrhyn Dewi (years 7 to 11)"/>
    <tableColumn id="44" xr3:uid="{00000000-0010-0000-1E00-00002C000000}" name="Ysgol y Preseli"/>
  </tableColumns>
  <tableStyleInfo name="none" showFirstColumn="0" showLastColumn="0" showRowStripes="1" showColumnStripes="0"/>
  <extLst>
    <ext xmlns:x14="http://schemas.microsoft.com/office/spreadsheetml/2009/9/main" uri="{504A1905-F514-4f6f-8877-14C23A59335A}">
      <x14:table altText="Table 14b" altTextSummary="Table with 29 columns._x000d__x000a__x000d__x000a_Column A shows a list of questions and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15a" displayName="table15a" ref="A2:P21" totalsRowShown="0">
  <tableColumns count="16">
    <tableColumn id="1" xr3:uid="{00000000-0010-0000-1F00-000001000000}" name=" "/>
    <tableColumn id="2" xr3:uid="{00000000-0010-0000-1F00-000002000000}" name="All"/>
    <tableColumn id="3" xr3:uid="{00000000-0010-0000-1F00-000003000000}" name="All:_x000a_Years 3 to 6"/>
    <tableColumn id="4" xr3:uid="{00000000-0010-0000-1F00-000004000000}" name="All:_x000a_Years 7 to 11"/>
    <tableColumn id="5" xr3:uid="{00000000-0010-0000-1F00-000005000000}" name="Boy"/>
    <tableColumn id="6" xr3:uid="{00000000-0010-0000-1F00-000006000000}" name="Boy:_x000a_Years 3 to 6"/>
    <tableColumn id="7" xr3:uid="{00000000-0010-0000-1F00-000007000000}" name="Boy:_x000a_Years 7 to 11"/>
    <tableColumn id="8" xr3:uid="{00000000-0010-0000-1F00-000008000000}" name="Girl"/>
    <tableColumn id="9" xr3:uid="{00000000-0010-0000-1F00-000009000000}" name="Girl:_x000a_Years 3 to 6"/>
    <tableColumn id="10" xr3:uid="{00000000-0010-0000-1F00-00000A000000}" name="Girl:_x000a_Years 7 to 11"/>
    <tableColumn id="11" xr3:uid="{00000000-0010-0000-1F00-00000B000000}" name="Pupils identifying as 'Other'"/>
    <tableColumn id="12" xr3:uid="{00000000-0010-0000-1F00-00000C000000}" name="Pupils identifying as 'Other':_x000a_Years 3 to 6"/>
    <tableColumn id="13" xr3:uid="{00000000-0010-0000-1F00-00000D000000}" name="Pupils identifying as 'Other':_x000a_Years 7 to 11"/>
    <tableColumn id="14" xr3:uid="{00000000-0010-0000-1F00-00000E000000}" name="I do not want to say"/>
    <tableColumn id="15" xr3:uid="{00000000-0010-0000-1F00-00000F000000}" name="I do not want to say:_x000a_Years 3 to 6"/>
    <tableColumn id="16" xr3:uid="{00000000-0010-0000-1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5a" altTextSummary="Table with 16 columns_x000d__x000a__x000d__x000a_Column A shows a question and a list of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15b" displayName="table15b" ref="A2:AR21" totalsRowShown="0">
  <tableColumns count="44">
    <tableColumn id="1" xr3:uid="{00000000-0010-0000-2000-000001000000}" name=" "/>
    <tableColumn id="2" xr3:uid="{00000000-0010-0000-2000-000002000000}" name="Wales"/>
    <tableColumn id="3" xr3:uid="{00000000-0010-0000-2000-000003000000}" name="Regional Sport Partnership: West Wales"/>
    <tableColumn id="4" xr3:uid="{00000000-0010-0000-2000-000004000000}" name="Pembrokeshire"/>
    <tableColumn id="5" xr3:uid="{00000000-0010-0000-2000-000005000000}" name="Primary in Pembrokeshire: _x000a_Years 3 to 6"/>
    <tableColumn id="6" xr3:uid="{00000000-0010-0000-2000-000006000000}" name="Cilgerran Church In Wales Vc School"/>
    <tableColumn id="7" xr3:uid="{00000000-0010-0000-2000-000007000000}" name="Cosheston Vc School"/>
    <tableColumn id="8" xr3:uid="{00000000-0010-0000-2000-000008000000}" name="Fenton Community Primary School"/>
    <tableColumn id="9" xr3:uid="{00000000-0010-0000-2000-000009000000}" name="Golden Grove CP School"/>
    <tableColumn id="10" xr3:uid="{00000000-0010-0000-2000-00000A000000}" name="Holy Name Rc School"/>
    <tableColumn id="11" xr3:uid="{00000000-0010-0000-2000-00000B000000}" name="Hook CP School"/>
    <tableColumn id="12" xr3:uid="{00000000-0010-0000-2000-00000C000000}" name="Johnston Community Primary School"/>
    <tableColumn id="13" xr3:uid="{00000000-0010-0000-2000-00000D000000}" name="Mary Immaculate Catholic School"/>
    <tableColumn id="14" xr3:uid="{00000000-0010-0000-2000-00000E000000}" name="Milford Haven Community Primary School"/>
    <tableColumn id="15" xr3:uid="{00000000-0010-0000-2000-00000F000000}" name="Narberth Community Primary School"/>
    <tableColumn id="16" xr3:uid="{00000000-0010-0000-2000-000010000000}" name="Prendergast Community Primary School"/>
    <tableColumn id="17" xr3:uid="{00000000-0010-0000-2000-000011000000}" name="Puncheston Community Primary School"/>
    <tableColumn id="18" xr3:uid="{00000000-0010-0000-2000-000012000000}" name="Roch Community School"/>
    <tableColumn id="19" xr3:uid="{00000000-0010-0000-2000-000013000000}" name="Sageston Community Primary School"/>
    <tableColumn id="20" xr3:uid="{00000000-0010-0000-2000-000014000000}" name="Spittal Church In Wales Vc School"/>
    <tableColumn id="21" xr3:uid="{00000000-0010-0000-2000-000015000000}" name="St Francis Catholic School"/>
    <tableColumn id="22" xr3:uid="{00000000-0010-0000-2000-000016000000}" name="St Teilos Rc School"/>
    <tableColumn id="23" xr3:uid="{00000000-0010-0000-2000-000017000000}" name="Stepaside Community Primary School"/>
    <tableColumn id="24" xr3:uid="{00000000-0010-0000-2000-000018000000}" name="Tenby Church In Wales Vc Primary School"/>
    <tableColumn id="25" xr3:uid="{00000000-0010-0000-2000-000019000000}" name="Waldo Williams Primary School"/>
    <tableColumn id="26" xr3:uid="{00000000-0010-0000-2000-00001A000000}" name="Wolfscastle Communty Primary School"/>
    <tableColumn id="27" xr3:uid="{00000000-0010-0000-2000-00001B000000}" name="Ysgol Bro Ingli"/>
    <tableColumn id="28" xr3:uid="{00000000-0010-0000-2000-00001C000000}" name="Ysgol Clydau"/>
    <tableColumn id="29" xr3:uid="{00000000-0010-0000-2000-00001D000000}" name="Ysgol Gymunedol Croesgoch"/>
    <tableColumn id="30" xr3:uid="{00000000-0010-0000-2000-00001E000000}" name="Ysgol Gymunedol Maenclochog"/>
    <tableColumn id="31" xr3:uid="{00000000-0010-0000-2000-00001F000000}" name="Ysgol Gynradd Gymunedol Eglwyswrw"/>
    <tableColumn id="32" xr3:uid="{00000000-0010-0000-2000-000020000000}" name="Ysgol Llandudoch"/>
    <tableColumn id="33" xr3:uid="{00000000-0010-0000-2000-000021000000}" name="Ysgol Llanychllwydog"/>
    <tableColumn id="34" xr3:uid="{00000000-0010-0000-2000-000022000000}" name="Ysgol Penrhyn Dewi (years 3 to 6)"/>
    <tableColumn id="35" xr3:uid="{00000000-0010-0000-2000-000023000000}" name="Ysgol y Frenni"/>
    <tableColumn id="36" xr3:uid="{00000000-0010-0000-2000-000024000000}" name="Secondary in Pembrokeshire: _x000a_Years 7 to 11"/>
    <tableColumn id="37" xr3:uid="{00000000-0010-0000-2000-000025000000}" name="Haverfordwest High Vc School"/>
    <tableColumn id="38" xr3:uid="{00000000-0010-0000-2000-000026000000}" name="Milford Haven School"/>
    <tableColumn id="39" xr3:uid="{00000000-0010-0000-2000-000027000000}" name="Ysgol Bro Gwaun"/>
    <tableColumn id="40" xr3:uid="{00000000-0010-0000-2000-000028000000}" name="Ysgol Caer Elen (years 7 to 11)"/>
    <tableColumn id="41" xr3:uid="{00000000-0010-0000-2000-000029000000}" name="Ysgol Greenhill School"/>
    <tableColumn id="42" xr3:uid="{00000000-0010-0000-2000-00002A000000}" name="Ysgol Harri Tudur / Henry Tudor School"/>
    <tableColumn id="43" xr3:uid="{00000000-0010-0000-2000-00002B000000}" name="Ysgol Penrhyn Dewi (years 7 to 11)"/>
    <tableColumn id="44" xr3:uid="{00000000-0010-0000-2000-00002C000000}" name="Ysgol y Preseli"/>
  </tableColumns>
  <tableStyleInfo name="none" showFirstColumn="0" showLastColumn="0" showRowStripes="1" showColumnStripes="0"/>
  <extLst>
    <ext xmlns:x14="http://schemas.microsoft.com/office/spreadsheetml/2009/9/main" uri="{504A1905-F514-4f6f-8877-14C23A59335A}">
      <x14:table altText="Table 15b" altTextSummary="Table with 29 columns._x000d__x000a__x000d__x000a_Column A shows a question and a list of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16a" displayName="table16a" ref="A2:P7" totalsRowShown="0">
  <tableColumns count="16">
    <tableColumn id="1" xr3:uid="{00000000-0010-0000-2100-000001000000}" name=" "/>
    <tableColumn id="2" xr3:uid="{00000000-0010-0000-2100-000002000000}" name="All"/>
    <tableColumn id="3" xr3:uid="{00000000-0010-0000-2100-000003000000}" name="All:_x000a_Years 3 to 6"/>
    <tableColumn id="4" xr3:uid="{00000000-0010-0000-2100-000004000000}" name="All:_x000a_Years 7 to 11"/>
    <tableColumn id="5" xr3:uid="{00000000-0010-0000-2100-000005000000}" name="Boy"/>
    <tableColumn id="6" xr3:uid="{00000000-0010-0000-2100-000006000000}" name="Boy:_x000a_Years 3 to 6"/>
    <tableColumn id="7" xr3:uid="{00000000-0010-0000-2100-000007000000}" name="Boy:_x000a_Years 7 to 11"/>
    <tableColumn id="8" xr3:uid="{00000000-0010-0000-2100-000008000000}" name="Girl"/>
    <tableColumn id="9" xr3:uid="{00000000-0010-0000-2100-000009000000}" name="Girl:_x000a_Years 3 to 6"/>
    <tableColumn id="10" xr3:uid="{00000000-0010-0000-2100-00000A000000}" name="Girl:_x000a_Years 7 to 11"/>
    <tableColumn id="11" xr3:uid="{00000000-0010-0000-2100-00000B000000}" name="Pupils identifying as 'Other'"/>
    <tableColumn id="12" xr3:uid="{00000000-0010-0000-2100-00000C000000}" name="Pupils identifying as 'Other':_x000a_Years 3 to 6"/>
    <tableColumn id="13" xr3:uid="{00000000-0010-0000-2100-00000D000000}" name="Pupils identifying as 'Other':_x000a_Years 7 to 11"/>
    <tableColumn id="14" xr3:uid="{00000000-0010-0000-2100-00000E000000}" name="I do not want to say"/>
    <tableColumn id="15" xr3:uid="{00000000-0010-0000-2100-00000F000000}" name="I do not want to say:_x000a_Years 3 to 6"/>
    <tableColumn id="16" xr3:uid="{00000000-0010-0000-2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6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16b" displayName="table16b" ref="A2:AR7" totalsRowShown="0">
  <tableColumns count="44">
    <tableColumn id="1" xr3:uid="{00000000-0010-0000-2200-000001000000}" name=" "/>
    <tableColumn id="2" xr3:uid="{00000000-0010-0000-2200-000002000000}" name="Wales"/>
    <tableColumn id="3" xr3:uid="{00000000-0010-0000-2200-000003000000}" name="Regional Sport Partnership: West Wales"/>
    <tableColumn id="4" xr3:uid="{00000000-0010-0000-2200-000004000000}" name="Pembrokeshire"/>
    <tableColumn id="5" xr3:uid="{00000000-0010-0000-2200-000005000000}" name="Primary in Pembrokeshire: _x000a_Years 3 to 6"/>
    <tableColumn id="6" xr3:uid="{00000000-0010-0000-2200-000006000000}" name="Cilgerran Church In Wales Vc School"/>
    <tableColumn id="7" xr3:uid="{00000000-0010-0000-2200-000007000000}" name="Cosheston Vc School"/>
    <tableColumn id="8" xr3:uid="{00000000-0010-0000-2200-000008000000}" name="Fenton Community Primary School"/>
    <tableColumn id="9" xr3:uid="{00000000-0010-0000-2200-000009000000}" name="Golden Grove CP School"/>
    <tableColumn id="10" xr3:uid="{00000000-0010-0000-2200-00000A000000}" name="Holy Name Rc School"/>
    <tableColumn id="11" xr3:uid="{00000000-0010-0000-2200-00000B000000}" name="Hook CP School"/>
    <tableColumn id="12" xr3:uid="{00000000-0010-0000-2200-00000C000000}" name="Johnston Community Primary School"/>
    <tableColumn id="13" xr3:uid="{00000000-0010-0000-2200-00000D000000}" name="Mary Immaculate Catholic School"/>
    <tableColumn id="14" xr3:uid="{00000000-0010-0000-2200-00000E000000}" name="Milford Haven Community Primary School"/>
    <tableColumn id="15" xr3:uid="{00000000-0010-0000-2200-00000F000000}" name="Narberth Community Primary School"/>
    <tableColumn id="16" xr3:uid="{00000000-0010-0000-2200-000010000000}" name="Prendergast Community Primary School"/>
    <tableColumn id="17" xr3:uid="{00000000-0010-0000-2200-000011000000}" name="Puncheston Community Primary School"/>
    <tableColumn id="18" xr3:uid="{00000000-0010-0000-2200-000012000000}" name="Roch Community School"/>
    <tableColumn id="19" xr3:uid="{00000000-0010-0000-2200-000013000000}" name="Sageston Community Primary School"/>
    <tableColumn id="20" xr3:uid="{00000000-0010-0000-2200-000014000000}" name="Spittal Church In Wales Vc School"/>
    <tableColumn id="21" xr3:uid="{00000000-0010-0000-2200-000015000000}" name="St Francis Catholic School"/>
    <tableColumn id="22" xr3:uid="{00000000-0010-0000-2200-000016000000}" name="St Teilos Rc School"/>
    <tableColumn id="23" xr3:uid="{00000000-0010-0000-2200-000017000000}" name="Stepaside Community Primary School"/>
    <tableColumn id="24" xr3:uid="{00000000-0010-0000-2200-000018000000}" name="Tenby Church In Wales Vc Primary School"/>
    <tableColumn id="25" xr3:uid="{00000000-0010-0000-2200-000019000000}" name="Waldo Williams Primary School"/>
    <tableColumn id="26" xr3:uid="{00000000-0010-0000-2200-00001A000000}" name="Wolfscastle Communty Primary School"/>
    <tableColumn id="27" xr3:uid="{00000000-0010-0000-2200-00001B000000}" name="Ysgol Bro Ingli"/>
    <tableColumn id="28" xr3:uid="{00000000-0010-0000-2200-00001C000000}" name="Ysgol Clydau"/>
    <tableColumn id="29" xr3:uid="{00000000-0010-0000-2200-00001D000000}" name="Ysgol Gymunedol Croesgoch"/>
    <tableColumn id="30" xr3:uid="{00000000-0010-0000-2200-00001E000000}" name="Ysgol Gymunedol Maenclochog"/>
    <tableColumn id="31" xr3:uid="{00000000-0010-0000-2200-00001F000000}" name="Ysgol Gynradd Gymunedol Eglwyswrw"/>
    <tableColumn id="32" xr3:uid="{00000000-0010-0000-2200-000020000000}" name="Ysgol Llandudoch"/>
    <tableColumn id="33" xr3:uid="{00000000-0010-0000-2200-000021000000}" name="Ysgol Llanychllwydog"/>
    <tableColumn id="34" xr3:uid="{00000000-0010-0000-2200-000022000000}" name="Ysgol Penrhyn Dewi (years 3 to 6)"/>
    <tableColumn id="35" xr3:uid="{00000000-0010-0000-2200-000023000000}" name="Ysgol y Frenni"/>
    <tableColumn id="36" xr3:uid="{00000000-0010-0000-2200-000024000000}" name="Secondary in Pembrokeshire: _x000a_Years 7 to 11"/>
    <tableColumn id="37" xr3:uid="{00000000-0010-0000-2200-000025000000}" name="Haverfordwest High Vc School"/>
    <tableColumn id="38" xr3:uid="{00000000-0010-0000-2200-000026000000}" name="Milford Haven School"/>
    <tableColumn id="39" xr3:uid="{00000000-0010-0000-2200-000027000000}" name="Ysgol Bro Gwaun"/>
    <tableColumn id="40" xr3:uid="{00000000-0010-0000-2200-000028000000}" name="Ysgol Caer Elen (years 7 to 11)"/>
    <tableColumn id="41" xr3:uid="{00000000-0010-0000-2200-000029000000}" name="Ysgol Greenhill School"/>
    <tableColumn id="42" xr3:uid="{00000000-0010-0000-2200-00002A000000}" name="Ysgol Harri Tudur / Henry Tudor School"/>
    <tableColumn id="43" xr3:uid="{00000000-0010-0000-2200-00002B000000}" name="Ysgol Penrhyn Dewi (years 7 to 11)"/>
    <tableColumn id="44" xr3:uid="{00000000-0010-0000-2200-00002C000000}" name="Ysgol y Preseli"/>
  </tableColumns>
  <tableStyleInfo name="none" showFirstColumn="0" showLastColumn="0" showRowStripes="1" showColumnStripes="0"/>
  <extLst>
    <ext xmlns:x14="http://schemas.microsoft.com/office/spreadsheetml/2009/9/main" uri="{504A1905-F514-4f6f-8877-14C23A59335A}">
      <x14:table altText="Table 16b" altTextSummary="Table with 29 columns._x000d__x000a__x000d__x000a_Column A shows a list of questions and response option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3 columns"/>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p1" displayName="tablep1" ref="A2:C34" totalsRowShown="0">
  <tableColumns count="3">
    <tableColumn id="1" xr3:uid="{00000000-0010-0000-2300-000001000000}" name=" "/>
    <tableColumn id="2" xr3:uid="{00000000-0010-0000-2300-000002000000}" name="Average (mean) total number of minutes dedicated to PE per week"/>
    <tableColumn id="3" xr3:uid="{00000000-0010-0000-23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P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p2" displayName="tablep2" ref="A2:G56" totalsRowShown="0">
  <tableColumns count="7">
    <tableColumn id="1" xr3:uid="{00000000-0010-0000-2400-000001000000}" name=" "/>
    <tableColumn id="2" xr3:uid="{00000000-0010-0000-2400-000002000000}" name="Activity is provided for any of year groups 3-6"/>
    <tableColumn id="3" xr3:uid="{00000000-0010-0000-2400-000003000000}" name="Activity is provided for all year groups 3-6"/>
    <tableColumn id="4" xr3:uid="{00000000-0010-0000-2400-000004000000}" name="Activities provided: Year 3 groups"/>
    <tableColumn id="5" xr3:uid="{00000000-0010-0000-2400-000005000000}" name="Activities provided: Year 4 groups"/>
    <tableColumn id="6" xr3:uid="{00000000-0010-0000-2400-000006000000}" name="Activities provided: Year 5 groups"/>
    <tableColumn id="7" xr3:uid="{00000000-0010-0000-2400-000007000000}" name="Activities provided: Year 6 groups"/>
  </tableColumns>
  <tableStyleInfo name="none" showFirstColumn="0" showLastColumn="0" showRowStripes="1" showColumnStripes="0"/>
  <extLst>
    <ext xmlns:x14="http://schemas.microsoft.com/office/spreadsheetml/2009/9/main" uri="{504A1905-F514-4f6f-8877-14C23A59335A}">
      <x14:table altText="Table P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p3" displayName="tablep3" ref="A2:E56" totalsRowShown="0">
  <tableColumns count="5">
    <tableColumn id="1" xr3:uid="{00000000-0010-0000-2500-000001000000}" name=" "/>
    <tableColumn id="2" xr3:uid="{00000000-0010-0000-2500-000002000000}" name="Activity is provided for any of year groups 3-6"/>
    <tableColumn id="3" xr3:uid="{00000000-0010-0000-2500-000003000000}" name="Mixed Sessions"/>
    <tableColumn id="4" xr3:uid="{00000000-0010-0000-2500-000004000000}" name="Male Only Sessions"/>
    <tableColumn id="5" xr3:uid="{00000000-0010-0000-2500-000005000000}" name="Female only Sessions"/>
  </tableColumns>
  <tableStyleInfo name="none" showFirstColumn="0" showLastColumn="0" showRowStripes="1" showColumnStripes="0"/>
  <extLst>
    <ext xmlns:x14="http://schemas.microsoft.com/office/spreadsheetml/2009/9/main" uri="{504A1905-F514-4f6f-8877-14C23A59335A}">
      <x14:table altText="Table P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p4" displayName="tablep4" ref="A2:D14" totalsRowShown="0">
  <tableColumns count="4">
    <tableColumn id="1" xr3:uid="{00000000-0010-0000-2600-000001000000}" name=" "/>
    <tableColumn id="2" xr3:uid="{00000000-0010-0000-2600-000002000000}" name="Wales"/>
    <tableColumn id="3" xr3:uid="{00000000-0010-0000-2600-000003000000}" name="Regional Sport Partnership: West Wales"/>
    <tableColumn id="4" xr3:uid="{00000000-0010-0000-2600-000004000000}" name="Pembrokeshire"/>
  </tableColumns>
  <tableStyleInfo name="none" showFirstColumn="0" showLastColumn="0" showRowStripes="1" showColumnStripes="0"/>
  <extLst>
    <ext xmlns:x14="http://schemas.microsoft.com/office/spreadsheetml/2009/9/main" uri="{504A1905-F514-4f6f-8877-14C23A59335A}">
      <x14:table altText="Table P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p5" displayName="tablep5" ref="A2:D20" totalsRowShown="0">
  <tableColumns count="4">
    <tableColumn id="1" xr3:uid="{00000000-0010-0000-2700-000001000000}" name=" "/>
    <tableColumn id="2" xr3:uid="{00000000-0010-0000-2700-000002000000}" name="Wales"/>
    <tableColumn id="3" xr3:uid="{00000000-0010-0000-2700-000003000000}" name="Regional Sport Partnership: West Wales"/>
    <tableColumn id="4" xr3:uid="{00000000-0010-0000-2700-000004000000}" name="Pembrokeshire"/>
  </tableColumns>
  <tableStyleInfo name="none" showFirstColumn="0" showLastColumn="0" showRowStripes="1" showColumnStripes="0"/>
  <extLst>
    <ext xmlns:x14="http://schemas.microsoft.com/office/spreadsheetml/2009/9/main" uri="{504A1905-F514-4f6f-8877-14C23A59335A}">
      <x14:table altText="Table P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p6" displayName="tablep6" ref="A2:G27" totalsRowShown="0">
  <tableColumns count="7">
    <tableColumn id="1" xr3:uid="{00000000-0010-0000-2800-000001000000}" name=" "/>
    <tableColumn id="2" xr3:uid="{00000000-0010-0000-2800-000002000000}" name="Agree strongly"/>
    <tableColumn id="3" xr3:uid="{00000000-0010-0000-2800-000003000000}" name="Agree slightly"/>
    <tableColumn id="4" xr3:uid="{00000000-0010-0000-2800-000004000000}" name="Neither agree nor disagree"/>
    <tableColumn id="5" xr3:uid="{00000000-0010-0000-2800-000005000000}" name="Disagree slightly"/>
    <tableColumn id="6" xr3:uid="{00000000-0010-0000-2800-000006000000}" name="Disagree strongly"/>
    <tableColumn id="7" xr3:uid="{00000000-0010-0000-2800-000007000000}" name="Don't know"/>
  </tableColumns>
  <tableStyleInfo name="none" showFirstColumn="0" showLastColumn="0" showRowStripes="1" showColumnStripes="0"/>
  <extLst>
    <ext xmlns:x14="http://schemas.microsoft.com/office/spreadsheetml/2009/9/main" uri="{504A1905-F514-4f6f-8877-14C23A59335A}">
      <x14:table altText="Table P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p7" displayName="tablep7" ref="A2:E27" totalsRowShown="0">
  <tableColumns count="5">
    <tableColumn id="1" xr3:uid="{00000000-0010-0000-2900-000001000000}" name=" "/>
    <tableColumn id="2" xr3:uid="{00000000-0010-0000-2900-000002000000}" name="Facilities used during previous 12 months by schools"/>
    <tableColumn id="3" xr3:uid="{00000000-0010-0000-2900-000003000000}" name="Facilities Owned by Schools"/>
    <tableColumn id="4" xr3:uid="{00000000-0010-0000-2900-000004000000}" name="School-owned facilities frequently used by pupils"/>
    <tableColumn id="5" xr3:uid="{00000000-0010-0000-29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P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p8" displayName="tablep8" ref="A2:B23" totalsRowShown="0">
  <tableColumns count="2">
    <tableColumn id="1" xr3:uid="{00000000-0010-0000-2A00-000001000000}" name=" "/>
    <tableColumn id="2" xr3:uid="{00000000-0010-0000-2A00-000002000000}" name="Years 3-6"/>
  </tableColumns>
  <tableStyleInfo name="none" showFirstColumn="0" showLastColumn="0" showRowStripes="1" showColumnStripes="0"/>
  <extLst>
    <ext xmlns:x14="http://schemas.microsoft.com/office/spreadsheetml/2009/9/main" uri="{504A1905-F514-4f6f-8877-14C23A59335A}">
      <x14:table altText="Table P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Table with 6 columns."/>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p9" displayName="tablep9" ref="A2:F21" totalsRowShown="0">
  <tableColumns count="6">
    <tableColumn id="1" xr3:uid="{00000000-0010-0000-2B00-000001000000}" name=" "/>
    <tableColumn id="2" xr3:uid="{00000000-0010-0000-2B00-000002000000}" name="Years 3-6"/>
    <tableColumn id="3" xr3:uid="{00000000-0010-0000-2B00-000003000000}" name="Year 3"/>
    <tableColumn id="4" xr3:uid="{00000000-0010-0000-2B00-000004000000}" name="Year 4"/>
    <tableColumn id="5" xr3:uid="{00000000-0010-0000-2B00-000005000000}" name="Year 5"/>
    <tableColumn id="6" xr3:uid="{00000000-0010-0000-2B00-000006000000}" name="Year 6"/>
  </tableColumns>
  <tableStyleInfo name="none" showFirstColumn="0" showLastColumn="0" showRowStripes="1" showColumnStripes="0"/>
  <extLst>
    <ext xmlns:x14="http://schemas.microsoft.com/office/spreadsheetml/2009/9/main" uri="{504A1905-F514-4f6f-8877-14C23A59335A}">
      <x14:table altText="Table P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_x000d__x000a__x000d__x000a_Table with 3 columns"/>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s1" displayName="tables1" ref="A2:C12" totalsRowShown="0">
  <tableColumns count="3">
    <tableColumn id="1" xr3:uid="{00000000-0010-0000-2C00-000001000000}" name=" "/>
    <tableColumn id="2" xr3:uid="{00000000-0010-0000-2C00-000002000000}" name="Average (mean) total number of minutes dedicated to PE per week"/>
    <tableColumn id="3" xr3:uid="{00000000-0010-0000-2C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S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s2" displayName="tables2" ref="A2:H56" totalsRowShown="0">
  <tableColumns count="8">
    <tableColumn id="1" xr3:uid="{00000000-0010-0000-2D00-000001000000}" name=" "/>
    <tableColumn id="2" xr3:uid="{00000000-0010-0000-2D00-000002000000}" name="Activity is provided for any of year groups 7-11"/>
    <tableColumn id="3" xr3:uid="{00000000-0010-0000-2D00-000003000000}" name="Activity is provided for all year groups 7-11"/>
    <tableColumn id="4" xr3:uid="{00000000-0010-0000-2D00-000004000000}" name="Activities provided: Year 7 groups"/>
    <tableColumn id="5" xr3:uid="{00000000-0010-0000-2D00-000005000000}" name="Activities provided: Year 8 groups"/>
    <tableColumn id="6" xr3:uid="{00000000-0010-0000-2D00-000006000000}" name="Activities provided: Year 9 groups"/>
    <tableColumn id="7" xr3:uid="{00000000-0010-0000-2D00-000007000000}" name="Activities provided: Year 10 groups"/>
    <tableColumn id="8" xr3:uid="{00000000-0010-0000-2D00-000008000000}" name="Activities provided: Year 11 groups"/>
  </tableColumns>
  <tableStyleInfo name="none" showFirstColumn="0" showLastColumn="0" showRowStripes="1" showColumnStripes="0"/>
  <extLst>
    <ext xmlns:x14="http://schemas.microsoft.com/office/spreadsheetml/2009/9/main" uri="{504A1905-F514-4f6f-8877-14C23A59335A}">
      <x14:table altText="Table S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s3" displayName="tables3" ref="A2:E56" totalsRowShown="0">
  <tableColumns count="5">
    <tableColumn id="1" xr3:uid="{00000000-0010-0000-2E00-000001000000}" name=" "/>
    <tableColumn id="2" xr3:uid="{00000000-0010-0000-2E00-000002000000}" name="Activity is provided for any of year groups 7-11"/>
    <tableColumn id="3" xr3:uid="{00000000-0010-0000-2E00-000003000000}" name="Mixed Sessions"/>
    <tableColumn id="4" xr3:uid="{00000000-0010-0000-2E00-000004000000}" name="Male Only Sessions"/>
    <tableColumn id="5" xr3:uid="{00000000-0010-0000-2E00-000005000000}" name="Female only Sessions"/>
  </tableColumns>
  <tableStyleInfo name="none" showFirstColumn="0" showLastColumn="0" showRowStripes="1" showColumnStripes="0"/>
  <extLst>
    <ext xmlns:x14="http://schemas.microsoft.com/office/spreadsheetml/2009/9/main" uri="{504A1905-F514-4f6f-8877-14C23A59335A}">
      <x14:table altText="Table S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s4" displayName="tables4" ref="A2:D14" totalsRowShown="0">
  <tableColumns count="4">
    <tableColumn id="1" xr3:uid="{00000000-0010-0000-2F00-000001000000}" name=" "/>
    <tableColumn id="2" xr3:uid="{00000000-0010-0000-2F00-000002000000}" name="Wales"/>
    <tableColumn id="3" xr3:uid="{00000000-0010-0000-2F00-000003000000}" name="Regional Sport Partnership: West Wales"/>
    <tableColumn id="4" xr3:uid="{00000000-0010-0000-2F00-000004000000}" name="Pembrokeshire"/>
  </tableColumns>
  <tableStyleInfo name="none" showFirstColumn="0" showLastColumn="0" showRowStripes="1" showColumnStripes="0"/>
  <extLst>
    <ext xmlns:x14="http://schemas.microsoft.com/office/spreadsheetml/2009/9/main" uri="{504A1905-F514-4f6f-8877-14C23A59335A}">
      <x14:table altText="Table S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s5" displayName="tables5" ref="A2:D20" totalsRowShown="0">
  <tableColumns count="4">
    <tableColumn id="1" xr3:uid="{00000000-0010-0000-3000-000001000000}" name=" "/>
    <tableColumn id="2" xr3:uid="{00000000-0010-0000-3000-000002000000}" name="Wales"/>
    <tableColumn id="3" xr3:uid="{00000000-0010-0000-3000-000003000000}" name="Regional Sport Partnership: West Wales"/>
    <tableColumn id="4" xr3:uid="{00000000-0010-0000-3000-000004000000}" name="Pembrokeshire"/>
  </tableColumns>
  <tableStyleInfo name="none" showFirstColumn="0" showLastColumn="0" showRowStripes="1" showColumnStripes="0"/>
  <extLst>
    <ext xmlns:x14="http://schemas.microsoft.com/office/spreadsheetml/2009/9/main" uri="{504A1905-F514-4f6f-8877-14C23A59335A}">
      <x14:table altText="Table S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s6" displayName="tables6" ref="A2:G27" totalsRowShown="0">
  <tableColumns count="7">
    <tableColumn id="1" xr3:uid="{00000000-0010-0000-3100-000001000000}" name=" "/>
    <tableColumn id="2" xr3:uid="{00000000-0010-0000-3100-000002000000}" name="Agree strongly"/>
    <tableColumn id="3" xr3:uid="{00000000-0010-0000-3100-000003000000}" name="Agree slightly"/>
    <tableColumn id="4" xr3:uid="{00000000-0010-0000-3100-000004000000}" name="Neither agree nor disagree"/>
    <tableColumn id="5" xr3:uid="{00000000-0010-0000-3100-000005000000}" name="Disagree slightly"/>
    <tableColumn id="6" xr3:uid="{00000000-0010-0000-3100-000006000000}" name="Disagree strongly"/>
    <tableColumn id="7" xr3:uid="{00000000-0010-0000-3100-000007000000}" name="Don't know"/>
  </tableColumns>
  <tableStyleInfo name="none" showFirstColumn="0" showLastColumn="0" showRowStripes="1" showColumnStripes="0"/>
  <extLst>
    <ext xmlns:x14="http://schemas.microsoft.com/office/spreadsheetml/2009/9/main" uri="{504A1905-F514-4f6f-8877-14C23A59335A}">
      <x14:table altText="Table S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s7" displayName="tables7" ref="A2:E27" totalsRowShown="0">
  <tableColumns count="5">
    <tableColumn id="1" xr3:uid="{00000000-0010-0000-3200-000001000000}" name=" "/>
    <tableColumn id="2" xr3:uid="{00000000-0010-0000-3200-000002000000}" name="Facilities used during previous 12 months by schools"/>
    <tableColumn id="3" xr3:uid="{00000000-0010-0000-3200-000003000000}" name="Facilities Owned by Schools"/>
    <tableColumn id="4" xr3:uid="{00000000-0010-0000-3200-000004000000}" name="School-owned facilities frequently used by pupils"/>
    <tableColumn id="5" xr3:uid="{00000000-0010-0000-32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S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s8" displayName="tables8" ref="A2:B23" totalsRowShown="0">
  <tableColumns count="2">
    <tableColumn id="1" xr3:uid="{00000000-0010-0000-3300-000001000000}" name=" "/>
    <tableColumn id="2" xr3:uid="{00000000-0010-0000-3300-000002000000}" name="Years 7-11"/>
  </tableColumns>
  <tableStyleInfo name="none" showFirstColumn="0" showLastColumn="0" showRowStripes="1" showColumnStripes="0"/>
  <extLst>
    <ext xmlns:x14="http://schemas.microsoft.com/office/spreadsheetml/2009/9/main" uri="{504A1905-F514-4f6f-8877-14C23A59335A}">
      <x14:table altText="Table S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_x000d__x000a_Table with 6 columns."/>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4000000}" name="tables9" displayName="tables9" ref="A2:G21" totalsRowShown="0">
  <tableColumns count="7">
    <tableColumn id="1" xr3:uid="{00000000-0010-0000-3400-000001000000}" name=" "/>
    <tableColumn id="2" xr3:uid="{00000000-0010-0000-3400-000002000000}" name="Years 7-11"/>
    <tableColumn id="3" xr3:uid="{00000000-0010-0000-3400-000003000000}" name="Year 7"/>
    <tableColumn id="4" xr3:uid="{00000000-0010-0000-3400-000004000000}" name="Year 8"/>
    <tableColumn id="5" xr3:uid="{00000000-0010-0000-3400-000005000000}" name="Year 9"/>
    <tableColumn id="6" xr3:uid="{00000000-0010-0000-3400-000006000000}" name="Year 10"/>
    <tableColumn id="7" xr3:uid="{00000000-0010-0000-3400-000007000000}" name="Year 11"/>
  </tableColumns>
  <tableStyleInfo name="none" showFirstColumn="0" showLastColumn="0" showRowStripes="1" showColumnStripes="0"/>
  <extLst>
    <ext xmlns:x14="http://schemas.microsoft.com/office/spreadsheetml/2009/9/main" uri="{504A1905-F514-4f6f-8877-14C23A59335A}">
      <x14:table altText="Table S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abSelected="1" workbookViewId="0"/>
  </sheetViews>
  <sheetFormatPr defaultColWidth="10.90625" defaultRowHeight="15"/>
  <cols>
    <col min="1" max="1" width="9.6796875" customWidth="1"/>
    <col min="2" max="2" width="100.6796875" customWidth="1"/>
  </cols>
  <sheetData>
    <row r="1" spans="1:2" ht="30" customHeight="1">
      <c r="A1" s="40" t="s">
        <v>512</v>
      </c>
      <c r="B1" s="43"/>
    </row>
    <row r="2" spans="1:2" ht="30" customHeight="1">
      <c r="A2" s="41" t="s">
        <v>513</v>
      </c>
      <c r="B2" s="43"/>
    </row>
    <row r="3" spans="1:2">
      <c r="A3" s="3" t="s">
        <v>514</v>
      </c>
      <c r="B3" s="44"/>
    </row>
    <row r="4" spans="1:2" ht="30" customHeight="1">
      <c r="A4" s="42" t="str">
        <f>HYPERLINK("#'Table 1'!A1", "Table 1")</f>
        <v>Table 1</v>
      </c>
      <c r="B4" s="45" t="s">
        <v>515</v>
      </c>
    </row>
    <row r="5" spans="1:2">
      <c r="A5" s="3" t="s">
        <v>516</v>
      </c>
      <c r="B5" s="44"/>
    </row>
    <row r="6" spans="1:2">
      <c r="A6" s="42" t="str">
        <f>HYPERLINK("#'Table 2'!A1", "Table 2")</f>
        <v>Table 2</v>
      </c>
      <c r="B6" s="45" t="s">
        <v>517</v>
      </c>
    </row>
    <row r="7" spans="1:2">
      <c r="A7" s="42" t="str">
        <f>HYPERLINK("#'Table 3'!A1", "Table 3")</f>
        <v>Table 3</v>
      </c>
      <c r="B7" s="45" t="s">
        <v>518</v>
      </c>
    </row>
    <row r="8" spans="1:2">
      <c r="A8" s="42" t="str">
        <f>HYPERLINK("#'Table 4'!A1", "Table 4")</f>
        <v>Table 4</v>
      </c>
      <c r="B8" s="45" t="s">
        <v>519</v>
      </c>
    </row>
    <row r="9" spans="1:2">
      <c r="A9" s="42" t="str">
        <f>HYPERLINK("#'Table 5'!A1", "Table 5")</f>
        <v>Table 5</v>
      </c>
      <c r="B9" s="45" t="s">
        <v>520</v>
      </c>
    </row>
    <row r="10" spans="1:2" ht="30" customHeight="1">
      <c r="A10" s="42" t="str">
        <f>HYPERLINK("#'Table 6'!A1", "Table 6")</f>
        <v>Table 6</v>
      </c>
      <c r="B10" s="45" t="s">
        <v>521</v>
      </c>
    </row>
    <row r="11" spans="1:2">
      <c r="A11" s="3" t="s">
        <v>522</v>
      </c>
      <c r="B11" s="44"/>
    </row>
    <row r="12" spans="1:2">
      <c r="A12" s="42" t="str">
        <f>HYPERLINK("#'Table 7a'!A1", "Table 7a")</f>
        <v>Table 7a</v>
      </c>
      <c r="B12" s="45" t="s">
        <v>523</v>
      </c>
    </row>
    <row r="13" spans="1:2">
      <c r="A13" s="42" t="str">
        <f>HYPERLINK("#'Table 7b'!A1", "Table 7b")</f>
        <v>Table 7b</v>
      </c>
      <c r="B13" s="45" t="s">
        <v>524</v>
      </c>
    </row>
    <row r="14" spans="1:2">
      <c r="A14" s="42" t="str">
        <f>HYPERLINK("#'Table 7c'!A1", "Table 7c")</f>
        <v>Table 7c</v>
      </c>
      <c r="B14" s="45" t="s">
        <v>525</v>
      </c>
    </row>
    <row r="15" spans="1:2">
      <c r="A15" s="42" t="str">
        <f>HYPERLINK("#'Table 8a'!A1", "Table 8a")</f>
        <v>Table 8a</v>
      </c>
      <c r="B15" s="45" t="s">
        <v>526</v>
      </c>
    </row>
    <row r="16" spans="1:2">
      <c r="A16" s="42" t="str">
        <f>HYPERLINK("#'Table 8b'!A1", "Table 8b")</f>
        <v>Table 8b</v>
      </c>
      <c r="B16" s="45" t="s">
        <v>524</v>
      </c>
    </row>
    <row r="17" spans="1:2">
      <c r="A17" s="42" t="str">
        <f>HYPERLINK("#'Table 8c'!A1", "Table 8c")</f>
        <v>Table 8c</v>
      </c>
      <c r="B17" s="45" t="s">
        <v>525</v>
      </c>
    </row>
    <row r="18" spans="1:2">
      <c r="A18" s="42" t="str">
        <f>HYPERLINK("#'Table 9a'!A1", "Table 9a")</f>
        <v>Table 9a</v>
      </c>
      <c r="B18" s="45" t="s">
        <v>527</v>
      </c>
    </row>
    <row r="19" spans="1:2">
      <c r="A19" s="42" t="str">
        <f>HYPERLINK("#'Table 9b'!A1", "Table 9b")</f>
        <v>Table 9b</v>
      </c>
      <c r="B19" s="45" t="s">
        <v>524</v>
      </c>
    </row>
    <row r="20" spans="1:2">
      <c r="A20" s="42" t="str">
        <f>HYPERLINK("#'Table 9c'!A1", "Table 9c")</f>
        <v>Table 9c</v>
      </c>
      <c r="B20" s="45" t="s">
        <v>525</v>
      </c>
    </row>
    <row r="21" spans="1:2">
      <c r="A21" s="42" t="str">
        <f>HYPERLINK("#'Table 10a'!A1", "Table 10a")</f>
        <v>Table 10a</v>
      </c>
      <c r="B21" s="45" t="s">
        <v>528</v>
      </c>
    </row>
    <row r="22" spans="1:2">
      <c r="A22" s="42" t="str">
        <f>HYPERLINK("#'Table 10b'!A1", "Table 10b")</f>
        <v>Table 10b</v>
      </c>
      <c r="B22" s="45" t="s">
        <v>524</v>
      </c>
    </row>
    <row r="23" spans="1:2" ht="30" customHeight="1">
      <c r="A23" s="42" t="str">
        <f>HYPERLINK("#'Table 10c'!A1", "Table 10c")</f>
        <v>Table 10c</v>
      </c>
      <c r="B23" s="45" t="s">
        <v>525</v>
      </c>
    </row>
    <row r="24" spans="1:2">
      <c r="A24" s="3" t="s">
        <v>529</v>
      </c>
      <c r="B24" s="44"/>
    </row>
    <row r="25" spans="1:2">
      <c r="A25" s="42" t="str">
        <f>HYPERLINK("#'Table 11a'!A1", "Table 11a")</f>
        <v>Table 11a</v>
      </c>
      <c r="B25" s="45" t="s">
        <v>530</v>
      </c>
    </row>
    <row r="26" spans="1:2">
      <c r="A26" s="42" t="str">
        <f>HYPERLINK("#'Table 11b'!A1", "Table 11b")</f>
        <v>Table 11b</v>
      </c>
      <c r="B26" s="45" t="s">
        <v>531</v>
      </c>
    </row>
    <row r="27" spans="1:2" ht="30" customHeight="1">
      <c r="A27" s="42" t="str">
        <f>HYPERLINK("#'Table 11c'!A1", "Table 11c")</f>
        <v>Table 11c</v>
      </c>
      <c r="B27" s="45" t="s">
        <v>532</v>
      </c>
    </row>
    <row r="28" spans="1:2">
      <c r="A28" s="3" t="s">
        <v>533</v>
      </c>
      <c r="B28" s="44"/>
    </row>
    <row r="29" spans="1:2">
      <c r="A29" s="42" t="str">
        <f>HYPERLINK("#'Table 12a'!A1", "Table 12a")</f>
        <v>Table 12a</v>
      </c>
      <c r="B29" s="45" t="s">
        <v>534</v>
      </c>
    </row>
    <row r="30" spans="1:2">
      <c r="A30" s="42" t="str">
        <f>HYPERLINK("#'Table 12b'!A1", "Table 12b")</f>
        <v>Table 12b</v>
      </c>
      <c r="B30" s="45" t="s">
        <v>525</v>
      </c>
    </row>
    <row r="31" spans="1:2">
      <c r="A31" s="42" t="str">
        <f>HYPERLINK("#'Table 12c'!A1", "Table 12c")</f>
        <v>Table 12c</v>
      </c>
      <c r="B31" s="45" t="s">
        <v>535</v>
      </c>
    </row>
    <row r="32" spans="1:2">
      <c r="A32" s="42" t="str">
        <f>HYPERLINK("#'Table 13a'!A1", "Table 13a")</f>
        <v>Table 13a</v>
      </c>
      <c r="B32" s="45" t="s">
        <v>536</v>
      </c>
    </row>
    <row r="33" spans="1:2">
      <c r="A33" s="42" t="str">
        <f>HYPERLINK("#'Table 13b'!A1", "Table 13b")</f>
        <v>Table 13b</v>
      </c>
      <c r="B33" s="45" t="s">
        <v>525</v>
      </c>
    </row>
    <row r="34" spans="1:2" ht="30" customHeight="1">
      <c r="A34" s="42" t="str">
        <f>HYPERLINK("#'Table 13c'!A1", "Table 13c")</f>
        <v>Table 13c</v>
      </c>
      <c r="B34" s="45" t="s">
        <v>535</v>
      </c>
    </row>
    <row r="35" spans="1:2">
      <c r="A35" s="3" t="s">
        <v>537</v>
      </c>
      <c r="B35" s="44"/>
    </row>
    <row r="36" spans="1:2">
      <c r="A36" s="42" t="str">
        <f>HYPERLINK("#'Table 14a'!A1", "Table 14a")</f>
        <v>Table 14a</v>
      </c>
      <c r="B36" s="45" t="s">
        <v>538</v>
      </c>
    </row>
    <row r="37" spans="1:2">
      <c r="A37" s="42" t="str">
        <f>HYPERLINK("#'Table 14b'!A1", "Table 14b")</f>
        <v>Table 14b</v>
      </c>
      <c r="B37" s="45" t="s">
        <v>539</v>
      </c>
    </row>
    <row r="38" spans="1:2">
      <c r="A38" s="42" t="str">
        <f>HYPERLINK("#'Table 15a'!A1", "Table 15a")</f>
        <v>Table 15a</v>
      </c>
      <c r="B38" s="45" t="s">
        <v>540</v>
      </c>
    </row>
    <row r="39" spans="1:2">
      <c r="A39" s="42" t="str">
        <f>HYPERLINK("#'Table 15b'!A1", "Table 15b")</f>
        <v>Table 15b</v>
      </c>
      <c r="B39" s="45" t="s">
        <v>539</v>
      </c>
    </row>
    <row r="40" spans="1:2">
      <c r="A40" s="42" t="str">
        <f>HYPERLINK("#'Table 16a'!A1", "Table 16a")</f>
        <v>Table 16a</v>
      </c>
      <c r="B40" s="45" t="s">
        <v>541</v>
      </c>
    </row>
    <row r="41" spans="1:2" ht="30" customHeight="1">
      <c r="A41" s="42" t="str">
        <f>HYPERLINK("#'Table 16b'!A1", "Table 16b")</f>
        <v>Table 16b</v>
      </c>
      <c r="B41" s="45" t="s">
        <v>539</v>
      </c>
    </row>
    <row r="42" spans="1:2">
      <c r="A42" s="3" t="s">
        <v>542</v>
      </c>
      <c r="B42" s="44"/>
    </row>
    <row r="43" spans="1:2">
      <c r="A43" s="42" t="str">
        <f>HYPERLINK("#'Table P1'!A1", "Table P1")</f>
        <v>Table P1</v>
      </c>
      <c r="B43" s="45" t="s">
        <v>543</v>
      </c>
    </row>
    <row r="44" spans="1:2">
      <c r="A44" s="42" t="str">
        <f>HYPERLINK("#'Table P2'!A1", "Table P2")</f>
        <v>Table P2</v>
      </c>
      <c r="B44" s="45" t="s">
        <v>544</v>
      </c>
    </row>
    <row r="45" spans="1:2">
      <c r="A45" s="42" t="str">
        <f>HYPERLINK("#'Table P3'!A1", "Table P3")</f>
        <v>Table P3</v>
      </c>
      <c r="B45" s="45" t="s">
        <v>545</v>
      </c>
    </row>
    <row r="46" spans="1:2">
      <c r="A46" s="42" t="str">
        <f>HYPERLINK("#'Table P4'!A1", "Table P4")</f>
        <v>Table P4</v>
      </c>
      <c r="B46" s="45" t="s">
        <v>546</v>
      </c>
    </row>
    <row r="47" spans="1:2">
      <c r="A47" s="42" t="str">
        <f>HYPERLINK("#'Table P5'!A1", "Table P5")</f>
        <v>Table P5</v>
      </c>
      <c r="B47" s="45" t="s">
        <v>547</v>
      </c>
    </row>
    <row r="48" spans="1:2">
      <c r="A48" s="42" t="str">
        <f>HYPERLINK("#'Table P6'!A1", "Table P6")</f>
        <v>Table P6</v>
      </c>
      <c r="B48" s="45" t="s">
        <v>548</v>
      </c>
    </row>
    <row r="49" spans="1:2">
      <c r="A49" s="42" t="str">
        <f>HYPERLINK("#'Table P7'!A1", "Table P7")</f>
        <v>Table P7</v>
      </c>
      <c r="B49" s="45" t="s">
        <v>549</v>
      </c>
    </row>
    <row r="50" spans="1:2">
      <c r="A50" s="42" t="str">
        <f>HYPERLINK("#'Table P8'!A1", "Table P8")</f>
        <v>Table P8</v>
      </c>
      <c r="B50" s="45" t="s">
        <v>550</v>
      </c>
    </row>
    <row r="51" spans="1:2">
      <c r="A51" s="42" t="str">
        <f>HYPERLINK("#'Table P9'!A1", "Table P9")</f>
        <v>Table P9</v>
      </c>
      <c r="B51" s="45" t="s">
        <v>551</v>
      </c>
    </row>
    <row r="52" spans="1:2">
      <c r="A52" s="42" t="str">
        <f>HYPERLINK("#'Table S1'!A1", "Table S1")</f>
        <v>Table S1</v>
      </c>
      <c r="B52" s="45" t="s">
        <v>552</v>
      </c>
    </row>
    <row r="53" spans="1:2">
      <c r="A53" s="42" t="str">
        <f>HYPERLINK("#'Table S2'!A1", "Table S2")</f>
        <v>Table S2</v>
      </c>
      <c r="B53" s="45" t="s">
        <v>553</v>
      </c>
    </row>
    <row r="54" spans="1:2">
      <c r="A54" s="42" t="str">
        <f>HYPERLINK("#'Table S3'!A1", "Table S3")</f>
        <v>Table S3</v>
      </c>
      <c r="B54" s="45" t="s">
        <v>554</v>
      </c>
    </row>
    <row r="55" spans="1:2">
      <c r="A55" s="42" t="str">
        <f>HYPERLINK("#'Table S4'!A1", "Table S4")</f>
        <v>Table S4</v>
      </c>
      <c r="B55" s="45" t="s">
        <v>555</v>
      </c>
    </row>
    <row r="56" spans="1:2">
      <c r="A56" s="42" t="str">
        <f>HYPERLINK("#'Table S5'!A1", "Table S5")</f>
        <v>Table S5</v>
      </c>
      <c r="B56" s="45" t="s">
        <v>556</v>
      </c>
    </row>
    <row r="57" spans="1:2">
      <c r="A57" s="42" t="str">
        <f>HYPERLINK("#'Table S6'!A1", "Table S6")</f>
        <v>Table S6</v>
      </c>
      <c r="B57" s="45" t="s">
        <v>557</v>
      </c>
    </row>
    <row r="58" spans="1:2">
      <c r="A58" s="42" t="str">
        <f>HYPERLINK("#'Table S7'!A1", "Table S7")</f>
        <v>Table S7</v>
      </c>
      <c r="B58" s="45" t="s">
        <v>558</v>
      </c>
    </row>
    <row r="59" spans="1:2">
      <c r="A59" s="42" t="str">
        <f>HYPERLINK("#'Table S8'!A1", "Table S8")</f>
        <v>Table S8</v>
      </c>
      <c r="B59" s="45" t="s">
        <v>559</v>
      </c>
    </row>
    <row r="60" spans="1:2" ht="30" customHeight="1">
      <c r="A60" s="46" t="str">
        <f>HYPERLINK("#'Table S9'!A1", "Table S9")</f>
        <v>Table S9</v>
      </c>
      <c r="B60" s="48" t="s">
        <v>560</v>
      </c>
    </row>
    <row r="61" spans="1:2" ht="45" customHeight="1">
      <c r="A61" s="49" t="s">
        <v>561</v>
      </c>
      <c r="B61" s="47"/>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ColWidth="10.90625" defaultRowHeight="15"/>
  <cols>
    <col min="1" max="1" width="23.6796875" customWidth="1"/>
    <col min="2" max="2" width="140.6796875" customWidth="1"/>
  </cols>
  <sheetData>
    <row r="1" spans="1:2" ht="30" customHeight="1">
      <c r="A1" s="1" t="s">
        <v>0</v>
      </c>
    </row>
    <row r="2" spans="1:2">
      <c r="A2" s="3" t="s">
        <v>1</v>
      </c>
      <c r="B2" s="2" t="s">
        <v>2</v>
      </c>
    </row>
    <row r="3" spans="1:2">
      <c r="A3" s="4" t="s">
        <v>3</v>
      </c>
      <c r="B3" s="5" t="s">
        <v>4</v>
      </c>
    </row>
    <row r="4" spans="1:2" ht="105">
      <c r="A4" s="4" t="s">
        <v>5</v>
      </c>
      <c r="B4" s="5" t="s">
        <v>6</v>
      </c>
    </row>
    <row r="5" spans="1:2" ht="195">
      <c r="A5" s="4" t="s">
        <v>7</v>
      </c>
      <c r="B5" s="5" t="s">
        <v>8</v>
      </c>
    </row>
    <row r="6" spans="1:2" ht="45">
      <c r="A6" s="4" t="s">
        <v>9</v>
      </c>
      <c r="B6" s="5" t="s">
        <v>10</v>
      </c>
    </row>
    <row r="7" spans="1:2" ht="75">
      <c r="A7" s="4" t="s">
        <v>11</v>
      </c>
      <c r="B7" s="5" t="s">
        <v>12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7"/>
  <sheetViews>
    <sheetView zoomScale="70" workbookViewId="0"/>
  </sheetViews>
  <sheetFormatPr defaultColWidth="10.90625" defaultRowHeight="15"/>
  <cols>
    <col min="1" max="1" width="51.6796875" customWidth="1"/>
    <col min="2" max="5" width="15.90625" customWidth="1"/>
  </cols>
  <sheetData>
    <row r="1" spans="1:5" ht="39.9" customHeight="1">
      <c r="A1" s="10" t="s">
        <v>13</v>
      </c>
      <c r="B1" s="12"/>
      <c r="C1" s="12"/>
      <c r="D1" s="12"/>
      <c r="E1" s="12"/>
    </row>
    <row r="2" spans="1:5" ht="30">
      <c r="A2" s="7" t="s">
        <v>14</v>
      </c>
      <c r="B2" s="6" t="s">
        <v>15</v>
      </c>
      <c r="C2" s="6" t="s">
        <v>16</v>
      </c>
      <c r="D2" s="6" t="s">
        <v>17</v>
      </c>
      <c r="E2" s="8" t="s">
        <v>7</v>
      </c>
    </row>
    <row r="3" spans="1:5" ht="21.9" customHeight="1">
      <c r="A3" s="22" t="s">
        <v>18</v>
      </c>
      <c r="B3" s="13">
        <v>115167</v>
      </c>
      <c r="C3" s="13">
        <v>313088</v>
      </c>
      <c r="D3" s="15">
        <v>36.7842267988553</v>
      </c>
      <c r="E3" s="17">
        <v>2.2960094893883102E-3</v>
      </c>
    </row>
    <row r="4" spans="1:5">
      <c r="A4" s="22" t="s">
        <v>19</v>
      </c>
      <c r="B4" s="13">
        <v>24572</v>
      </c>
      <c r="C4" s="13">
        <v>68079</v>
      </c>
      <c r="D4" s="15">
        <v>36.093362123415403</v>
      </c>
      <c r="E4" s="17">
        <v>4.9977418106933198E-3</v>
      </c>
    </row>
    <row r="5" spans="1:5">
      <c r="A5" s="22" t="s">
        <v>20</v>
      </c>
      <c r="B5" s="13">
        <v>5469</v>
      </c>
      <c r="C5" s="13">
        <v>11548</v>
      </c>
      <c r="D5" s="15">
        <v>47.358850017319</v>
      </c>
      <c r="E5" s="17">
        <v>9.61388835198204E-3</v>
      </c>
    </row>
    <row r="6" spans="1:5">
      <c r="A6" s="23" t="s">
        <v>21</v>
      </c>
      <c r="B6" s="13"/>
      <c r="C6" s="13"/>
      <c r="D6" s="15"/>
      <c r="E6" s="17"/>
    </row>
    <row r="7" spans="1:5" ht="21.9" customHeight="1">
      <c r="A7" s="22" t="s">
        <v>22</v>
      </c>
      <c r="B7" s="13"/>
      <c r="C7" s="13"/>
      <c r="D7" s="15"/>
      <c r="E7" s="17"/>
    </row>
    <row r="8" spans="1:5">
      <c r="A8" s="9" t="s">
        <v>23</v>
      </c>
      <c r="B8" s="13">
        <v>2674</v>
      </c>
      <c r="C8" s="13">
        <v>5839</v>
      </c>
      <c r="D8" s="15">
        <v>45.795512930296297</v>
      </c>
      <c r="E8" s="17">
        <v>1.39506477814525E-2</v>
      </c>
    </row>
    <row r="9" spans="1:5">
      <c r="A9" s="9" t="s">
        <v>24</v>
      </c>
      <c r="B9" s="13">
        <v>2615</v>
      </c>
      <c r="C9" s="13">
        <v>5709</v>
      </c>
      <c r="D9" s="15">
        <v>45.804869504291503</v>
      </c>
      <c r="E9" s="17">
        <v>1.4105879436385501E-2</v>
      </c>
    </row>
    <row r="10" spans="1:5">
      <c r="A10" s="9" t="s">
        <v>25</v>
      </c>
      <c r="B10" s="13">
        <v>65</v>
      </c>
      <c r="C10" s="19" t="s">
        <v>80</v>
      </c>
      <c r="D10" s="20" t="s">
        <v>80</v>
      </c>
      <c r="E10" s="21" t="s">
        <v>80</v>
      </c>
    </row>
    <row r="11" spans="1:5">
      <c r="A11" s="9" t="s">
        <v>26</v>
      </c>
      <c r="B11" s="13">
        <v>115</v>
      </c>
      <c r="C11" s="19" t="s">
        <v>80</v>
      </c>
      <c r="D11" s="20" t="s">
        <v>80</v>
      </c>
      <c r="E11" s="21" t="s">
        <v>80</v>
      </c>
    </row>
    <row r="12" spans="1:5" ht="21.9" customHeight="1">
      <c r="A12" s="22" t="s">
        <v>27</v>
      </c>
      <c r="B12" s="13"/>
      <c r="C12" s="13"/>
      <c r="D12" s="15"/>
      <c r="E12" s="17"/>
    </row>
    <row r="13" spans="1:5">
      <c r="A13" s="9" t="s">
        <v>28</v>
      </c>
      <c r="B13" s="13">
        <v>1163</v>
      </c>
      <c r="C13" s="13">
        <v>2535</v>
      </c>
      <c r="D13" s="15">
        <v>45.877712031558197</v>
      </c>
      <c r="E13" s="17">
        <v>2.11332340998595E-2</v>
      </c>
    </row>
    <row r="14" spans="1:5">
      <c r="A14" s="9" t="s">
        <v>29</v>
      </c>
      <c r="B14" s="13">
        <v>1549</v>
      </c>
      <c r="C14" s="13">
        <v>2838</v>
      </c>
      <c r="D14" s="15">
        <v>54.580690627202301</v>
      </c>
      <c r="E14" s="17">
        <v>1.67745972885932E-2</v>
      </c>
    </row>
    <row r="15" spans="1:5">
      <c r="A15" s="9" t="s">
        <v>30</v>
      </c>
      <c r="B15" s="13">
        <v>2333</v>
      </c>
      <c r="C15" s="13">
        <v>3755</v>
      </c>
      <c r="D15" s="15">
        <v>62.130492676431402</v>
      </c>
      <c r="E15" s="17">
        <v>1.24813273767675E-2</v>
      </c>
    </row>
    <row r="16" spans="1:5">
      <c r="A16" s="9" t="s">
        <v>31</v>
      </c>
      <c r="B16" s="13">
        <v>424</v>
      </c>
      <c r="C16" s="13">
        <v>2420</v>
      </c>
      <c r="D16" s="15">
        <v>17.520661157024801</v>
      </c>
      <c r="E16" s="17">
        <v>4.32122534253176E-2</v>
      </c>
    </row>
    <row r="17" spans="1:5" ht="21.9" customHeight="1">
      <c r="A17" s="22" t="s">
        <v>32</v>
      </c>
      <c r="B17" s="13"/>
      <c r="C17" s="13"/>
      <c r="D17" s="15"/>
      <c r="E17" s="17"/>
    </row>
    <row r="18" spans="1:5">
      <c r="A18" s="9" t="s">
        <v>33</v>
      </c>
      <c r="B18" s="13">
        <v>2712</v>
      </c>
      <c r="C18" s="13">
        <v>5373</v>
      </c>
      <c r="D18" s="15">
        <v>50.474595198213301</v>
      </c>
      <c r="E18" s="17">
        <v>1.3240781873539199E-2</v>
      </c>
    </row>
    <row r="19" spans="1:5">
      <c r="A19" s="9" t="s">
        <v>34</v>
      </c>
      <c r="B19" s="13">
        <v>2757</v>
      </c>
      <c r="C19" s="13">
        <v>6175</v>
      </c>
      <c r="D19" s="15">
        <v>44.647773279352201</v>
      </c>
      <c r="E19" s="17">
        <v>1.3883907164427001E-2</v>
      </c>
    </row>
    <row r="20" spans="1:5" ht="21.9" customHeight="1">
      <c r="A20" s="22" t="s">
        <v>35</v>
      </c>
      <c r="B20" s="13"/>
      <c r="C20" s="13"/>
      <c r="D20" s="15"/>
      <c r="E20" s="17"/>
    </row>
    <row r="21" spans="1:5">
      <c r="A21" s="9" t="s">
        <v>36</v>
      </c>
      <c r="B21" s="13">
        <v>4864</v>
      </c>
      <c r="C21" s="13">
        <v>10985</v>
      </c>
      <c r="D21" s="15">
        <v>44.278561675011403</v>
      </c>
      <c r="E21" s="17">
        <v>1.04882969061003E-2</v>
      </c>
    </row>
    <row r="22" spans="1:5">
      <c r="A22" s="9" t="s">
        <v>37</v>
      </c>
      <c r="B22" s="13">
        <v>4637</v>
      </c>
      <c r="C22" s="13">
        <v>10700</v>
      </c>
      <c r="D22" s="15">
        <v>43.336448598130801</v>
      </c>
      <c r="E22" s="17">
        <v>1.0832372972576E-2</v>
      </c>
    </row>
    <row r="23" spans="1:5">
      <c r="A23" s="9" t="s">
        <v>38</v>
      </c>
      <c r="B23" s="13">
        <v>22</v>
      </c>
      <c r="C23" s="19" t="s">
        <v>80</v>
      </c>
      <c r="D23" s="20" t="s">
        <v>80</v>
      </c>
      <c r="E23" s="21" t="s">
        <v>80</v>
      </c>
    </row>
    <row r="24" spans="1:5">
      <c r="A24" s="9" t="s">
        <v>39</v>
      </c>
      <c r="B24" s="13">
        <v>56</v>
      </c>
      <c r="C24" s="13">
        <v>115</v>
      </c>
      <c r="D24" s="15">
        <v>48.695652173912997</v>
      </c>
      <c r="E24" s="17">
        <v>9.3003038753533801E-2</v>
      </c>
    </row>
    <row r="25" spans="1:5">
      <c r="A25" s="9" t="s">
        <v>40</v>
      </c>
      <c r="B25" s="13">
        <v>6</v>
      </c>
      <c r="C25" s="19" t="s">
        <v>80</v>
      </c>
      <c r="D25" s="20" t="s">
        <v>80</v>
      </c>
      <c r="E25" s="21" t="s">
        <v>80</v>
      </c>
    </row>
    <row r="26" spans="1:5">
      <c r="A26" s="9" t="s">
        <v>41</v>
      </c>
      <c r="B26" s="13">
        <v>143</v>
      </c>
      <c r="C26" s="13">
        <v>170</v>
      </c>
      <c r="D26" s="15">
        <v>84.117647058823493</v>
      </c>
      <c r="E26" s="17">
        <v>3.20494270682187E-2</v>
      </c>
    </row>
    <row r="27" spans="1:5">
      <c r="A27" s="9" t="s">
        <v>42</v>
      </c>
      <c r="B27" s="13">
        <v>126</v>
      </c>
      <c r="C27" s="13">
        <v>235</v>
      </c>
      <c r="D27" s="15">
        <v>53.6170212765957</v>
      </c>
      <c r="E27" s="17">
        <v>5.91859672845199E-2</v>
      </c>
    </row>
    <row r="28" spans="1:5">
      <c r="A28" s="9" t="s">
        <v>43</v>
      </c>
      <c r="B28" s="13">
        <v>17</v>
      </c>
      <c r="C28" s="13">
        <v>35</v>
      </c>
      <c r="D28" s="15">
        <v>48.571428571428598</v>
      </c>
      <c r="E28" s="17">
        <v>0.16565023392678899</v>
      </c>
    </row>
    <row r="29" spans="1:5">
      <c r="A29" s="9" t="s">
        <v>44</v>
      </c>
      <c r="B29" s="13">
        <v>24</v>
      </c>
      <c r="C29" s="13">
        <v>35</v>
      </c>
      <c r="D29" s="15">
        <v>68.571428571428598</v>
      </c>
      <c r="E29" s="17">
        <v>0.106926766215636</v>
      </c>
    </row>
    <row r="30" spans="1:5">
      <c r="A30" s="9" t="s">
        <v>45</v>
      </c>
      <c r="B30" s="13">
        <v>21</v>
      </c>
      <c r="C30" s="13">
        <v>75</v>
      </c>
      <c r="D30" s="15">
        <v>28</v>
      </c>
      <c r="E30" s="17">
        <v>0.17977269598640999</v>
      </c>
    </row>
    <row r="31" spans="1:5">
      <c r="A31" s="9" t="s">
        <v>46</v>
      </c>
      <c r="B31" s="13">
        <v>64</v>
      </c>
      <c r="C31" s="13">
        <v>85</v>
      </c>
      <c r="D31" s="15">
        <v>75.294117647058798</v>
      </c>
      <c r="E31" s="17">
        <v>5.9421228133901598E-2</v>
      </c>
    </row>
    <row r="32" spans="1:5">
      <c r="A32" s="9" t="s">
        <v>47</v>
      </c>
      <c r="B32" s="13">
        <v>101</v>
      </c>
      <c r="C32" s="13">
        <v>100</v>
      </c>
      <c r="D32" s="20" t="s">
        <v>80</v>
      </c>
      <c r="E32" s="21" t="s">
        <v>80</v>
      </c>
    </row>
    <row r="33" spans="1:5">
      <c r="A33" s="9" t="s">
        <v>48</v>
      </c>
      <c r="B33" s="13">
        <v>11</v>
      </c>
      <c r="C33" s="13">
        <v>10</v>
      </c>
      <c r="D33" s="20" t="s">
        <v>80</v>
      </c>
      <c r="E33" s="21" t="s">
        <v>80</v>
      </c>
    </row>
    <row r="34" spans="1:5">
      <c r="A34" s="9" t="s">
        <v>49</v>
      </c>
      <c r="B34" s="13">
        <v>13</v>
      </c>
      <c r="C34" s="13">
        <v>15</v>
      </c>
      <c r="D34" s="15">
        <v>86.6666666666667</v>
      </c>
      <c r="E34" s="17">
        <v>7.0179257655864399E-2</v>
      </c>
    </row>
    <row r="35" spans="1:5">
      <c r="A35" s="9" t="s">
        <v>50</v>
      </c>
      <c r="B35" s="13">
        <v>14</v>
      </c>
      <c r="C35" s="13">
        <v>20</v>
      </c>
      <c r="D35" s="15">
        <v>70</v>
      </c>
      <c r="E35" s="17">
        <v>0.130958008537088</v>
      </c>
    </row>
    <row r="36" spans="1:5">
      <c r="A36" s="9" t="s">
        <v>51</v>
      </c>
      <c r="B36" s="13">
        <v>14</v>
      </c>
      <c r="C36" s="13">
        <v>15</v>
      </c>
      <c r="D36" s="15">
        <v>93.3333333333333</v>
      </c>
      <c r="E36" s="17">
        <v>0</v>
      </c>
    </row>
    <row r="37" spans="1:5">
      <c r="A37" s="9" t="s">
        <v>52</v>
      </c>
      <c r="B37" s="13">
        <v>49</v>
      </c>
      <c r="C37" s="13">
        <v>35</v>
      </c>
      <c r="D37" s="20" t="s">
        <v>80</v>
      </c>
      <c r="E37" s="21" t="s">
        <v>80</v>
      </c>
    </row>
    <row r="38" spans="1:5">
      <c r="A38" s="9" t="s">
        <v>53</v>
      </c>
      <c r="B38" s="13">
        <v>31</v>
      </c>
      <c r="C38" s="13">
        <v>10</v>
      </c>
      <c r="D38" s="20" t="s">
        <v>80</v>
      </c>
      <c r="E38" s="21" t="s">
        <v>80</v>
      </c>
    </row>
    <row r="39" spans="1:5">
      <c r="A39" s="9" t="s">
        <v>54</v>
      </c>
      <c r="B39" s="13">
        <v>4</v>
      </c>
      <c r="C39" s="13">
        <v>0</v>
      </c>
      <c r="D39" s="20" t="s">
        <v>80</v>
      </c>
      <c r="E39" s="21" t="s">
        <v>80</v>
      </c>
    </row>
    <row r="40" spans="1:5">
      <c r="A40" s="9" t="s">
        <v>55</v>
      </c>
      <c r="B40" s="13">
        <v>14</v>
      </c>
      <c r="C40" s="13">
        <v>10</v>
      </c>
      <c r="D40" s="20" t="s">
        <v>80</v>
      </c>
      <c r="E40" s="21" t="s">
        <v>80</v>
      </c>
    </row>
    <row r="41" spans="1:5">
      <c r="A41" s="9" t="s">
        <v>56</v>
      </c>
      <c r="B41" s="13">
        <v>13</v>
      </c>
      <c r="C41" s="19" t="s">
        <v>80</v>
      </c>
      <c r="D41" s="20" t="s">
        <v>80</v>
      </c>
      <c r="E41" s="21" t="s">
        <v>80</v>
      </c>
    </row>
    <row r="42" spans="1:5">
      <c r="A42" s="9" t="s">
        <v>57</v>
      </c>
      <c r="B42" s="13">
        <v>25</v>
      </c>
      <c r="C42" s="13">
        <v>45</v>
      </c>
      <c r="D42" s="15">
        <v>55.5555555555556</v>
      </c>
      <c r="E42" s="17">
        <v>0.12735811277216999</v>
      </c>
    </row>
    <row r="43" spans="1:5">
      <c r="A43" s="9" t="s">
        <v>58</v>
      </c>
      <c r="B43" s="13">
        <v>4</v>
      </c>
      <c r="C43" s="19" t="s">
        <v>80</v>
      </c>
      <c r="D43" s="20" t="s">
        <v>80</v>
      </c>
      <c r="E43" s="21" t="s">
        <v>80</v>
      </c>
    </row>
    <row r="44" spans="1:5">
      <c r="A44" s="9" t="s">
        <v>59</v>
      </c>
      <c r="B44" s="13">
        <v>21</v>
      </c>
      <c r="C44" s="13">
        <v>40</v>
      </c>
      <c r="D44" s="15">
        <v>52.5</v>
      </c>
      <c r="E44" s="17">
        <v>0.14345731072343401</v>
      </c>
    </row>
    <row r="45" spans="1:5">
      <c r="A45" s="9" t="s">
        <v>60</v>
      </c>
      <c r="B45" s="13">
        <v>322</v>
      </c>
      <c r="C45" s="13">
        <v>175</v>
      </c>
      <c r="D45" s="20" t="s">
        <v>80</v>
      </c>
      <c r="E45" s="21" t="s">
        <v>80</v>
      </c>
    </row>
    <row r="46" spans="1:5" ht="21.9" customHeight="1">
      <c r="A46" s="22" t="s">
        <v>61</v>
      </c>
      <c r="B46" s="13"/>
      <c r="C46" s="13"/>
      <c r="D46" s="15"/>
      <c r="E46" s="17"/>
    </row>
    <row r="47" spans="1:5">
      <c r="A47" s="9" t="s">
        <v>62</v>
      </c>
      <c r="B47" s="13">
        <v>232</v>
      </c>
      <c r="C47" s="19" t="s">
        <v>80</v>
      </c>
      <c r="D47" s="20" t="s">
        <v>80</v>
      </c>
      <c r="E47" s="21" t="s">
        <v>80</v>
      </c>
    </row>
    <row r="48" spans="1:5">
      <c r="A48" s="9" t="s">
        <v>63</v>
      </c>
      <c r="B48" s="13">
        <v>4968</v>
      </c>
      <c r="C48" s="19" t="s">
        <v>80</v>
      </c>
      <c r="D48" s="20" t="s">
        <v>80</v>
      </c>
      <c r="E48" s="21" t="s">
        <v>80</v>
      </c>
    </row>
    <row r="49" spans="1:5">
      <c r="A49" s="9" t="s">
        <v>60</v>
      </c>
      <c r="B49" s="13">
        <v>269</v>
      </c>
      <c r="C49" s="19" t="s">
        <v>80</v>
      </c>
      <c r="D49" s="20" t="s">
        <v>80</v>
      </c>
      <c r="E49" s="21" t="s">
        <v>80</v>
      </c>
    </row>
    <row r="50" spans="1:5" ht="21.9" customHeight="1">
      <c r="A50" s="22" t="s">
        <v>64</v>
      </c>
      <c r="B50" s="13"/>
      <c r="C50" s="13"/>
      <c r="D50" s="15"/>
      <c r="E50" s="17"/>
    </row>
    <row r="51" spans="1:5">
      <c r="A51" s="9" t="s">
        <v>65</v>
      </c>
      <c r="B51" s="13">
        <v>743</v>
      </c>
      <c r="C51" s="19" t="s">
        <v>80</v>
      </c>
      <c r="D51" s="20" t="s">
        <v>80</v>
      </c>
      <c r="E51" s="21" t="s">
        <v>80</v>
      </c>
    </row>
    <row r="52" spans="1:5">
      <c r="A52" s="9" t="s">
        <v>66</v>
      </c>
      <c r="B52" s="13">
        <v>4361</v>
      </c>
      <c r="C52" s="19" t="s">
        <v>80</v>
      </c>
      <c r="D52" s="20" t="s">
        <v>80</v>
      </c>
      <c r="E52" s="21" t="s">
        <v>80</v>
      </c>
    </row>
    <row r="53" spans="1:5">
      <c r="A53" s="9" t="s">
        <v>60</v>
      </c>
      <c r="B53" s="13">
        <v>365</v>
      </c>
      <c r="C53" s="19" t="s">
        <v>80</v>
      </c>
      <c r="D53" s="20" t="s">
        <v>80</v>
      </c>
      <c r="E53" s="21" t="s">
        <v>80</v>
      </c>
    </row>
    <row r="54" spans="1:5" ht="21.9" customHeight="1">
      <c r="A54" s="22" t="s">
        <v>67</v>
      </c>
      <c r="B54" s="13"/>
      <c r="C54" s="13"/>
      <c r="D54" s="15"/>
      <c r="E54" s="17"/>
    </row>
    <row r="55" spans="1:5">
      <c r="A55" s="9" t="s">
        <v>68</v>
      </c>
      <c r="B55" s="13">
        <v>2273</v>
      </c>
      <c r="C55" s="13">
        <v>3250</v>
      </c>
      <c r="D55" s="15">
        <v>69.938461538461496</v>
      </c>
      <c r="E55" s="17">
        <v>1.12644394833028E-2</v>
      </c>
    </row>
    <row r="56" spans="1:5">
      <c r="A56" s="9" t="s">
        <v>69</v>
      </c>
      <c r="B56" s="13">
        <v>1832</v>
      </c>
      <c r="C56" s="13">
        <v>3847</v>
      </c>
      <c r="D56" s="15">
        <v>47.621523264881702</v>
      </c>
      <c r="E56" s="17">
        <v>1.6566546391052501E-2</v>
      </c>
    </row>
    <row r="57" spans="1:5">
      <c r="A57" s="9" t="s">
        <v>70</v>
      </c>
      <c r="B57" s="13">
        <v>1264</v>
      </c>
      <c r="C57" s="13">
        <v>4186</v>
      </c>
      <c r="D57" s="15">
        <v>30.195891065456301</v>
      </c>
      <c r="E57" s="17">
        <v>2.3026010862532802E-2</v>
      </c>
    </row>
    <row r="58" spans="1:5">
      <c r="A58" s="9" t="s">
        <v>71</v>
      </c>
      <c r="B58" s="13">
        <v>82</v>
      </c>
      <c r="C58" s="13">
        <v>265</v>
      </c>
      <c r="D58" s="15">
        <v>30.9433962264151</v>
      </c>
      <c r="E58" s="17">
        <v>8.9687497544700401E-2</v>
      </c>
    </row>
    <row r="59" spans="1:5" ht="21.9" customHeight="1">
      <c r="A59" s="22" t="s">
        <v>72</v>
      </c>
      <c r="B59" s="13"/>
      <c r="C59" s="13"/>
      <c r="D59" s="15"/>
      <c r="E59" s="17"/>
    </row>
    <row r="60" spans="1:5">
      <c r="A60" s="9" t="s">
        <v>73</v>
      </c>
      <c r="B60" s="13">
        <v>2185</v>
      </c>
      <c r="C60" s="19" t="s">
        <v>80</v>
      </c>
      <c r="D60" s="20" t="s">
        <v>80</v>
      </c>
      <c r="E60" s="21" t="s">
        <v>80</v>
      </c>
    </row>
    <row r="61" spans="1:5">
      <c r="A61" s="9" t="s">
        <v>74</v>
      </c>
      <c r="B61" s="13">
        <v>3284</v>
      </c>
      <c r="C61" s="19" t="s">
        <v>80</v>
      </c>
      <c r="D61" s="20" t="s">
        <v>80</v>
      </c>
      <c r="E61" s="21" t="s">
        <v>80</v>
      </c>
    </row>
    <row r="62" spans="1:5" ht="21.9" customHeight="1">
      <c r="A62" s="22" t="s">
        <v>75</v>
      </c>
      <c r="B62" s="13"/>
      <c r="C62" s="13"/>
      <c r="D62" s="15"/>
      <c r="E62" s="17"/>
    </row>
    <row r="63" spans="1:5">
      <c r="A63" s="9" t="s">
        <v>76</v>
      </c>
      <c r="B63" s="13">
        <v>1311</v>
      </c>
      <c r="C63" s="13">
        <v>2716</v>
      </c>
      <c r="D63" s="15">
        <v>48.2695139911635</v>
      </c>
      <c r="E63" s="17">
        <v>1.9460025317058E-2</v>
      </c>
    </row>
    <row r="64" spans="1:5">
      <c r="A64" s="9" t="s">
        <v>77</v>
      </c>
      <c r="B64" s="13">
        <v>1363</v>
      </c>
      <c r="C64" s="13">
        <v>3123</v>
      </c>
      <c r="D64" s="15">
        <v>43.643932116554602</v>
      </c>
      <c r="E64" s="17">
        <v>1.99216394314113E-2</v>
      </c>
    </row>
    <row r="65" spans="1:5">
      <c r="A65" s="9" t="s">
        <v>78</v>
      </c>
      <c r="B65" s="13">
        <v>1326</v>
      </c>
      <c r="C65" s="13">
        <v>2657</v>
      </c>
      <c r="D65" s="15">
        <v>49.905908919834403</v>
      </c>
      <c r="E65" s="17">
        <v>1.9040763417563899E-2</v>
      </c>
    </row>
    <row r="66" spans="1:5">
      <c r="A66" s="11" t="s">
        <v>79</v>
      </c>
      <c r="B66" s="14">
        <v>1289</v>
      </c>
      <c r="C66" s="14">
        <v>3052</v>
      </c>
      <c r="D66" s="16">
        <v>42.234600262123202</v>
      </c>
      <c r="E66" s="18">
        <v>2.0740074134008399E-2</v>
      </c>
    </row>
    <row r="67" spans="1:5">
      <c r="A67" t="s">
        <v>81</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zoomScale="70" workbookViewId="0"/>
  </sheetViews>
  <sheetFormatPr defaultColWidth="10.90625" defaultRowHeight="15"/>
  <cols>
    <col min="1" max="1" width="51.6796875" customWidth="1"/>
    <col min="2" max="7" width="23.1796875" customWidth="1"/>
  </cols>
  <sheetData>
    <row r="1" spans="1:7" ht="39.9" customHeight="1">
      <c r="A1" s="10" t="s">
        <v>82</v>
      </c>
      <c r="B1" s="12"/>
      <c r="C1" s="12"/>
      <c r="D1" s="12"/>
      <c r="E1" s="12"/>
      <c r="F1" s="12"/>
      <c r="G1" s="12"/>
    </row>
    <row r="2" spans="1:7" ht="60">
      <c r="A2" s="7" t="s">
        <v>2</v>
      </c>
      <c r="B2" s="6" t="s">
        <v>83</v>
      </c>
      <c r="C2" s="6" t="s">
        <v>84</v>
      </c>
      <c r="D2" s="6" t="s">
        <v>85</v>
      </c>
      <c r="E2" s="6" t="s">
        <v>86</v>
      </c>
      <c r="F2" s="6" t="s">
        <v>87</v>
      </c>
      <c r="G2" s="8" t="s">
        <v>88</v>
      </c>
    </row>
    <row r="3" spans="1:7" ht="21.9" customHeight="1">
      <c r="A3" s="22" t="s">
        <v>18</v>
      </c>
      <c r="B3" s="15">
        <v>39.470113608276201</v>
      </c>
      <c r="C3" s="15">
        <v>57.3251753061665</v>
      </c>
      <c r="D3" s="15">
        <v>69.304044090253598</v>
      </c>
      <c r="E3" s="15">
        <v>51.412597068578997</v>
      </c>
      <c r="F3" s="15">
        <v>15.3555012742789</v>
      </c>
      <c r="G3" s="24">
        <v>55.725851211528997</v>
      </c>
    </row>
    <row r="4" spans="1:7">
      <c r="A4" s="22" t="s">
        <v>19</v>
      </c>
      <c r="B4" s="15">
        <v>42.0011119167266</v>
      </c>
      <c r="C4" s="15">
        <v>59.5234638904805</v>
      </c>
      <c r="D4" s="15">
        <v>69.478300526662295</v>
      </c>
      <c r="E4" s="15">
        <v>52.564848192151501</v>
      </c>
      <c r="F4" s="15">
        <v>15.2308857961863</v>
      </c>
      <c r="G4" s="24">
        <v>57.930304624100501</v>
      </c>
    </row>
    <row r="5" spans="1:7">
      <c r="A5" s="22" t="s">
        <v>20</v>
      </c>
      <c r="B5" s="15">
        <v>42.310544234899801</v>
      </c>
      <c r="C5" s="15">
        <v>58.262181365804203</v>
      </c>
      <c r="D5" s="15">
        <v>69.873452163641801</v>
      </c>
      <c r="E5" s="15">
        <v>52.926248856066998</v>
      </c>
      <c r="F5" s="15">
        <v>14.636850458763</v>
      </c>
      <c r="G5" s="24">
        <v>59.539470230735503</v>
      </c>
    </row>
    <row r="6" spans="1:7">
      <c r="A6" s="23" t="s">
        <v>21</v>
      </c>
      <c r="B6" s="15"/>
      <c r="C6" s="15"/>
      <c r="D6" s="15"/>
      <c r="E6" s="15"/>
      <c r="F6" s="15"/>
      <c r="G6" s="24"/>
    </row>
    <row r="7" spans="1:7" ht="21.9" customHeight="1">
      <c r="A7" s="22" t="s">
        <v>22</v>
      </c>
      <c r="B7" s="15"/>
      <c r="C7" s="15"/>
      <c r="D7" s="15"/>
      <c r="E7" s="15"/>
      <c r="F7" s="15"/>
      <c r="G7" s="24"/>
    </row>
    <row r="8" spans="1:7">
      <c r="A8" s="9" t="s">
        <v>23</v>
      </c>
      <c r="B8" s="15">
        <v>44.137007545180097</v>
      </c>
      <c r="C8" s="15">
        <v>69.081222904316803</v>
      </c>
      <c r="D8" s="15">
        <v>78.003538188848395</v>
      </c>
      <c r="E8" s="15">
        <v>57.749157048833197</v>
      </c>
      <c r="F8" s="15">
        <v>17.579260921667</v>
      </c>
      <c r="G8" s="24">
        <v>61.330968783799499</v>
      </c>
    </row>
    <row r="9" spans="1:7">
      <c r="A9" s="9" t="s">
        <v>24</v>
      </c>
      <c r="B9" s="15">
        <v>41.087150418512699</v>
      </c>
      <c r="C9" s="15">
        <v>49.415280697103299</v>
      </c>
      <c r="D9" s="15">
        <v>63.613740773921499</v>
      </c>
      <c r="E9" s="15">
        <v>49.827890662183101</v>
      </c>
      <c r="F9" s="15">
        <v>11.9676687710016</v>
      </c>
      <c r="G9" s="24">
        <v>58.526575925756298</v>
      </c>
    </row>
    <row r="10" spans="1:7">
      <c r="A10" s="9" t="s">
        <v>25</v>
      </c>
      <c r="B10" s="20" t="s">
        <v>80</v>
      </c>
      <c r="C10" s="20" t="s">
        <v>80</v>
      </c>
      <c r="D10" s="20" t="s">
        <v>80</v>
      </c>
      <c r="E10" s="20" t="s">
        <v>80</v>
      </c>
      <c r="F10" s="20" t="s">
        <v>80</v>
      </c>
      <c r="G10" s="26" t="s">
        <v>80</v>
      </c>
    </row>
    <row r="11" spans="1:7">
      <c r="A11" s="9" t="s">
        <v>26</v>
      </c>
      <c r="B11" s="15">
        <v>36.688666789914699</v>
      </c>
      <c r="C11" s="15">
        <v>30.120799192649901</v>
      </c>
      <c r="D11" s="15">
        <v>44.439708289601498</v>
      </c>
      <c r="E11" s="15">
        <v>28.7514011636151</v>
      </c>
      <c r="F11" s="20" t="s">
        <v>80</v>
      </c>
      <c r="G11" s="24">
        <v>50.440354517025</v>
      </c>
    </row>
    <row r="12" spans="1:7" ht="21.9" customHeight="1">
      <c r="A12" s="22" t="s">
        <v>27</v>
      </c>
      <c r="B12" s="15"/>
      <c r="C12" s="15"/>
      <c r="D12" s="15"/>
      <c r="E12" s="15"/>
      <c r="F12" s="15"/>
      <c r="G12" s="24"/>
    </row>
    <row r="13" spans="1:7">
      <c r="A13" s="9" t="s">
        <v>28</v>
      </c>
      <c r="B13" s="15">
        <v>37.367197555314704</v>
      </c>
      <c r="C13" s="15">
        <v>76.686706061177105</v>
      </c>
      <c r="D13" s="15">
        <v>76.263301755545598</v>
      </c>
      <c r="E13" s="15">
        <v>64.992378667200001</v>
      </c>
      <c r="F13" s="15">
        <v>24.411092886539802</v>
      </c>
      <c r="G13" s="24">
        <v>56.029504364269698</v>
      </c>
    </row>
    <row r="14" spans="1:7">
      <c r="A14" s="9" t="s">
        <v>29</v>
      </c>
      <c r="B14" s="15">
        <v>45.225627519151601</v>
      </c>
      <c r="C14" s="15">
        <v>65.599470463625494</v>
      </c>
      <c r="D14" s="15">
        <v>75.202232296997707</v>
      </c>
      <c r="E14" s="15">
        <v>61.965629600421799</v>
      </c>
      <c r="F14" s="15">
        <v>15.713071415176399</v>
      </c>
      <c r="G14" s="24">
        <v>63.134574701039298</v>
      </c>
    </row>
    <row r="15" spans="1:7">
      <c r="A15" s="9" t="s">
        <v>30</v>
      </c>
      <c r="B15" s="15">
        <v>42.752733098280501</v>
      </c>
      <c r="C15" s="15">
        <v>52.2168713159096</v>
      </c>
      <c r="D15" s="15">
        <v>64.966770638553598</v>
      </c>
      <c r="E15" s="15">
        <v>48.532260541502801</v>
      </c>
      <c r="F15" s="15">
        <v>11.936537556043</v>
      </c>
      <c r="G15" s="24">
        <v>59.134070897443401</v>
      </c>
    </row>
    <row r="16" spans="1:7">
      <c r="A16" s="9" t="s">
        <v>31</v>
      </c>
      <c r="B16" s="15">
        <v>43.3963387354692</v>
      </c>
      <c r="C16" s="15">
        <v>39.598856224805999</v>
      </c>
      <c r="D16" s="15">
        <v>64.473999316938404</v>
      </c>
      <c r="E16" s="15">
        <v>36.393500820078501</v>
      </c>
      <c r="F16" s="15">
        <v>7.2660876451894296</v>
      </c>
      <c r="G16" s="24">
        <v>59.628808907815802</v>
      </c>
    </row>
    <row r="17" spans="1:7" ht="21.9" customHeight="1">
      <c r="A17" s="22" t="s">
        <v>32</v>
      </c>
      <c r="B17" s="15"/>
      <c r="C17" s="15"/>
      <c r="D17" s="15"/>
      <c r="E17" s="15"/>
      <c r="F17" s="15"/>
      <c r="G17" s="24"/>
    </row>
    <row r="18" spans="1:7">
      <c r="A18" s="9" t="s">
        <v>33</v>
      </c>
      <c r="B18" s="15">
        <v>41.516377951873402</v>
      </c>
      <c r="C18" s="15">
        <v>70.832745307555001</v>
      </c>
      <c r="D18" s="15">
        <v>75.703066617349606</v>
      </c>
      <c r="E18" s="15">
        <v>63.394282361580402</v>
      </c>
      <c r="F18" s="15">
        <v>19.818615719484001</v>
      </c>
      <c r="G18" s="24">
        <v>59.780917648240901</v>
      </c>
    </row>
    <row r="19" spans="1:7">
      <c r="A19" s="9" t="s">
        <v>34</v>
      </c>
      <c r="B19" s="15">
        <v>43.005325908551498</v>
      </c>
      <c r="C19" s="15">
        <v>47.264739594650898</v>
      </c>
      <c r="D19" s="15">
        <v>64.773375046974607</v>
      </c>
      <c r="E19" s="15">
        <v>43.768219871145298</v>
      </c>
      <c r="F19" s="15">
        <v>10.103548532880801</v>
      </c>
      <c r="G19" s="24">
        <v>59.328238345903998</v>
      </c>
    </row>
    <row r="20" spans="1:7" ht="21.9" customHeight="1">
      <c r="A20" s="22" t="s">
        <v>35</v>
      </c>
      <c r="B20" s="15"/>
      <c r="C20" s="15"/>
      <c r="D20" s="15"/>
      <c r="E20" s="15"/>
      <c r="F20" s="15"/>
      <c r="G20" s="24"/>
    </row>
    <row r="21" spans="1:7">
      <c r="A21" s="9" t="s">
        <v>36</v>
      </c>
      <c r="B21" s="15">
        <v>43.148353584408198</v>
      </c>
      <c r="C21" s="15">
        <v>58.600459392279397</v>
      </c>
      <c r="D21" s="15">
        <v>70.260162163388401</v>
      </c>
      <c r="E21" s="15">
        <v>53.026070675680302</v>
      </c>
      <c r="F21" s="15">
        <v>14.475879629030301</v>
      </c>
      <c r="G21" s="24">
        <v>60.844663690032696</v>
      </c>
    </row>
    <row r="22" spans="1:7">
      <c r="A22" s="9" t="s">
        <v>37</v>
      </c>
      <c r="B22" s="15">
        <v>43.374705565935699</v>
      </c>
      <c r="C22" s="15">
        <v>59.107429503038297</v>
      </c>
      <c r="D22" s="15">
        <v>70.450495902787793</v>
      </c>
      <c r="E22" s="15">
        <v>53.182426618377797</v>
      </c>
      <c r="F22" s="15">
        <v>14.301671608709199</v>
      </c>
      <c r="G22" s="24">
        <v>61.297037018617203</v>
      </c>
    </row>
    <row r="23" spans="1:7">
      <c r="A23" s="9" t="s">
        <v>38</v>
      </c>
      <c r="B23" s="20" t="s">
        <v>80</v>
      </c>
      <c r="C23" s="20" t="s">
        <v>80</v>
      </c>
      <c r="D23" s="20" t="s">
        <v>80</v>
      </c>
      <c r="E23" s="20" t="s">
        <v>80</v>
      </c>
      <c r="F23" s="20" t="s">
        <v>80</v>
      </c>
      <c r="G23" s="26" t="s">
        <v>80</v>
      </c>
    </row>
    <row r="24" spans="1:7">
      <c r="A24" s="9" t="s">
        <v>39</v>
      </c>
      <c r="B24" s="20" t="s">
        <v>80</v>
      </c>
      <c r="C24" s="20" t="s">
        <v>80</v>
      </c>
      <c r="D24" s="15">
        <v>64.345772733578499</v>
      </c>
      <c r="E24" s="20" t="s">
        <v>80</v>
      </c>
      <c r="F24" s="20" t="s">
        <v>80</v>
      </c>
      <c r="G24" s="26" t="s">
        <v>80</v>
      </c>
    </row>
    <row r="25" spans="1:7">
      <c r="A25" s="9" t="s">
        <v>40</v>
      </c>
      <c r="B25" s="20" t="s">
        <v>80</v>
      </c>
      <c r="C25" s="20" t="s">
        <v>80</v>
      </c>
      <c r="D25" s="20" t="s">
        <v>80</v>
      </c>
      <c r="E25" s="20" t="s">
        <v>80</v>
      </c>
      <c r="F25" s="20" t="s">
        <v>80</v>
      </c>
      <c r="G25" s="26" t="s">
        <v>80</v>
      </c>
    </row>
    <row r="26" spans="1:7">
      <c r="A26" s="9" t="s">
        <v>41</v>
      </c>
      <c r="B26" s="15">
        <v>44.374993319215399</v>
      </c>
      <c r="C26" s="15">
        <v>49.296707546562402</v>
      </c>
      <c r="D26" s="15">
        <v>64.542034902596697</v>
      </c>
      <c r="E26" s="15">
        <v>56.864628870183303</v>
      </c>
      <c r="F26" s="20" t="s">
        <v>80</v>
      </c>
      <c r="G26" s="24">
        <v>54.233833938022201</v>
      </c>
    </row>
    <row r="27" spans="1:7">
      <c r="A27" s="9" t="s">
        <v>42</v>
      </c>
      <c r="B27" s="15">
        <v>43.837858153970402</v>
      </c>
      <c r="C27" s="15">
        <v>53.563662391683003</v>
      </c>
      <c r="D27" s="15">
        <v>69.483870907770594</v>
      </c>
      <c r="E27" s="15">
        <v>51.972130364007903</v>
      </c>
      <c r="F27" s="20" t="s">
        <v>80</v>
      </c>
      <c r="G27" s="24">
        <v>61.26670831909</v>
      </c>
    </row>
    <row r="28" spans="1:7">
      <c r="A28" s="9" t="s">
        <v>43</v>
      </c>
      <c r="B28" s="20" t="s">
        <v>80</v>
      </c>
      <c r="C28" s="20" t="s">
        <v>80</v>
      </c>
      <c r="D28" s="20" t="s">
        <v>80</v>
      </c>
      <c r="E28" s="20" t="s">
        <v>80</v>
      </c>
      <c r="F28" s="20" t="s">
        <v>80</v>
      </c>
      <c r="G28" s="26" t="s">
        <v>80</v>
      </c>
    </row>
    <row r="29" spans="1:7">
      <c r="A29" s="9" t="s">
        <v>44</v>
      </c>
      <c r="B29" s="20" t="s">
        <v>80</v>
      </c>
      <c r="C29" s="20" t="s">
        <v>80</v>
      </c>
      <c r="D29" s="20" t="s">
        <v>80</v>
      </c>
      <c r="E29" s="20" t="s">
        <v>80</v>
      </c>
      <c r="F29" s="20" t="s">
        <v>80</v>
      </c>
      <c r="G29" s="26" t="s">
        <v>80</v>
      </c>
    </row>
    <row r="30" spans="1:7">
      <c r="A30" s="9" t="s">
        <v>45</v>
      </c>
      <c r="B30" s="20" t="s">
        <v>80</v>
      </c>
      <c r="C30" s="20" t="s">
        <v>80</v>
      </c>
      <c r="D30" s="20" t="s">
        <v>80</v>
      </c>
      <c r="E30" s="20" t="s">
        <v>80</v>
      </c>
      <c r="F30" s="20" t="s">
        <v>80</v>
      </c>
      <c r="G30" s="26" t="s">
        <v>80</v>
      </c>
    </row>
    <row r="31" spans="1:7">
      <c r="A31" s="9" t="s">
        <v>46</v>
      </c>
      <c r="B31" s="15">
        <v>43.254360519231099</v>
      </c>
      <c r="C31" s="15">
        <v>63.322797167678999</v>
      </c>
      <c r="D31" s="15">
        <v>66.112121347136096</v>
      </c>
      <c r="E31" s="15">
        <v>60.762233248353802</v>
      </c>
      <c r="F31" s="20" t="s">
        <v>80</v>
      </c>
      <c r="G31" s="24">
        <v>67.305065555064004</v>
      </c>
    </row>
    <row r="32" spans="1:7">
      <c r="A32" s="9" t="s">
        <v>47</v>
      </c>
      <c r="B32" s="15">
        <v>33.252318064701598</v>
      </c>
      <c r="C32" s="15">
        <v>49.260754709837499</v>
      </c>
      <c r="D32" s="15">
        <v>64.020738151689201</v>
      </c>
      <c r="E32" s="15">
        <v>55.423771993813602</v>
      </c>
      <c r="F32" s="20" t="s">
        <v>80</v>
      </c>
      <c r="G32" s="24">
        <v>43.304744291274702</v>
      </c>
    </row>
    <row r="33" spans="1:7">
      <c r="A33" s="9" t="s">
        <v>48</v>
      </c>
      <c r="B33" s="20" t="s">
        <v>80</v>
      </c>
      <c r="C33" s="20" t="s">
        <v>80</v>
      </c>
      <c r="D33" s="20" t="s">
        <v>80</v>
      </c>
      <c r="E33" s="20" t="s">
        <v>80</v>
      </c>
      <c r="F33" s="20" t="s">
        <v>80</v>
      </c>
      <c r="G33" s="26" t="s">
        <v>80</v>
      </c>
    </row>
    <row r="34" spans="1:7">
      <c r="A34" s="9" t="s">
        <v>49</v>
      </c>
      <c r="B34" s="20" t="s">
        <v>80</v>
      </c>
      <c r="C34" s="20" t="s">
        <v>80</v>
      </c>
      <c r="D34" s="20" t="s">
        <v>80</v>
      </c>
      <c r="E34" s="20" t="s">
        <v>80</v>
      </c>
      <c r="F34" s="20" t="s">
        <v>80</v>
      </c>
      <c r="G34" s="26" t="s">
        <v>80</v>
      </c>
    </row>
    <row r="35" spans="1:7">
      <c r="A35" s="9" t="s">
        <v>50</v>
      </c>
      <c r="B35" s="20" t="s">
        <v>80</v>
      </c>
      <c r="C35" s="20" t="s">
        <v>80</v>
      </c>
      <c r="D35" s="20" t="s">
        <v>80</v>
      </c>
      <c r="E35" s="20" t="s">
        <v>80</v>
      </c>
      <c r="F35" s="20" t="s">
        <v>80</v>
      </c>
      <c r="G35" s="26" t="s">
        <v>80</v>
      </c>
    </row>
    <row r="36" spans="1:7">
      <c r="A36" s="9" t="s">
        <v>51</v>
      </c>
      <c r="B36" s="20" t="s">
        <v>80</v>
      </c>
      <c r="C36" s="20" t="s">
        <v>80</v>
      </c>
      <c r="D36" s="20" t="s">
        <v>80</v>
      </c>
      <c r="E36" s="20" t="s">
        <v>80</v>
      </c>
      <c r="F36" s="20" t="s">
        <v>80</v>
      </c>
      <c r="G36" s="26" t="s">
        <v>80</v>
      </c>
    </row>
    <row r="37" spans="1:7">
      <c r="A37" s="9" t="s">
        <v>52</v>
      </c>
      <c r="B37" s="20" t="s">
        <v>80</v>
      </c>
      <c r="C37" s="15">
        <v>66.660306314028006</v>
      </c>
      <c r="D37" s="15">
        <v>69.556169775025793</v>
      </c>
      <c r="E37" s="15">
        <v>68.438278837841906</v>
      </c>
      <c r="F37" s="20" t="s">
        <v>80</v>
      </c>
      <c r="G37" s="26" t="s">
        <v>80</v>
      </c>
    </row>
    <row r="38" spans="1:7">
      <c r="A38" s="9" t="s">
        <v>53</v>
      </c>
      <c r="B38" s="20" t="s">
        <v>80</v>
      </c>
      <c r="C38" s="20" t="s">
        <v>80</v>
      </c>
      <c r="D38" s="20" t="s">
        <v>80</v>
      </c>
      <c r="E38" s="20" t="s">
        <v>80</v>
      </c>
      <c r="F38" s="20" t="s">
        <v>80</v>
      </c>
      <c r="G38" s="26" t="s">
        <v>80</v>
      </c>
    </row>
    <row r="39" spans="1:7">
      <c r="A39" s="9" t="s">
        <v>54</v>
      </c>
      <c r="B39" s="20" t="s">
        <v>80</v>
      </c>
      <c r="C39" s="20" t="s">
        <v>80</v>
      </c>
      <c r="D39" s="20" t="s">
        <v>80</v>
      </c>
      <c r="E39" s="20" t="s">
        <v>80</v>
      </c>
      <c r="F39" s="20" t="s">
        <v>80</v>
      </c>
      <c r="G39" s="26" t="s">
        <v>80</v>
      </c>
    </row>
    <row r="40" spans="1:7">
      <c r="A40" s="9" t="s">
        <v>55</v>
      </c>
      <c r="B40" s="20" t="s">
        <v>80</v>
      </c>
      <c r="C40" s="20" t="s">
        <v>80</v>
      </c>
      <c r="D40" s="20" t="s">
        <v>80</v>
      </c>
      <c r="E40" s="20" t="s">
        <v>80</v>
      </c>
      <c r="F40" s="20" t="s">
        <v>80</v>
      </c>
      <c r="G40" s="26" t="s">
        <v>80</v>
      </c>
    </row>
    <row r="41" spans="1:7">
      <c r="A41" s="9" t="s">
        <v>56</v>
      </c>
      <c r="B41" s="20" t="s">
        <v>80</v>
      </c>
      <c r="C41" s="20" t="s">
        <v>80</v>
      </c>
      <c r="D41" s="20" t="s">
        <v>80</v>
      </c>
      <c r="E41" s="20" t="s">
        <v>80</v>
      </c>
      <c r="F41" s="20" t="s">
        <v>80</v>
      </c>
      <c r="G41" s="26" t="s">
        <v>80</v>
      </c>
    </row>
    <row r="42" spans="1:7">
      <c r="A42" s="9" t="s">
        <v>57</v>
      </c>
      <c r="B42" s="20" t="s">
        <v>80</v>
      </c>
      <c r="C42" s="20" t="s">
        <v>80</v>
      </c>
      <c r="D42" s="20" t="s">
        <v>80</v>
      </c>
      <c r="E42" s="20" t="s">
        <v>80</v>
      </c>
      <c r="F42" s="20" t="s">
        <v>80</v>
      </c>
      <c r="G42" s="26" t="s">
        <v>80</v>
      </c>
    </row>
    <row r="43" spans="1:7">
      <c r="A43" s="9" t="s">
        <v>58</v>
      </c>
      <c r="B43" s="20" t="s">
        <v>80</v>
      </c>
      <c r="C43" s="20" t="s">
        <v>80</v>
      </c>
      <c r="D43" s="20" t="s">
        <v>80</v>
      </c>
      <c r="E43" s="20" t="s">
        <v>80</v>
      </c>
      <c r="F43" s="20" t="s">
        <v>80</v>
      </c>
      <c r="G43" s="26" t="s">
        <v>80</v>
      </c>
    </row>
    <row r="44" spans="1:7">
      <c r="A44" s="9" t="s">
        <v>59</v>
      </c>
      <c r="B44" s="20" t="s">
        <v>80</v>
      </c>
      <c r="C44" s="20" t="s">
        <v>80</v>
      </c>
      <c r="D44" s="20" t="s">
        <v>80</v>
      </c>
      <c r="E44" s="20" t="s">
        <v>80</v>
      </c>
      <c r="F44" s="20" t="s">
        <v>80</v>
      </c>
      <c r="G44" s="26" t="s">
        <v>80</v>
      </c>
    </row>
    <row r="45" spans="1:7">
      <c r="A45" s="9" t="s">
        <v>60</v>
      </c>
      <c r="B45" s="15">
        <v>31.632197683645899</v>
      </c>
      <c r="C45" s="15">
        <v>57.9918913297169</v>
      </c>
      <c r="D45" s="15">
        <v>66.552640634167901</v>
      </c>
      <c r="E45" s="15">
        <v>52.333990473276103</v>
      </c>
      <c r="F45" s="15">
        <v>20.751251674979599</v>
      </c>
      <c r="G45" s="24">
        <v>42.7919647417921</v>
      </c>
    </row>
    <row r="46" spans="1:7" ht="21.9" customHeight="1">
      <c r="A46" s="22" t="s">
        <v>61</v>
      </c>
      <c r="B46" s="15"/>
      <c r="C46" s="15"/>
      <c r="D46" s="15"/>
      <c r="E46" s="15"/>
      <c r="F46" s="15"/>
      <c r="G46" s="24"/>
    </row>
    <row r="47" spans="1:7">
      <c r="A47" s="9" t="s">
        <v>62</v>
      </c>
      <c r="B47" s="15">
        <v>39.510591034084896</v>
      </c>
      <c r="C47" s="15">
        <v>50.382886325728599</v>
      </c>
      <c r="D47" s="15">
        <v>61.556977717502797</v>
      </c>
      <c r="E47" s="15">
        <v>45.013531657927302</v>
      </c>
      <c r="F47" s="15">
        <v>12.8507251523194</v>
      </c>
      <c r="G47" s="24">
        <v>51.2130495952416</v>
      </c>
    </row>
    <row r="48" spans="1:7">
      <c r="A48" s="9" t="s">
        <v>63</v>
      </c>
      <c r="B48" s="15">
        <v>42.721808335996201</v>
      </c>
      <c r="C48" s="15">
        <v>58.959521139466098</v>
      </c>
      <c r="D48" s="15">
        <v>70.960087739387703</v>
      </c>
      <c r="E48" s="15">
        <v>53.540864870105203</v>
      </c>
      <c r="F48" s="15">
        <v>14.7475491748169</v>
      </c>
      <c r="G48" s="24">
        <v>60.595241587291603</v>
      </c>
    </row>
    <row r="49" spans="1:7">
      <c r="A49" s="9" t="s">
        <v>60</v>
      </c>
      <c r="B49" s="15">
        <v>37.040038440744603</v>
      </c>
      <c r="C49" s="15">
        <v>52.153539483934701</v>
      </c>
      <c r="D49" s="15">
        <v>56.777226944153199</v>
      </c>
      <c r="E49" s="15">
        <v>48.416512218722602</v>
      </c>
      <c r="F49" s="15">
        <v>14.1505628495658</v>
      </c>
      <c r="G49" s="24">
        <v>47.037517344316001</v>
      </c>
    </row>
    <row r="50" spans="1:7" ht="21.9" customHeight="1">
      <c r="A50" s="22" t="s">
        <v>64</v>
      </c>
      <c r="B50" s="15"/>
      <c r="C50" s="15"/>
      <c r="D50" s="15"/>
      <c r="E50" s="15"/>
      <c r="F50" s="15"/>
      <c r="G50" s="24"/>
    </row>
    <row r="51" spans="1:7">
      <c r="A51" s="9" t="s">
        <v>65</v>
      </c>
      <c r="B51" s="15">
        <v>35.2102668749055</v>
      </c>
      <c r="C51" s="15">
        <v>53.160497791114999</v>
      </c>
      <c r="D51" s="15">
        <v>62.921500388084503</v>
      </c>
      <c r="E51" s="15">
        <v>49.4532251982681</v>
      </c>
      <c r="F51" s="15">
        <v>13.7640456869375</v>
      </c>
      <c r="G51" s="24">
        <v>49.054001622130102</v>
      </c>
    </row>
    <row r="52" spans="1:7">
      <c r="A52" s="9" t="s">
        <v>66</v>
      </c>
      <c r="B52" s="15">
        <v>43.859701406429998</v>
      </c>
      <c r="C52" s="15">
        <v>59.943230415906697</v>
      </c>
      <c r="D52" s="15">
        <v>72.283681911977595</v>
      </c>
      <c r="E52" s="15">
        <v>53.992049376192298</v>
      </c>
      <c r="F52" s="15">
        <v>14.972579929955399</v>
      </c>
      <c r="G52" s="24">
        <v>62.153874169589301</v>
      </c>
    </row>
    <row r="53" spans="1:7">
      <c r="A53" s="9" t="s">
        <v>60</v>
      </c>
      <c r="B53" s="15">
        <v>37.9330825940607</v>
      </c>
      <c r="C53" s="15">
        <v>47.991105351434904</v>
      </c>
      <c r="D53" s="15">
        <v>54.377961093696001</v>
      </c>
      <c r="E53" s="15">
        <v>46.920149042587802</v>
      </c>
      <c r="F53" s="15">
        <v>12.275760164687799</v>
      </c>
      <c r="G53" s="24">
        <v>48.976571985425998</v>
      </c>
    </row>
    <row r="54" spans="1:7" ht="21.9" customHeight="1">
      <c r="A54" s="22" t="s">
        <v>67</v>
      </c>
      <c r="B54" s="15"/>
      <c r="C54" s="15"/>
      <c r="D54" s="15"/>
      <c r="E54" s="15"/>
      <c r="F54" s="15"/>
      <c r="G54" s="24"/>
    </row>
    <row r="55" spans="1:7">
      <c r="A55" s="9" t="s">
        <v>89</v>
      </c>
      <c r="B55" s="15">
        <v>48.380147313283899</v>
      </c>
      <c r="C55" s="15">
        <v>58.180388150127698</v>
      </c>
      <c r="D55" s="15">
        <v>73.315443753328793</v>
      </c>
      <c r="E55" s="15">
        <v>56.037592397296301</v>
      </c>
      <c r="F55" s="15">
        <v>12.516701387230601</v>
      </c>
      <c r="G55" s="24">
        <v>66.395096350902094</v>
      </c>
    </row>
    <row r="56" spans="1:7">
      <c r="A56" s="9" t="s">
        <v>69</v>
      </c>
      <c r="B56" s="15">
        <v>37.080007247737598</v>
      </c>
      <c r="C56" s="15">
        <v>54.1100267122955</v>
      </c>
      <c r="D56" s="15">
        <v>64.4939966319306</v>
      </c>
      <c r="E56" s="15">
        <v>46.005091591570597</v>
      </c>
      <c r="F56" s="15">
        <v>13.2731541269112</v>
      </c>
      <c r="G56" s="24">
        <v>54.892660999220503</v>
      </c>
    </row>
    <row r="57" spans="1:7">
      <c r="A57" s="9" t="s">
        <v>70</v>
      </c>
      <c r="B57" s="15">
        <v>39.344265405270399</v>
      </c>
      <c r="C57" s="15">
        <v>62.757742345966598</v>
      </c>
      <c r="D57" s="15">
        <v>70.415158794934896</v>
      </c>
      <c r="E57" s="15">
        <v>55.396875162188202</v>
      </c>
      <c r="F57" s="15">
        <v>19.408829252333799</v>
      </c>
      <c r="G57" s="24">
        <v>54.3246259243558</v>
      </c>
    </row>
    <row r="58" spans="1:7">
      <c r="A58" s="9" t="s">
        <v>90</v>
      </c>
      <c r="B58" s="20" t="s">
        <v>80</v>
      </c>
      <c r="C58" s="15">
        <v>75.075180784679603</v>
      </c>
      <c r="D58" s="15">
        <v>79.869439806995203</v>
      </c>
      <c r="E58" s="15">
        <v>73.370548145452005</v>
      </c>
      <c r="F58" s="20" t="s">
        <v>80</v>
      </c>
      <c r="G58" s="24">
        <v>53.601009550989602</v>
      </c>
    </row>
    <row r="59" spans="1:7" ht="21.9" customHeight="1">
      <c r="A59" s="22" t="s">
        <v>72</v>
      </c>
      <c r="B59" s="15"/>
      <c r="C59" s="15"/>
      <c r="D59" s="15"/>
      <c r="E59" s="15"/>
      <c r="F59" s="15"/>
      <c r="G59" s="24"/>
    </row>
    <row r="60" spans="1:7" ht="18">
      <c r="A60" s="9" t="s">
        <v>91</v>
      </c>
      <c r="B60" s="15">
        <v>52.125864669979997</v>
      </c>
      <c r="C60" s="15">
        <v>61.887861189594403</v>
      </c>
      <c r="D60" s="15">
        <v>75.0153409561443</v>
      </c>
      <c r="E60" s="15">
        <v>58.823777218380101</v>
      </c>
      <c r="F60" s="15">
        <v>14.7874649945265</v>
      </c>
      <c r="G60" s="24">
        <v>69.969325054219794</v>
      </c>
    </row>
    <row r="61" spans="1:7">
      <c r="A61" s="11" t="s">
        <v>74</v>
      </c>
      <c r="B61" s="16">
        <v>35.745903441867</v>
      </c>
      <c r="C61" s="16">
        <v>55.837269634072797</v>
      </c>
      <c r="D61" s="16">
        <v>66.434476009601994</v>
      </c>
      <c r="E61" s="16">
        <v>48.981889064516999</v>
      </c>
      <c r="F61" s="16">
        <v>14.536117086680401</v>
      </c>
      <c r="G61" s="25">
        <v>52.563819166410902</v>
      </c>
    </row>
    <row r="62" spans="1:7" ht="30" customHeight="1">
      <c r="A62" t="s">
        <v>92</v>
      </c>
    </row>
    <row r="63" spans="1:7">
      <c r="A63" t="s">
        <v>93</v>
      </c>
    </row>
    <row r="64" spans="1:7">
      <c r="A64" t="s">
        <v>94</v>
      </c>
    </row>
    <row r="65" spans="1:1">
      <c r="A65" t="s">
        <v>95</v>
      </c>
    </row>
    <row r="66" spans="1:1">
      <c r="A66" t="s">
        <v>96</v>
      </c>
    </row>
    <row r="67" spans="1:1">
      <c r="A67" t="s">
        <v>97</v>
      </c>
    </row>
    <row r="68" spans="1:1">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8"/>
  <sheetViews>
    <sheetView zoomScale="70" workbookViewId="0"/>
  </sheetViews>
  <sheetFormatPr defaultColWidth="10.90625" defaultRowHeight="15"/>
  <cols>
    <col min="1" max="1" width="51.6796875" customWidth="1"/>
    <col min="2" max="5" width="15.90625" customWidth="1"/>
  </cols>
  <sheetData>
    <row r="1" spans="1:5" ht="39.9" customHeight="1">
      <c r="A1" s="10" t="s">
        <v>98</v>
      </c>
      <c r="B1" s="12"/>
      <c r="C1" s="12"/>
      <c r="D1" s="12"/>
      <c r="E1" s="12"/>
    </row>
    <row r="2" spans="1:5" ht="30">
      <c r="A2" s="7" t="s">
        <v>2</v>
      </c>
      <c r="B2" s="6" t="s">
        <v>99</v>
      </c>
      <c r="C2" s="6" t="s">
        <v>100</v>
      </c>
      <c r="D2" s="6" t="s">
        <v>101</v>
      </c>
      <c r="E2" s="8" t="s">
        <v>102</v>
      </c>
    </row>
    <row r="3" spans="1:5" ht="21.9" customHeight="1">
      <c r="A3" s="22" t="s">
        <v>18</v>
      </c>
      <c r="B3" s="15">
        <v>35.541075826307697</v>
      </c>
      <c r="C3" s="15">
        <v>11.8395129915867</v>
      </c>
      <c r="D3" s="15">
        <v>13.149297573829401</v>
      </c>
      <c r="E3" s="24">
        <v>39.470113608276201</v>
      </c>
    </row>
    <row r="4" spans="1:5">
      <c r="A4" s="22" t="s">
        <v>19</v>
      </c>
      <c r="B4" s="15">
        <v>33.854688614232302</v>
      </c>
      <c r="C4" s="15">
        <v>11.273237644932401</v>
      </c>
      <c r="D4" s="15">
        <v>12.870961824108701</v>
      </c>
      <c r="E4" s="24">
        <v>42.0011119167266</v>
      </c>
    </row>
    <row r="5" spans="1:5">
      <c r="A5" s="22" t="s">
        <v>20</v>
      </c>
      <c r="B5" s="15">
        <v>31.8423750564613</v>
      </c>
      <c r="C5" s="15">
        <v>12.5285097070627</v>
      </c>
      <c r="D5" s="15">
        <v>13.318571001576201</v>
      </c>
      <c r="E5" s="24">
        <v>42.310544234899801</v>
      </c>
    </row>
    <row r="6" spans="1:5">
      <c r="A6" s="23" t="s">
        <v>21</v>
      </c>
      <c r="B6" s="15"/>
      <c r="C6" s="15"/>
      <c r="D6" s="15"/>
      <c r="E6" s="24"/>
    </row>
    <row r="7" spans="1:5" ht="21.9" customHeight="1">
      <c r="A7" s="22" t="s">
        <v>22</v>
      </c>
      <c r="B7" s="15"/>
      <c r="C7" s="15"/>
      <c r="D7" s="15"/>
      <c r="E7" s="24"/>
    </row>
    <row r="8" spans="1:5">
      <c r="A8" s="9" t="s">
        <v>23</v>
      </c>
      <c r="B8" s="15">
        <v>30.300529272578</v>
      </c>
      <c r="C8" s="15">
        <v>11.727153934354501</v>
      </c>
      <c r="D8" s="15">
        <v>13.8353092478874</v>
      </c>
      <c r="E8" s="24">
        <v>44.137007545180097</v>
      </c>
    </row>
    <row r="9" spans="1:5">
      <c r="A9" s="9" t="s">
        <v>24</v>
      </c>
      <c r="B9" s="15">
        <v>32.646880757071699</v>
      </c>
      <c r="C9" s="15">
        <v>13.248675871051001</v>
      </c>
      <c r="D9" s="15">
        <v>13.0172929533647</v>
      </c>
      <c r="E9" s="24">
        <v>41.087150418512699</v>
      </c>
    </row>
    <row r="10" spans="1:5">
      <c r="A10" s="9" t="s">
        <v>25</v>
      </c>
      <c r="B10" s="20" t="s">
        <v>80</v>
      </c>
      <c r="C10" s="20" t="s">
        <v>80</v>
      </c>
      <c r="D10" s="20" t="s">
        <v>80</v>
      </c>
      <c r="E10" s="26" t="s">
        <v>80</v>
      </c>
    </row>
    <row r="11" spans="1:5">
      <c r="A11" s="9" t="s">
        <v>26</v>
      </c>
      <c r="B11" s="15">
        <v>41.565776513624101</v>
      </c>
      <c r="C11" s="20" t="s">
        <v>80</v>
      </c>
      <c r="D11" s="20" t="s">
        <v>80</v>
      </c>
      <c r="E11" s="24">
        <v>36.688666789914699</v>
      </c>
    </row>
    <row r="12" spans="1:5" ht="21.9" customHeight="1">
      <c r="A12" s="22" t="s">
        <v>27</v>
      </c>
      <c r="B12" s="15"/>
      <c r="C12" s="15"/>
      <c r="D12" s="15"/>
      <c r="E12" s="24"/>
    </row>
    <row r="13" spans="1:5">
      <c r="A13" s="9" t="s">
        <v>28</v>
      </c>
      <c r="B13" s="15">
        <v>29.729761388761201</v>
      </c>
      <c r="C13" s="15">
        <v>16.651614571244501</v>
      </c>
      <c r="D13" s="15">
        <v>16.251426484679602</v>
      </c>
      <c r="E13" s="24">
        <v>37.367197555314704</v>
      </c>
    </row>
    <row r="14" spans="1:5">
      <c r="A14" s="9" t="s">
        <v>29</v>
      </c>
      <c r="B14" s="15">
        <v>25.394966985420901</v>
      </c>
      <c r="C14" s="15">
        <v>14.469790439319</v>
      </c>
      <c r="D14" s="15">
        <v>14.9096150561085</v>
      </c>
      <c r="E14" s="24">
        <v>45.225627519151601</v>
      </c>
    </row>
    <row r="15" spans="1:5">
      <c r="A15" s="9" t="s">
        <v>30</v>
      </c>
      <c r="B15" s="15">
        <v>34.349064107439098</v>
      </c>
      <c r="C15" s="15">
        <v>10.7180285493352</v>
      </c>
      <c r="D15" s="15">
        <v>12.1801742449451</v>
      </c>
      <c r="E15" s="24">
        <v>42.752733098280501</v>
      </c>
    </row>
    <row r="16" spans="1:5">
      <c r="A16" s="9" t="s">
        <v>31</v>
      </c>
      <c r="B16" s="15">
        <v>37.773209833810697</v>
      </c>
      <c r="C16" s="15">
        <v>8.7081071972324295</v>
      </c>
      <c r="D16" s="15">
        <v>10.122344233487601</v>
      </c>
      <c r="E16" s="24">
        <v>43.3963387354692</v>
      </c>
    </row>
    <row r="17" spans="1:5" ht="21.9" customHeight="1">
      <c r="A17" s="22" t="s">
        <v>32</v>
      </c>
      <c r="B17" s="15"/>
      <c r="C17" s="15"/>
      <c r="D17" s="15"/>
      <c r="E17" s="24"/>
    </row>
    <row r="18" spans="1:5">
      <c r="A18" s="9" t="s">
        <v>33</v>
      </c>
      <c r="B18" s="15">
        <v>27.4410289009463</v>
      </c>
      <c r="C18" s="15">
        <v>15.499631037818199</v>
      </c>
      <c r="D18" s="15">
        <v>15.542962109362101</v>
      </c>
      <c r="E18" s="24">
        <v>41.516377951873402</v>
      </c>
    </row>
    <row r="19" spans="1:5">
      <c r="A19" s="9" t="s">
        <v>34</v>
      </c>
      <c r="B19" s="15">
        <v>35.692922118968397</v>
      </c>
      <c r="C19" s="15">
        <v>9.9292043790422806</v>
      </c>
      <c r="D19" s="15">
        <v>11.372547593437799</v>
      </c>
      <c r="E19" s="24">
        <v>43.005325908551498</v>
      </c>
    </row>
    <row r="20" spans="1:5" ht="21.9" customHeight="1">
      <c r="A20" s="22" t="s">
        <v>35</v>
      </c>
      <c r="B20" s="15"/>
      <c r="C20" s="15"/>
      <c r="D20" s="15"/>
      <c r="E20" s="24"/>
    </row>
    <row r="21" spans="1:5">
      <c r="A21" s="9" t="s">
        <v>36</v>
      </c>
      <c r="B21" s="15">
        <v>30.864893439583799</v>
      </c>
      <c r="C21" s="15">
        <v>12.5000647618084</v>
      </c>
      <c r="D21" s="15">
        <v>13.486688214199599</v>
      </c>
      <c r="E21" s="24">
        <v>43.148353584408198</v>
      </c>
    </row>
    <row r="22" spans="1:5">
      <c r="A22" s="9" t="s">
        <v>37</v>
      </c>
      <c r="B22" s="15">
        <v>30.429754375715401</v>
      </c>
      <c r="C22" s="15">
        <v>12.674669118157301</v>
      </c>
      <c r="D22" s="15">
        <v>13.5208709401916</v>
      </c>
      <c r="E22" s="24">
        <v>43.374705565935699</v>
      </c>
    </row>
    <row r="23" spans="1:5">
      <c r="A23" s="9" t="s">
        <v>38</v>
      </c>
      <c r="B23" s="20" t="s">
        <v>80</v>
      </c>
      <c r="C23" s="20" t="s">
        <v>80</v>
      </c>
      <c r="D23" s="20" t="s">
        <v>80</v>
      </c>
      <c r="E23" s="26" t="s">
        <v>80</v>
      </c>
    </row>
    <row r="24" spans="1:5">
      <c r="A24" s="9" t="s">
        <v>39</v>
      </c>
      <c r="B24" s="20" t="s">
        <v>80</v>
      </c>
      <c r="C24" s="20" t="s">
        <v>80</v>
      </c>
      <c r="D24" s="20" t="s">
        <v>80</v>
      </c>
      <c r="E24" s="26" t="s">
        <v>80</v>
      </c>
    </row>
    <row r="25" spans="1:5">
      <c r="A25" s="9" t="s">
        <v>40</v>
      </c>
      <c r="B25" s="20" t="s">
        <v>80</v>
      </c>
      <c r="C25" s="20" t="s">
        <v>80</v>
      </c>
      <c r="D25" s="20" t="s">
        <v>80</v>
      </c>
      <c r="E25" s="26" t="s">
        <v>80</v>
      </c>
    </row>
    <row r="26" spans="1:5">
      <c r="A26" s="9" t="s">
        <v>41</v>
      </c>
      <c r="B26" s="15">
        <v>37.408728979493098</v>
      </c>
      <c r="C26" s="20" t="s">
        <v>80</v>
      </c>
      <c r="D26" s="20" t="s">
        <v>80</v>
      </c>
      <c r="E26" s="24">
        <v>44.374993319215399</v>
      </c>
    </row>
    <row r="27" spans="1:5">
      <c r="A27" s="9" t="s">
        <v>42</v>
      </c>
      <c r="B27" s="15">
        <v>30.556857310262298</v>
      </c>
      <c r="C27" s="20" t="s">
        <v>80</v>
      </c>
      <c r="D27" s="20" t="s">
        <v>80</v>
      </c>
      <c r="E27" s="24">
        <v>43.837858153970402</v>
      </c>
    </row>
    <row r="28" spans="1:5">
      <c r="A28" s="9" t="s">
        <v>43</v>
      </c>
      <c r="B28" s="20" t="s">
        <v>80</v>
      </c>
      <c r="C28" s="20" t="s">
        <v>80</v>
      </c>
      <c r="D28" s="20" t="s">
        <v>80</v>
      </c>
      <c r="E28" s="26" t="s">
        <v>80</v>
      </c>
    </row>
    <row r="29" spans="1:5">
      <c r="A29" s="9" t="s">
        <v>44</v>
      </c>
      <c r="B29" s="20" t="s">
        <v>80</v>
      </c>
      <c r="C29" s="20" t="s">
        <v>80</v>
      </c>
      <c r="D29" s="20" t="s">
        <v>80</v>
      </c>
      <c r="E29" s="26" t="s">
        <v>80</v>
      </c>
    </row>
    <row r="30" spans="1:5">
      <c r="A30" s="9" t="s">
        <v>45</v>
      </c>
      <c r="B30" s="20" t="s">
        <v>80</v>
      </c>
      <c r="C30" s="20" t="s">
        <v>80</v>
      </c>
      <c r="D30" s="20" t="s">
        <v>80</v>
      </c>
      <c r="E30" s="26" t="s">
        <v>80</v>
      </c>
    </row>
    <row r="31" spans="1:5">
      <c r="A31" s="9" t="s">
        <v>46</v>
      </c>
      <c r="B31" s="20" t="s">
        <v>80</v>
      </c>
      <c r="C31" s="20" t="s">
        <v>80</v>
      </c>
      <c r="D31" s="20" t="s">
        <v>80</v>
      </c>
      <c r="E31" s="24">
        <v>43.254360519231099</v>
      </c>
    </row>
    <row r="32" spans="1:5">
      <c r="A32" s="9" t="s">
        <v>47</v>
      </c>
      <c r="B32" s="15">
        <v>47.5944406722205</v>
      </c>
      <c r="C32" s="20" t="s">
        <v>80</v>
      </c>
      <c r="D32" s="20" t="s">
        <v>80</v>
      </c>
      <c r="E32" s="24">
        <v>33.252318064701598</v>
      </c>
    </row>
    <row r="33" spans="1:5">
      <c r="A33" s="9" t="s">
        <v>48</v>
      </c>
      <c r="B33" s="20" t="s">
        <v>80</v>
      </c>
      <c r="C33" s="20" t="s">
        <v>80</v>
      </c>
      <c r="D33" s="20" t="s">
        <v>80</v>
      </c>
      <c r="E33" s="26" t="s">
        <v>80</v>
      </c>
    </row>
    <row r="34" spans="1:5">
      <c r="A34" s="9" t="s">
        <v>49</v>
      </c>
      <c r="B34" s="20" t="s">
        <v>80</v>
      </c>
      <c r="C34" s="20" t="s">
        <v>80</v>
      </c>
      <c r="D34" s="20" t="s">
        <v>80</v>
      </c>
      <c r="E34" s="26" t="s">
        <v>80</v>
      </c>
    </row>
    <row r="35" spans="1:5">
      <c r="A35" s="9" t="s">
        <v>50</v>
      </c>
      <c r="B35" s="20" t="s">
        <v>80</v>
      </c>
      <c r="C35" s="20" t="s">
        <v>80</v>
      </c>
      <c r="D35" s="20" t="s">
        <v>80</v>
      </c>
      <c r="E35" s="26" t="s">
        <v>80</v>
      </c>
    </row>
    <row r="36" spans="1:5">
      <c r="A36" s="9" t="s">
        <v>51</v>
      </c>
      <c r="B36" s="20" t="s">
        <v>80</v>
      </c>
      <c r="C36" s="20" t="s">
        <v>80</v>
      </c>
      <c r="D36" s="20" t="s">
        <v>80</v>
      </c>
      <c r="E36" s="26" t="s">
        <v>80</v>
      </c>
    </row>
    <row r="37" spans="1:5">
      <c r="A37" s="9" t="s">
        <v>52</v>
      </c>
      <c r="B37" s="20" t="s">
        <v>80</v>
      </c>
      <c r="C37" s="20" t="s">
        <v>80</v>
      </c>
      <c r="D37" s="20" t="s">
        <v>80</v>
      </c>
      <c r="E37" s="26" t="s">
        <v>80</v>
      </c>
    </row>
    <row r="38" spans="1:5">
      <c r="A38" s="9" t="s">
        <v>53</v>
      </c>
      <c r="B38" s="20" t="s">
        <v>80</v>
      </c>
      <c r="C38" s="20" t="s">
        <v>80</v>
      </c>
      <c r="D38" s="20" t="s">
        <v>80</v>
      </c>
      <c r="E38" s="26" t="s">
        <v>80</v>
      </c>
    </row>
    <row r="39" spans="1:5">
      <c r="A39" s="9" t="s">
        <v>54</v>
      </c>
      <c r="B39" s="20" t="s">
        <v>80</v>
      </c>
      <c r="C39" s="20" t="s">
        <v>80</v>
      </c>
      <c r="D39" s="20" t="s">
        <v>80</v>
      </c>
      <c r="E39" s="26" t="s">
        <v>80</v>
      </c>
    </row>
    <row r="40" spans="1:5">
      <c r="A40" s="9" t="s">
        <v>55</v>
      </c>
      <c r="B40" s="20" t="s">
        <v>80</v>
      </c>
      <c r="C40" s="20" t="s">
        <v>80</v>
      </c>
      <c r="D40" s="20" t="s">
        <v>80</v>
      </c>
      <c r="E40" s="26" t="s">
        <v>80</v>
      </c>
    </row>
    <row r="41" spans="1:5">
      <c r="A41" s="9" t="s">
        <v>56</v>
      </c>
      <c r="B41" s="20" t="s">
        <v>80</v>
      </c>
      <c r="C41" s="20" t="s">
        <v>80</v>
      </c>
      <c r="D41" s="20" t="s">
        <v>80</v>
      </c>
      <c r="E41" s="26" t="s">
        <v>80</v>
      </c>
    </row>
    <row r="42" spans="1:5">
      <c r="A42" s="9" t="s">
        <v>57</v>
      </c>
      <c r="B42" s="20" t="s">
        <v>80</v>
      </c>
      <c r="C42" s="20" t="s">
        <v>80</v>
      </c>
      <c r="D42" s="20" t="s">
        <v>80</v>
      </c>
      <c r="E42" s="26" t="s">
        <v>80</v>
      </c>
    </row>
    <row r="43" spans="1:5">
      <c r="A43" s="9" t="s">
        <v>58</v>
      </c>
      <c r="B43" s="20" t="s">
        <v>80</v>
      </c>
      <c r="C43" s="20" t="s">
        <v>80</v>
      </c>
      <c r="D43" s="20" t="s">
        <v>80</v>
      </c>
      <c r="E43" s="26" t="s">
        <v>80</v>
      </c>
    </row>
    <row r="44" spans="1:5">
      <c r="A44" s="9" t="s">
        <v>59</v>
      </c>
      <c r="B44" s="20" t="s">
        <v>80</v>
      </c>
      <c r="C44" s="20" t="s">
        <v>80</v>
      </c>
      <c r="D44" s="20" t="s">
        <v>80</v>
      </c>
      <c r="E44" s="26" t="s">
        <v>80</v>
      </c>
    </row>
    <row r="45" spans="1:5">
      <c r="A45" s="9" t="s">
        <v>60</v>
      </c>
      <c r="B45" s="15">
        <v>42.888343345161999</v>
      </c>
      <c r="C45" s="15">
        <v>14.001035135516901</v>
      </c>
      <c r="D45" s="15">
        <v>11.478423835675301</v>
      </c>
      <c r="E45" s="24">
        <v>31.632197683645899</v>
      </c>
    </row>
    <row r="46" spans="1:5" ht="21.9" customHeight="1">
      <c r="A46" s="22" t="s">
        <v>61</v>
      </c>
      <c r="B46" s="15"/>
      <c r="C46" s="15"/>
      <c r="D46" s="15"/>
      <c r="E46" s="24"/>
    </row>
    <row r="47" spans="1:5">
      <c r="A47" s="9" t="s">
        <v>62</v>
      </c>
      <c r="B47" s="15">
        <v>38.695768447856402</v>
      </c>
      <c r="C47" s="20" t="s">
        <v>80</v>
      </c>
      <c r="D47" s="20" t="s">
        <v>80</v>
      </c>
      <c r="E47" s="24">
        <v>39.510591034084896</v>
      </c>
    </row>
    <row r="48" spans="1:5">
      <c r="A48" s="9" t="s">
        <v>63</v>
      </c>
      <c r="B48" s="15">
        <v>30.956786475285899</v>
      </c>
      <c r="C48" s="15">
        <v>12.7313205054559</v>
      </c>
      <c r="D48" s="15">
        <v>13.5900846832621</v>
      </c>
      <c r="E48" s="24">
        <v>42.721808335996201</v>
      </c>
    </row>
    <row r="49" spans="1:5">
      <c r="A49" s="9" t="s">
        <v>60</v>
      </c>
      <c r="B49" s="15">
        <v>42.447281264849998</v>
      </c>
      <c r="C49" s="20" t="s">
        <v>80</v>
      </c>
      <c r="D49" s="20" t="s">
        <v>80</v>
      </c>
      <c r="E49" s="24">
        <v>37.040038440744603</v>
      </c>
    </row>
    <row r="50" spans="1:5" ht="21.9" customHeight="1">
      <c r="A50" s="22" t="s">
        <v>64</v>
      </c>
      <c r="B50" s="15"/>
      <c r="C50" s="15"/>
      <c r="D50" s="15"/>
      <c r="E50" s="24"/>
    </row>
    <row r="51" spans="1:5">
      <c r="A51" s="9" t="s">
        <v>65</v>
      </c>
      <c r="B51" s="15">
        <v>38.963833880535901</v>
      </c>
      <c r="C51" s="15">
        <v>14.424684212092799</v>
      </c>
      <c r="D51" s="15">
        <v>11.401215032465901</v>
      </c>
      <c r="E51" s="24">
        <v>35.2102668749055</v>
      </c>
    </row>
    <row r="52" spans="1:5">
      <c r="A52" s="9" t="s">
        <v>66</v>
      </c>
      <c r="B52" s="15">
        <v>29.739124525156001</v>
      </c>
      <c r="C52" s="15">
        <v>12.445885942539601</v>
      </c>
      <c r="D52" s="15">
        <v>13.9552881258744</v>
      </c>
      <c r="E52" s="24">
        <v>43.859701406429998</v>
      </c>
    </row>
    <row r="53" spans="1:5">
      <c r="A53" s="9" t="s">
        <v>60</v>
      </c>
      <c r="B53" s="15">
        <v>43.126843456329802</v>
      </c>
      <c r="C53" s="15">
        <v>9.5435370713882897</v>
      </c>
      <c r="D53" s="15">
        <v>9.3965368782212195</v>
      </c>
      <c r="E53" s="24">
        <v>37.9330825940607</v>
      </c>
    </row>
    <row r="54" spans="1:5" ht="21.9" customHeight="1">
      <c r="A54" s="22" t="s">
        <v>67</v>
      </c>
      <c r="B54" s="15"/>
      <c r="C54" s="15"/>
      <c r="D54" s="15"/>
      <c r="E54" s="24"/>
    </row>
    <row r="55" spans="1:5">
      <c r="A55" s="9" t="s">
        <v>89</v>
      </c>
      <c r="B55" s="15">
        <v>26.4213054961883</v>
      </c>
      <c r="C55" s="15">
        <v>11.891228392834</v>
      </c>
      <c r="D55" s="15">
        <v>13.307318797693799</v>
      </c>
      <c r="E55" s="24">
        <v>48.380147313283899</v>
      </c>
    </row>
    <row r="56" spans="1:5">
      <c r="A56" s="9" t="s">
        <v>69</v>
      </c>
      <c r="B56" s="15">
        <v>36.500177911883902</v>
      </c>
      <c r="C56" s="15">
        <v>11.950166039153199</v>
      </c>
      <c r="D56" s="15">
        <v>14.469648801225301</v>
      </c>
      <c r="E56" s="24">
        <v>37.080007247737598</v>
      </c>
    </row>
    <row r="57" spans="1:5">
      <c r="A57" s="9" t="s">
        <v>70</v>
      </c>
      <c r="B57" s="15">
        <v>35.032039061996102</v>
      </c>
      <c r="C57" s="15">
        <v>14.033464120256999</v>
      </c>
      <c r="D57" s="15">
        <v>11.5902314124766</v>
      </c>
      <c r="E57" s="24">
        <v>39.344265405270399</v>
      </c>
    </row>
    <row r="58" spans="1:5">
      <c r="A58" s="9" t="s">
        <v>90</v>
      </c>
      <c r="B58" s="20" t="s">
        <v>80</v>
      </c>
      <c r="C58" s="20" t="s">
        <v>80</v>
      </c>
      <c r="D58" s="20" t="s">
        <v>80</v>
      </c>
      <c r="E58" s="26" t="s">
        <v>80</v>
      </c>
    </row>
    <row r="59" spans="1:5" ht="21.9" customHeight="1">
      <c r="A59" s="22" t="s">
        <v>72</v>
      </c>
      <c r="B59" s="15"/>
      <c r="C59" s="15"/>
      <c r="D59" s="15"/>
      <c r="E59" s="24"/>
    </row>
    <row r="60" spans="1:5" ht="18">
      <c r="A60" s="9" t="s">
        <v>91</v>
      </c>
      <c r="B60" s="15">
        <v>23.244687000814899</v>
      </c>
      <c r="C60" s="15">
        <v>12.134311973970201</v>
      </c>
      <c r="D60" s="15">
        <v>12.4951363552349</v>
      </c>
      <c r="E60" s="24">
        <v>52.125864669979997</v>
      </c>
    </row>
    <row r="61" spans="1:5">
      <c r="A61" s="11" t="s">
        <v>74</v>
      </c>
      <c r="B61" s="16">
        <v>37.592644149474999</v>
      </c>
      <c r="C61" s="16">
        <v>12.7921553553425</v>
      </c>
      <c r="D61" s="16">
        <v>13.869297053315499</v>
      </c>
      <c r="E61" s="25">
        <v>35.745903441867</v>
      </c>
    </row>
    <row r="62" spans="1:5" ht="30" customHeight="1">
      <c r="A62" t="s">
        <v>92</v>
      </c>
    </row>
    <row r="63" spans="1:5">
      <c r="A63" t="s">
        <v>93</v>
      </c>
    </row>
    <row r="64" spans="1:5">
      <c r="A64" t="s">
        <v>94</v>
      </c>
    </row>
    <row r="65" spans="1:1">
      <c r="A65" t="s">
        <v>95</v>
      </c>
    </row>
    <row r="66" spans="1:1">
      <c r="A66" t="s">
        <v>96</v>
      </c>
    </row>
    <row r="67" spans="1:1">
      <c r="A67" t="s">
        <v>97</v>
      </c>
    </row>
    <row r="68" spans="1:1">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2"/>
  <sheetViews>
    <sheetView zoomScale="70" workbookViewId="0"/>
  </sheetViews>
  <sheetFormatPr defaultColWidth="10.90625" defaultRowHeight="15"/>
  <cols>
    <col min="1" max="1" width="51.6796875" customWidth="1"/>
    <col min="2" max="16" width="15.90625" customWidth="1"/>
  </cols>
  <sheetData>
    <row r="1" spans="1:16" ht="39.9" customHeight="1">
      <c r="A1" s="10" t="s">
        <v>103</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39.470113608276201</v>
      </c>
      <c r="C3" s="15">
        <v>37.400873122462102</v>
      </c>
      <c r="D3" s="24">
        <v>41.180133250510103</v>
      </c>
      <c r="E3" s="15">
        <v>43.214721747690398</v>
      </c>
      <c r="F3" s="15">
        <v>40.345937427291503</v>
      </c>
      <c r="G3" s="24">
        <v>45.621163244746299</v>
      </c>
      <c r="H3" s="15">
        <v>36.420748716953703</v>
      </c>
      <c r="I3" s="15">
        <v>34.661612354777702</v>
      </c>
      <c r="J3" s="24">
        <v>37.899402655959399</v>
      </c>
      <c r="K3" s="15">
        <v>28.0897272983383</v>
      </c>
      <c r="L3" s="15">
        <v>36.996062026125202</v>
      </c>
      <c r="M3" s="24">
        <v>25.8440127890815</v>
      </c>
      <c r="N3" s="15">
        <v>26.1883832059887</v>
      </c>
      <c r="O3" s="15">
        <v>28.817341160690699</v>
      </c>
      <c r="P3" s="24">
        <v>24.287043931016299</v>
      </c>
    </row>
    <row r="4" spans="1:16" ht="21.9" customHeight="1">
      <c r="A4" s="22" t="s">
        <v>19</v>
      </c>
      <c r="B4" s="15">
        <v>42.0011119167266</v>
      </c>
      <c r="C4" s="15">
        <v>40.789881526632399</v>
      </c>
      <c r="D4" s="24">
        <v>42.9945566866379</v>
      </c>
      <c r="E4" s="15">
        <v>45.8450289581654</v>
      </c>
      <c r="F4" s="15">
        <v>44.672722119277601</v>
      </c>
      <c r="G4" s="24">
        <v>46.824903488139597</v>
      </c>
      <c r="H4" s="15">
        <v>38.862269678174002</v>
      </c>
      <c r="I4" s="15">
        <v>37.143161554306602</v>
      </c>
      <c r="J4" s="24">
        <v>40.275432173562002</v>
      </c>
      <c r="K4" s="15">
        <v>28.6163807538749</v>
      </c>
      <c r="L4" s="20" t="s">
        <v>80</v>
      </c>
      <c r="M4" s="24">
        <v>24.440130963566901</v>
      </c>
      <c r="N4" s="15">
        <v>28.022935934646</v>
      </c>
      <c r="O4" s="15">
        <v>28.953270168162899</v>
      </c>
      <c r="P4" s="24">
        <v>27.294251229824098</v>
      </c>
    </row>
    <row r="5" spans="1:16" ht="21.9" customHeight="1">
      <c r="A5" s="22" t="s">
        <v>20</v>
      </c>
      <c r="B5" s="15">
        <v>42.310544234899801</v>
      </c>
      <c r="C5" s="15">
        <v>41.516377951873402</v>
      </c>
      <c r="D5" s="24">
        <v>43.005325908551498</v>
      </c>
      <c r="E5" s="15">
        <v>44.137007545180097</v>
      </c>
      <c r="F5" s="15">
        <v>42.612755883075799</v>
      </c>
      <c r="G5" s="24">
        <v>45.478346007031398</v>
      </c>
      <c r="H5" s="15">
        <v>41.087150418512699</v>
      </c>
      <c r="I5" s="15">
        <v>40.646878608030498</v>
      </c>
      <c r="J5" s="24">
        <v>41.475795463063598</v>
      </c>
      <c r="K5" s="20" t="s">
        <v>80</v>
      </c>
      <c r="L5" s="20" t="s">
        <v>80</v>
      </c>
      <c r="M5" s="26" t="s">
        <v>80</v>
      </c>
      <c r="N5" s="15">
        <v>36.688666789914699</v>
      </c>
      <c r="O5" s="20" t="s">
        <v>80</v>
      </c>
      <c r="P5" s="26" t="s">
        <v>80</v>
      </c>
    </row>
    <row r="6" spans="1:16" ht="21.9" customHeight="1">
      <c r="A6" s="22" t="s">
        <v>115</v>
      </c>
      <c r="B6" s="15">
        <v>41.516377951873402</v>
      </c>
      <c r="C6" s="15">
        <v>41.516377951873402</v>
      </c>
      <c r="D6" s="26" t="s">
        <v>80</v>
      </c>
      <c r="E6" s="15">
        <v>42.612755883075799</v>
      </c>
      <c r="F6" s="15">
        <v>42.612755883075799</v>
      </c>
      <c r="G6" s="26" t="s">
        <v>80</v>
      </c>
      <c r="H6" s="15">
        <v>40.646878608030498</v>
      </c>
      <c r="I6" s="15">
        <v>40.646878608030498</v>
      </c>
      <c r="J6" s="26" t="s">
        <v>80</v>
      </c>
      <c r="K6" s="20" t="s">
        <v>80</v>
      </c>
      <c r="L6" s="20" t="s">
        <v>80</v>
      </c>
      <c r="M6" s="26" t="s">
        <v>80</v>
      </c>
      <c r="N6" s="20" t="s">
        <v>80</v>
      </c>
      <c r="O6" s="20" t="s">
        <v>80</v>
      </c>
      <c r="P6" s="26" t="s">
        <v>80</v>
      </c>
    </row>
    <row r="7" spans="1:16">
      <c r="A7" s="9" t="s">
        <v>116</v>
      </c>
      <c r="B7" s="15">
        <v>70.588235294117695</v>
      </c>
      <c r="C7" s="15">
        <v>70.588235294117695</v>
      </c>
      <c r="D7" s="26" t="s">
        <v>80</v>
      </c>
      <c r="E7" s="15">
        <v>76.190476190476204</v>
      </c>
      <c r="F7" s="15">
        <v>76.190476190476204</v>
      </c>
      <c r="G7" s="26" t="s">
        <v>80</v>
      </c>
      <c r="H7" s="15">
        <v>66.6666666666667</v>
      </c>
      <c r="I7" s="15">
        <v>66.6666666666667</v>
      </c>
      <c r="J7" s="26" t="s">
        <v>80</v>
      </c>
      <c r="K7" s="20" t="s">
        <v>80</v>
      </c>
      <c r="L7" s="20" t="s">
        <v>80</v>
      </c>
      <c r="M7" s="26" t="s">
        <v>80</v>
      </c>
      <c r="N7" s="20" t="s">
        <v>80</v>
      </c>
      <c r="O7" s="20" t="s">
        <v>80</v>
      </c>
      <c r="P7" s="26" t="s">
        <v>80</v>
      </c>
    </row>
    <row r="8" spans="1:16">
      <c r="A8" s="9" t="s">
        <v>117</v>
      </c>
      <c r="B8" s="15">
        <v>31.818181818181799</v>
      </c>
      <c r="C8" s="15">
        <v>31.818181818181799</v>
      </c>
      <c r="D8" s="26" t="s">
        <v>80</v>
      </c>
      <c r="E8" s="20" t="s">
        <v>80</v>
      </c>
      <c r="F8" s="20" t="s">
        <v>80</v>
      </c>
      <c r="G8" s="26" t="s">
        <v>80</v>
      </c>
      <c r="H8" s="20" t="s">
        <v>80</v>
      </c>
      <c r="I8" s="20" t="s">
        <v>80</v>
      </c>
      <c r="J8" s="26" t="s">
        <v>80</v>
      </c>
      <c r="K8" s="20" t="s">
        <v>80</v>
      </c>
      <c r="L8" s="20" t="s">
        <v>80</v>
      </c>
      <c r="M8" s="26" t="s">
        <v>80</v>
      </c>
      <c r="N8" s="20" t="s">
        <v>80</v>
      </c>
      <c r="O8" s="20" t="s">
        <v>80</v>
      </c>
      <c r="P8" s="26" t="s">
        <v>80</v>
      </c>
    </row>
    <row r="9" spans="1:16">
      <c r="A9" s="9" t="s">
        <v>118</v>
      </c>
      <c r="B9" s="15">
        <v>36.312849162011197</v>
      </c>
      <c r="C9" s="15">
        <v>36.312849162011197</v>
      </c>
      <c r="D9" s="26" t="s">
        <v>80</v>
      </c>
      <c r="E9" s="15">
        <v>38.8888888888889</v>
      </c>
      <c r="F9" s="15">
        <v>38.8888888888889</v>
      </c>
      <c r="G9" s="26" t="s">
        <v>80</v>
      </c>
      <c r="H9" s="15">
        <v>32.558139534883701</v>
      </c>
      <c r="I9" s="15">
        <v>32.558139534883701</v>
      </c>
      <c r="J9" s="26" t="s">
        <v>80</v>
      </c>
      <c r="K9" s="20" t="s">
        <v>80</v>
      </c>
      <c r="L9" s="20" t="s">
        <v>80</v>
      </c>
      <c r="M9" s="26" t="s">
        <v>80</v>
      </c>
      <c r="N9" s="20" t="s">
        <v>80</v>
      </c>
      <c r="O9" s="20" t="s">
        <v>80</v>
      </c>
      <c r="P9" s="26" t="s">
        <v>80</v>
      </c>
    </row>
    <row r="10" spans="1:16">
      <c r="A10" s="9" t="s">
        <v>119</v>
      </c>
      <c r="B10" s="15">
        <v>37.6237623762376</v>
      </c>
      <c r="C10" s="15">
        <v>37.6237623762376</v>
      </c>
      <c r="D10" s="26" t="s">
        <v>80</v>
      </c>
      <c r="E10" s="15">
        <v>45.454545454545503</v>
      </c>
      <c r="F10" s="15">
        <v>45.454545454545503</v>
      </c>
      <c r="G10" s="26" t="s">
        <v>80</v>
      </c>
      <c r="H10" s="15">
        <v>32.142857142857103</v>
      </c>
      <c r="I10" s="15">
        <v>32.142857142857103</v>
      </c>
      <c r="J10" s="26" t="s">
        <v>80</v>
      </c>
      <c r="K10" s="20" t="s">
        <v>80</v>
      </c>
      <c r="L10" s="20" t="s">
        <v>80</v>
      </c>
      <c r="M10" s="26" t="s">
        <v>80</v>
      </c>
      <c r="N10" s="20" t="s">
        <v>80</v>
      </c>
      <c r="O10" s="20" t="s">
        <v>80</v>
      </c>
      <c r="P10" s="26" t="s">
        <v>80</v>
      </c>
    </row>
    <row r="11" spans="1:16">
      <c r="A11" s="9" t="s">
        <v>120</v>
      </c>
      <c r="B11" s="15">
        <v>41.428571428571402</v>
      </c>
      <c r="C11" s="15">
        <v>41.428571428571402</v>
      </c>
      <c r="D11" s="26" t="s">
        <v>80</v>
      </c>
      <c r="E11" s="15">
        <v>38.235294117647101</v>
      </c>
      <c r="F11" s="15">
        <v>38.235294117647101</v>
      </c>
      <c r="G11" s="26" t="s">
        <v>80</v>
      </c>
      <c r="H11" s="15">
        <v>41.176470588235297</v>
      </c>
      <c r="I11" s="15">
        <v>41.176470588235297</v>
      </c>
      <c r="J11" s="26" t="s">
        <v>80</v>
      </c>
      <c r="K11" s="20" t="s">
        <v>80</v>
      </c>
      <c r="L11" s="20" t="s">
        <v>80</v>
      </c>
      <c r="M11" s="26" t="s">
        <v>80</v>
      </c>
      <c r="N11" s="20" t="s">
        <v>80</v>
      </c>
      <c r="O11" s="20" t="s">
        <v>80</v>
      </c>
      <c r="P11" s="26" t="s">
        <v>80</v>
      </c>
    </row>
    <row r="12" spans="1:16">
      <c r="A12" s="9" t="s">
        <v>121</v>
      </c>
      <c r="B12" s="15">
        <v>35.135135135135101</v>
      </c>
      <c r="C12" s="15">
        <v>35.135135135135101</v>
      </c>
      <c r="D12" s="26" t="s">
        <v>80</v>
      </c>
      <c r="E12" s="20" t="s">
        <v>80</v>
      </c>
      <c r="F12" s="20" t="s">
        <v>80</v>
      </c>
      <c r="G12" s="26" t="s">
        <v>80</v>
      </c>
      <c r="H12" s="15">
        <v>45.454545454545503</v>
      </c>
      <c r="I12" s="15">
        <v>45.454545454545503</v>
      </c>
      <c r="J12" s="26" t="s">
        <v>80</v>
      </c>
      <c r="K12" s="20" t="s">
        <v>80</v>
      </c>
      <c r="L12" s="20" t="s">
        <v>80</v>
      </c>
      <c r="M12" s="26" t="s">
        <v>80</v>
      </c>
      <c r="N12" s="20" t="s">
        <v>80</v>
      </c>
      <c r="O12" s="20" t="s">
        <v>80</v>
      </c>
      <c r="P12" s="26" t="s">
        <v>80</v>
      </c>
    </row>
    <row r="13" spans="1:16">
      <c r="A13" s="9" t="s">
        <v>122</v>
      </c>
      <c r="B13" s="15">
        <v>42.056074766355103</v>
      </c>
      <c r="C13" s="15">
        <v>42.056074766355103</v>
      </c>
      <c r="D13" s="26" t="s">
        <v>80</v>
      </c>
      <c r="E13" s="15">
        <v>48.275862068965502</v>
      </c>
      <c r="F13" s="15">
        <v>48.275862068965502</v>
      </c>
      <c r="G13" s="26" t="s">
        <v>80</v>
      </c>
      <c r="H13" s="15">
        <v>34.6938775510204</v>
      </c>
      <c r="I13" s="15">
        <v>34.6938775510204</v>
      </c>
      <c r="J13" s="26" t="s">
        <v>80</v>
      </c>
      <c r="K13" s="20" t="s">
        <v>80</v>
      </c>
      <c r="L13" s="20" t="s">
        <v>80</v>
      </c>
      <c r="M13" s="26" t="s">
        <v>80</v>
      </c>
      <c r="N13" s="20" t="s">
        <v>80</v>
      </c>
      <c r="O13" s="20" t="s">
        <v>80</v>
      </c>
      <c r="P13" s="26" t="s">
        <v>80</v>
      </c>
    </row>
    <row r="14" spans="1:16">
      <c r="A14" s="9" t="s">
        <v>123</v>
      </c>
      <c r="B14" s="15">
        <v>47.619047619047599</v>
      </c>
      <c r="C14" s="15">
        <v>47.619047619047599</v>
      </c>
      <c r="D14" s="26" t="s">
        <v>80</v>
      </c>
      <c r="E14" s="15">
        <v>54.054054054054099</v>
      </c>
      <c r="F14" s="15">
        <v>54.054054054054099</v>
      </c>
      <c r="G14" s="26" t="s">
        <v>80</v>
      </c>
      <c r="H14" s="15">
        <v>43.478260869565197</v>
      </c>
      <c r="I14" s="15">
        <v>43.478260869565197</v>
      </c>
      <c r="J14" s="26" t="s">
        <v>80</v>
      </c>
      <c r="K14" s="20" t="s">
        <v>80</v>
      </c>
      <c r="L14" s="20" t="s">
        <v>80</v>
      </c>
      <c r="M14" s="26" t="s">
        <v>80</v>
      </c>
      <c r="N14" s="20" t="s">
        <v>80</v>
      </c>
      <c r="O14" s="20" t="s">
        <v>80</v>
      </c>
      <c r="P14" s="26" t="s">
        <v>80</v>
      </c>
    </row>
    <row r="15" spans="1:16">
      <c r="A15" s="9" t="s">
        <v>124</v>
      </c>
      <c r="B15" s="15">
        <v>40.9722222222222</v>
      </c>
      <c r="C15" s="15">
        <v>40.9722222222222</v>
      </c>
      <c r="D15" s="26" t="s">
        <v>80</v>
      </c>
      <c r="E15" s="15">
        <v>40.298507462686601</v>
      </c>
      <c r="F15" s="15">
        <v>40.298507462686601</v>
      </c>
      <c r="G15" s="26" t="s">
        <v>80</v>
      </c>
      <c r="H15" s="15">
        <v>42.4657534246575</v>
      </c>
      <c r="I15" s="15">
        <v>42.4657534246575</v>
      </c>
      <c r="J15" s="26" t="s">
        <v>80</v>
      </c>
      <c r="K15" s="20" t="s">
        <v>80</v>
      </c>
      <c r="L15" s="20" t="s">
        <v>80</v>
      </c>
      <c r="M15" s="26" t="s">
        <v>80</v>
      </c>
      <c r="N15" s="20" t="s">
        <v>80</v>
      </c>
      <c r="O15" s="20" t="s">
        <v>80</v>
      </c>
      <c r="P15" s="26" t="s">
        <v>80</v>
      </c>
    </row>
    <row r="16" spans="1:16">
      <c r="A16" s="9" t="s">
        <v>125</v>
      </c>
      <c r="B16" s="15">
        <v>45.161290322580598</v>
      </c>
      <c r="C16" s="15">
        <v>45.161290322580598</v>
      </c>
      <c r="D16" s="26" t="s">
        <v>80</v>
      </c>
      <c r="E16" s="15">
        <v>43.835616438356197</v>
      </c>
      <c r="F16" s="15">
        <v>43.835616438356197</v>
      </c>
      <c r="G16" s="26" t="s">
        <v>80</v>
      </c>
      <c r="H16" s="15">
        <v>52.173913043478301</v>
      </c>
      <c r="I16" s="15">
        <v>52.173913043478301</v>
      </c>
      <c r="J16" s="26" t="s">
        <v>80</v>
      </c>
      <c r="K16" s="20" t="s">
        <v>80</v>
      </c>
      <c r="L16" s="20" t="s">
        <v>80</v>
      </c>
      <c r="M16" s="26" t="s">
        <v>80</v>
      </c>
      <c r="N16" s="20" t="s">
        <v>80</v>
      </c>
      <c r="O16" s="20" t="s">
        <v>80</v>
      </c>
      <c r="P16" s="26" t="s">
        <v>80</v>
      </c>
    </row>
    <row r="17" spans="1:16">
      <c r="A17" s="9" t="s">
        <v>126</v>
      </c>
      <c r="B17" s="15">
        <v>39.669421487603302</v>
      </c>
      <c r="C17" s="15">
        <v>39.669421487603302</v>
      </c>
      <c r="D17" s="26" t="s">
        <v>80</v>
      </c>
      <c r="E17" s="15">
        <v>42.857142857142897</v>
      </c>
      <c r="F17" s="15">
        <v>42.857142857142897</v>
      </c>
      <c r="G17" s="26" t="s">
        <v>80</v>
      </c>
      <c r="H17" s="15">
        <v>35.9375</v>
      </c>
      <c r="I17" s="15">
        <v>35.9375</v>
      </c>
      <c r="J17" s="26" t="s">
        <v>80</v>
      </c>
      <c r="K17" s="20" t="s">
        <v>80</v>
      </c>
      <c r="L17" s="20" t="s">
        <v>80</v>
      </c>
      <c r="M17" s="26" t="s">
        <v>80</v>
      </c>
      <c r="N17" s="20" t="s">
        <v>80</v>
      </c>
      <c r="O17" s="20" t="s">
        <v>80</v>
      </c>
      <c r="P17" s="26" t="s">
        <v>80</v>
      </c>
    </row>
    <row r="18" spans="1:16">
      <c r="A18" s="9" t="s">
        <v>127</v>
      </c>
      <c r="B18" s="15">
        <v>58.823529411764703</v>
      </c>
      <c r="C18" s="15">
        <v>58.823529411764703</v>
      </c>
      <c r="D18" s="26" t="s">
        <v>80</v>
      </c>
      <c r="E18" s="15">
        <v>57.894736842105303</v>
      </c>
      <c r="F18" s="15">
        <v>57.894736842105303</v>
      </c>
      <c r="G18" s="26" t="s">
        <v>80</v>
      </c>
      <c r="H18" s="15">
        <v>60</v>
      </c>
      <c r="I18" s="15">
        <v>60</v>
      </c>
      <c r="J18" s="26" t="s">
        <v>80</v>
      </c>
      <c r="K18" s="20" t="s">
        <v>80</v>
      </c>
      <c r="L18" s="20" t="s">
        <v>80</v>
      </c>
      <c r="M18" s="26" t="s">
        <v>80</v>
      </c>
      <c r="N18" s="20" t="s">
        <v>80</v>
      </c>
      <c r="O18" s="20" t="s">
        <v>80</v>
      </c>
      <c r="P18" s="26" t="s">
        <v>80</v>
      </c>
    </row>
    <row r="19" spans="1:16">
      <c r="A19" s="9" t="s">
        <v>128</v>
      </c>
      <c r="B19" s="15">
        <v>40.425531914893597</v>
      </c>
      <c r="C19" s="15">
        <v>40.425531914893597</v>
      </c>
      <c r="D19" s="26" t="s">
        <v>80</v>
      </c>
      <c r="E19" s="15">
        <v>37.5</v>
      </c>
      <c r="F19" s="15">
        <v>37.5</v>
      </c>
      <c r="G19" s="26" t="s">
        <v>80</v>
      </c>
      <c r="H19" s="15">
        <v>42.857142857142897</v>
      </c>
      <c r="I19" s="15">
        <v>42.857142857142897</v>
      </c>
      <c r="J19" s="26" t="s">
        <v>80</v>
      </c>
      <c r="K19" s="20" t="s">
        <v>80</v>
      </c>
      <c r="L19" s="20" t="s">
        <v>80</v>
      </c>
      <c r="M19" s="26" t="s">
        <v>80</v>
      </c>
      <c r="N19" s="20" t="s">
        <v>80</v>
      </c>
      <c r="O19" s="20" t="s">
        <v>80</v>
      </c>
      <c r="P19" s="26" t="s">
        <v>80</v>
      </c>
    </row>
    <row r="20" spans="1:16">
      <c r="A20" s="9" t="s">
        <v>129</v>
      </c>
      <c r="B20" s="15">
        <v>56.521739130434803</v>
      </c>
      <c r="C20" s="15">
        <v>56.521739130434803</v>
      </c>
      <c r="D20" s="26" t="s">
        <v>80</v>
      </c>
      <c r="E20" s="15">
        <v>54.545454545454497</v>
      </c>
      <c r="F20" s="15">
        <v>54.545454545454497</v>
      </c>
      <c r="G20" s="26" t="s">
        <v>80</v>
      </c>
      <c r="H20" s="15">
        <v>58.3333333333333</v>
      </c>
      <c r="I20" s="15">
        <v>58.3333333333333</v>
      </c>
      <c r="J20" s="26" t="s">
        <v>80</v>
      </c>
      <c r="K20" s="20" t="s">
        <v>80</v>
      </c>
      <c r="L20" s="20" t="s">
        <v>80</v>
      </c>
      <c r="M20" s="26" t="s">
        <v>80</v>
      </c>
      <c r="N20" s="20" t="s">
        <v>80</v>
      </c>
      <c r="O20" s="20" t="s">
        <v>80</v>
      </c>
      <c r="P20" s="26" t="s">
        <v>80</v>
      </c>
    </row>
    <row r="21" spans="1:16">
      <c r="A21" s="9" t="s">
        <v>130</v>
      </c>
      <c r="B21" s="15">
        <v>30.232558139534898</v>
      </c>
      <c r="C21" s="15">
        <v>30.232558139534898</v>
      </c>
      <c r="D21" s="26" t="s">
        <v>80</v>
      </c>
      <c r="E21" s="15">
        <v>22.2222222222222</v>
      </c>
      <c r="F21" s="15">
        <v>22.2222222222222</v>
      </c>
      <c r="G21" s="26" t="s">
        <v>80</v>
      </c>
      <c r="H21" s="15">
        <v>43.75</v>
      </c>
      <c r="I21" s="15">
        <v>43.75</v>
      </c>
      <c r="J21" s="26" t="s">
        <v>80</v>
      </c>
      <c r="K21" s="20" t="s">
        <v>80</v>
      </c>
      <c r="L21" s="20" t="s">
        <v>80</v>
      </c>
      <c r="M21" s="26" t="s">
        <v>80</v>
      </c>
      <c r="N21" s="20" t="s">
        <v>80</v>
      </c>
      <c r="O21" s="20" t="s">
        <v>80</v>
      </c>
      <c r="P21" s="26" t="s">
        <v>80</v>
      </c>
    </row>
    <row r="22" spans="1:16">
      <c r="A22" s="9" t="s">
        <v>131</v>
      </c>
      <c r="B22" s="15">
        <v>37.5</v>
      </c>
      <c r="C22" s="15">
        <v>37.5</v>
      </c>
      <c r="D22" s="26" t="s">
        <v>80</v>
      </c>
      <c r="E22" s="15">
        <v>48.275862068965502</v>
      </c>
      <c r="F22" s="15">
        <v>48.275862068965502</v>
      </c>
      <c r="G22" s="26" t="s">
        <v>80</v>
      </c>
      <c r="H22" s="15">
        <v>25</v>
      </c>
      <c r="I22" s="15">
        <v>25</v>
      </c>
      <c r="J22" s="26" t="s">
        <v>80</v>
      </c>
      <c r="K22" s="20" t="s">
        <v>80</v>
      </c>
      <c r="L22" s="20" t="s">
        <v>80</v>
      </c>
      <c r="M22" s="26" t="s">
        <v>80</v>
      </c>
      <c r="N22" s="20" t="s">
        <v>80</v>
      </c>
      <c r="O22" s="20" t="s">
        <v>80</v>
      </c>
      <c r="P22" s="26" t="s">
        <v>80</v>
      </c>
    </row>
    <row r="23" spans="1:16">
      <c r="A23" s="9" t="s">
        <v>132</v>
      </c>
      <c r="B23" s="15">
        <v>50</v>
      </c>
      <c r="C23" s="15">
        <v>50</v>
      </c>
      <c r="D23" s="26" t="s">
        <v>80</v>
      </c>
      <c r="E23" s="15">
        <v>64.705882352941202</v>
      </c>
      <c r="F23" s="15">
        <v>64.705882352941202</v>
      </c>
      <c r="G23" s="26" t="s">
        <v>80</v>
      </c>
      <c r="H23" s="15">
        <v>36.842105263157897</v>
      </c>
      <c r="I23" s="15">
        <v>36.842105263157897</v>
      </c>
      <c r="J23" s="26" t="s">
        <v>80</v>
      </c>
      <c r="K23" s="20" t="s">
        <v>80</v>
      </c>
      <c r="L23" s="20" t="s">
        <v>80</v>
      </c>
      <c r="M23" s="26" t="s">
        <v>80</v>
      </c>
      <c r="N23" s="20" t="s">
        <v>80</v>
      </c>
      <c r="O23" s="20" t="s">
        <v>80</v>
      </c>
      <c r="P23" s="26" t="s">
        <v>80</v>
      </c>
    </row>
    <row r="24" spans="1:16">
      <c r="A24" s="9" t="s">
        <v>133</v>
      </c>
      <c r="B24" s="15">
        <v>30.434782608695699</v>
      </c>
      <c r="C24" s="15">
        <v>30.434782608695699</v>
      </c>
      <c r="D24" s="26" t="s">
        <v>80</v>
      </c>
      <c r="E24" s="15">
        <v>38.8888888888889</v>
      </c>
      <c r="F24" s="15">
        <v>38.8888888888889</v>
      </c>
      <c r="G24" s="26" t="s">
        <v>80</v>
      </c>
      <c r="H24" s="15">
        <v>25.925925925925899</v>
      </c>
      <c r="I24" s="15">
        <v>25.925925925925899</v>
      </c>
      <c r="J24" s="26" t="s">
        <v>80</v>
      </c>
      <c r="K24" s="20" t="s">
        <v>80</v>
      </c>
      <c r="L24" s="20" t="s">
        <v>80</v>
      </c>
      <c r="M24" s="26" t="s">
        <v>80</v>
      </c>
      <c r="N24" s="20" t="s">
        <v>80</v>
      </c>
      <c r="O24" s="20" t="s">
        <v>80</v>
      </c>
      <c r="P24" s="26" t="s">
        <v>80</v>
      </c>
    </row>
    <row r="25" spans="1:16">
      <c r="A25" s="9" t="s">
        <v>134</v>
      </c>
      <c r="B25" s="15">
        <v>51.351351351351298</v>
      </c>
      <c r="C25" s="15">
        <v>51.351351351351298</v>
      </c>
      <c r="D25" s="26" t="s">
        <v>80</v>
      </c>
      <c r="E25" s="15">
        <v>50</v>
      </c>
      <c r="F25" s="15">
        <v>50</v>
      </c>
      <c r="G25" s="26" t="s">
        <v>80</v>
      </c>
      <c r="H25" s="15">
        <v>52.941176470588204</v>
      </c>
      <c r="I25" s="15">
        <v>52.941176470588204</v>
      </c>
      <c r="J25" s="26" t="s">
        <v>80</v>
      </c>
      <c r="K25" s="20" t="s">
        <v>80</v>
      </c>
      <c r="L25" s="20" t="s">
        <v>80</v>
      </c>
      <c r="M25" s="26" t="s">
        <v>80</v>
      </c>
      <c r="N25" s="20" t="s">
        <v>80</v>
      </c>
      <c r="O25" s="20" t="s">
        <v>80</v>
      </c>
      <c r="P25" s="26" t="s">
        <v>80</v>
      </c>
    </row>
    <row r="26" spans="1:16">
      <c r="A26" s="9" t="s">
        <v>135</v>
      </c>
      <c r="B26" s="15">
        <v>24.2424242424242</v>
      </c>
      <c r="C26" s="15">
        <v>24.2424242424242</v>
      </c>
      <c r="D26" s="26" t="s">
        <v>80</v>
      </c>
      <c r="E26" s="15">
        <v>23.8095238095238</v>
      </c>
      <c r="F26" s="15">
        <v>23.8095238095238</v>
      </c>
      <c r="G26" s="26" t="s">
        <v>80</v>
      </c>
      <c r="H26" s="15">
        <v>21.6666666666667</v>
      </c>
      <c r="I26" s="15">
        <v>21.6666666666667</v>
      </c>
      <c r="J26" s="26" t="s">
        <v>80</v>
      </c>
      <c r="K26" s="20" t="s">
        <v>80</v>
      </c>
      <c r="L26" s="20" t="s">
        <v>80</v>
      </c>
      <c r="M26" s="26" t="s">
        <v>80</v>
      </c>
      <c r="N26" s="20" t="s">
        <v>80</v>
      </c>
      <c r="O26" s="20" t="s">
        <v>80</v>
      </c>
      <c r="P26" s="26" t="s">
        <v>80</v>
      </c>
    </row>
    <row r="27" spans="1:16">
      <c r="A27" s="9" t="s">
        <v>136</v>
      </c>
      <c r="B27" s="15">
        <v>58.620689655172399</v>
      </c>
      <c r="C27" s="15">
        <v>58.620689655172399</v>
      </c>
      <c r="D27" s="26" t="s">
        <v>80</v>
      </c>
      <c r="E27" s="15">
        <v>53.3333333333333</v>
      </c>
      <c r="F27" s="15">
        <v>53.3333333333333</v>
      </c>
      <c r="G27" s="26" t="s">
        <v>80</v>
      </c>
      <c r="H27" s="15">
        <v>64.285714285714306</v>
      </c>
      <c r="I27" s="15">
        <v>64.285714285714306</v>
      </c>
      <c r="J27" s="26" t="s">
        <v>80</v>
      </c>
      <c r="K27" s="20" t="s">
        <v>80</v>
      </c>
      <c r="L27" s="20" t="s">
        <v>80</v>
      </c>
      <c r="M27" s="26" t="s">
        <v>80</v>
      </c>
      <c r="N27" s="20" t="s">
        <v>80</v>
      </c>
      <c r="O27" s="20" t="s">
        <v>80</v>
      </c>
      <c r="P27" s="26" t="s">
        <v>80</v>
      </c>
    </row>
    <row r="28" spans="1:16">
      <c r="A28" s="9" t="s">
        <v>137</v>
      </c>
      <c r="B28" s="15">
        <v>26.086956521739101</v>
      </c>
      <c r="C28" s="15">
        <v>26.086956521739101</v>
      </c>
      <c r="D28" s="26" t="s">
        <v>80</v>
      </c>
      <c r="E28" s="15">
        <v>22.727272727272702</v>
      </c>
      <c r="F28" s="15">
        <v>22.727272727272702</v>
      </c>
      <c r="G28" s="26" t="s">
        <v>80</v>
      </c>
      <c r="H28" s="15">
        <v>28.571428571428601</v>
      </c>
      <c r="I28" s="15">
        <v>28.571428571428601</v>
      </c>
      <c r="J28" s="26" t="s">
        <v>80</v>
      </c>
      <c r="K28" s="20" t="s">
        <v>80</v>
      </c>
      <c r="L28" s="20" t="s">
        <v>80</v>
      </c>
      <c r="M28" s="26" t="s">
        <v>80</v>
      </c>
      <c r="N28" s="20" t="s">
        <v>80</v>
      </c>
      <c r="O28" s="20" t="s">
        <v>80</v>
      </c>
      <c r="P28" s="26" t="s">
        <v>80</v>
      </c>
    </row>
    <row r="29" spans="1:16">
      <c r="A29" s="9" t="s">
        <v>138</v>
      </c>
      <c r="B29" s="15">
        <v>50</v>
      </c>
      <c r="C29" s="15">
        <v>50</v>
      </c>
      <c r="D29" s="26" t="s">
        <v>80</v>
      </c>
      <c r="E29" s="20" t="s">
        <v>80</v>
      </c>
      <c r="F29" s="20" t="s">
        <v>80</v>
      </c>
      <c r="G29" s="26" t="s">
        <v>80</v>
      </c>
      <c r="H29" s="15">
        <v>50</v>
      </c>
      <c r="I29" s="15">
        <v>50</v>
      </c>
      <c r="J29" s="26" t="s">
        <v>80</v>
      </c>
      <c r="K29" s="20" t="s">
        <v>80</v>
      </c>
      <c r="L29" s="20" t="s">
        <v>80</v>
      </c>
      <c r="M29" s="26" t="s">
        <v>80</v>
      </c>
      <c r="N29" s="20" t="s">
        <v>80</v>
      </c>
      <c r="O29" s="20" t="s">
        <v>80</v>
      </c>
      <c r="P29" s="26" t="s">
        <v>80</v>
      </c>
    </row>
    <row r="30" spans="1:16">
      <c r="A30" s="9" t="s">
        <v>139</v>
      </c>
      <c r="B30" s="15">
        <v>50</v>
      </c>
      <c r="C30" s="15">
        <v>50</v>
      </c>
      <c r="D30" s="26" t="s">
        <v>80</v>
      </c>
      <c r="E30" s="15">
        <v>42.105263157894697</v>
      </c>
      <c r="F30" s="15">
        <v>42.105263157894697</v>
      </c>
      <c r="G30" s="26" t="s">
        <v>80</v>
      </c>
      <c r="H30" s="15">
        <v>57.142857142857103</v>
      </c>
      <c r="I30" s="15">
        <v>57.142857142857103</v>
      </c>
      <c r="J30" s="26" t="s">
        <v>80</v>
      </c>
      <c r="K30" s="20" t="s">
        <v>80</v>
      </c>
      <c r="L30" s="20" t="s">
        <v>80</v>
      </c>
      <c r="M30" s="26" t="s">
        <v>80</v>
      </c>
      <c r="N30" s="20" t="s">
        <v>80</v>
      </c>
      <c r="O30" s="20" t="s">
        <v>80</v>
      </c>
      <c r="P30" s="26" t="s">
        <v>80</v>
      </c>
    </row>
    <row r="31" spans="1:16">
      <c r="A31" s="9" t="s">
        <v>140</v>
      </c>
      <c r="B31" s="15">
        <v>39.130434782608702</v>
      </c>
      <c r="C31" s="15">
        <v>39.130434782608702</v>
      </c>
      <c r="D31" s="26" t="s">
        <v>80</v>
      </c>
      <c r="E31" s="15">
        <v>37.931034482758598</v>
      </c>
      <c r="F31" s="15">
        <v>37.931034482758598</v>
      </c>
      <c r="G31" s="26" t="s">
        <v>80</v>
      </c>
      <c r="H31" s="15">
        <v>37.5</v>
      </c>
      <c r="I31" s="15">
        <v>37.5</v>
      </c>
      <c r="J31" s="26" t="s">
        <v>80</v>
      </c>
      <c r="K31" s="20" t="s">
        <v>80</v>
      </c>
      <c r="L31" s="20" t="s">
        <v>80</v>
      </c>
      <c r="M31" s="26" t="s">
        <v>80</v>
      </c>
      <c r="N31" s="20" t="s">
        <v>80</v>
      </c>
      <c r="O31" s="20" t="s">
        <v>80</v>
      </c>
      <c r="P31" s="26" t="s">
        <v>80</v>
      </c>
    </row>
    <row r="32" spans="1:16">
      <c r="A32" s="9" t="s">
        <v>141</v>
      </c>
      <c r="B32" s="15">
        <v>48.484848484848499</v>
      </c>
      <c r="C32" s="15">
        <v>48.484848484848499</v>
      </c>
      <c r="D32" s="26" t="s">
        <v>80</v>
      </c>
      <c r="E32" s="15">
        <v>56.25</v>
      </c>
      <c r="F32" s="15">
        <v>56.25</v>
      </c>
      <c r="G32" s="26" t="s">
        <v>80</v>
      </c>
      <c r="H32" s="15">
        <v>43.75</v>
      </c>
      <c r="I32" s="15">
        <v>43.75</v>
      </c>
      <c r="J32" s="26" t="s">
        <v>80</v>
      </c>
      <c r="K32" s="20" t="s">
        <v>80</v>
      </c>
      <c r="L32" s="20" t="s">
        <v>80</v>
      </c>
      <c r="M32" s="26" t="s">
        <v>80</v>
      </c>
      <c r="N32" s="20" t="s">
        <v>80</v>
      </c>
      <c r="O32" s="20" t="s">
        <v>80</v>
      </c>
      <c r="P32" s="26" t="s">
        <v>80</v>
      </c>
    </row>
    <row r="33" spans="1:16">
      <c r="A33" s="9" t="s">
        <v>142</v>
      </c>
      <c r="B33" s="15">
        <v>34.090909090909101</v>
      </c>
      <c r="C33" s="15">
        <v>34.090909090909101</v>
      </c>
      <c r="D33" s="26" t="s">
        <v>80</v>
      </c>
      <c r="E33" s="15">
        <v>28</v>
      </c>
      <c r="F33" s="15">
        <v>28</v>
      </c>
      <c r="G33" s="26" t="s">
        <v>80</v>
      </c>
      <c r="H33" s="15">
        <v>38.8888888888889</v>
      </c>
      <c r="I33" s="15">
        <v>38.8888888888889</v>
      </c>
      <c r="J33" s="26" t="s">
        <v>80</v>
      </c>
      <c r="K33" s="20" t="s">
        <v>80</v>
      </c>
      <c r="L33" s="20" t="s">
        <v>80</v>
      </c>
      <c r="M33" s="26" t="s">
        <v>80</v>
      </c>
      <c r="N33" s="20" t="s">
        <v>80</v>
      </c>
      <c r="O33" s="20" t="s">
        <v>80</v>
      </c>
      <c r="P33" s="26" t="s">
        <v>80</v>
      </c>
    </row>
    <row r="34" spans="1:16">
      <c r="A34" s="9" t="s">
        <v>143</v>
      </c>
      <c r="B34" s="15">
        <v>53.3333333333333</v>
      </c>
      <c r="C34" s="15">
        <v>53.3333333333333</v>
      </c>
      <c r="D34" s="26" t="s">
        <v>80</v>
      </c>
      <c r="E34" s="20" t="s">
        <v>80</v>
      </c>
      <c r="F34" s="20" t="s">
        <v>80</v>
      </c>
      <c r="G34" s="26" t="s">
        <v>80</v>
      </c>
      <c r="H34" s="15">
        <v>72.727272727272705</v>
      </c>
      <c r="I34" s="15">
        <v>72.727272727272705</v>
      </c>
      <c r="J34" s="26" t="s">
        <v>80</v>
      </c>
      <c r="K34" s="20" t="s">
        <v>80</v>
      </c>
      <c r="L34" s="20" t="s">
        <v>80</v>
      </c>
      <c r="M34" s="26" t="s">
        <v>80</v>
      </c>
      <c r="N34" s="20" t="s">
        <v>80</v>
      </c>
      <c r="O34" s="20" t="s">
        <v>80</v>
      </c>
      <c r="P34" s="26" t="s">
        <v>80</v>
      </c>
    </row>
    <row r="35" spans="1:16">
      <c r="A35" s="9" t="s">
        <v>144</v>
      </c>
      <c r="B35" s="15">
        <v>52.688172043010802</v>
      </c>
      <c r="C35" s="15">
        <v>52.688172043010802</v>
      </c>
      <c r="D35" s="26" t="s">
        <v>80</v>
      </c>
      <c r="E35" s="15">
        <v>48.8888888888889</v>
      </c>
      <c r="F35" s="15">
        <v>48.8888888888889</v>
      </c>
      <c r="G35" s="26" t="s">
        <v>80</v>
      </c>
      <c r="H35" s="15">
        <v>60</v>
      </c>
      <c r="I35" s="15">
        <v>60</v>
      </c>
      <c r="J35" s="26" t="s">
        <v>80</v>
      </c>
      <c r="K35" s="20" t="s">
        <v>80</v>
      </c>
      <c r="L35" s="20" t="s">
        <v>80</v>
      </c>
      <c r="M35" s="26" t="s">
        <v>80</v>
      </c>
      <c r="N35" s="20" t="s">
        <v>80</v>
      </c>
      <c r="O35" s="20" t="s">
        <v>80</v>
      </c>
      <c r="P35" s="26" t="s">
        <v>80</v>
      </c>
    </row>
    <row r="36" spans="1:16">
      <c r="A36" s="9" t="s">
        <v>145</v>
      </c>
      <c r="B36" s="15">
        <v>44.642857142857103</v>
      </c>
      <c r="C36" s="15">
        <v>44.642857142857103</v>
      </c>
      <c r="D36" s="26" t="s">
        <v>80</v>
      </c>
      <c r="E36" s="15">
        <v>61.538461538461497</v>
      </c>
      <c r="F36" s="15">
        <v>61.538461538461497</v>
      </c>
      <c r="G36" s="26" t="s">
        <v>80</v>
      </c>
      <c r="H36" s="15">
        <v>29.1666666666667</v>
      </c>
      <c r="I36" s="15">
        <v>29.1666666666667</v>
      </c>
      <c r="J36" s="26" t="s">
        <v>80</v>
      </c>
      <c r="K36" s="20" t="s">
        <v>80</v>
      </c>
      <c r="L36" s="20" t="s">
        <v>80</v>
      </c>
      <c r="M36" s="26" t="s">
        <v>80</v>
      </c>
      <c r="N36" s="20" t="s">
        <v>80</v>
      </c>
      <c r="O36" s="20" t="s">
        <v>80</v>
      </c>
      <c r="P36" s="26" t="s">
        <v>80</v>
      </c>
    </row>
    <row r="37" spans="1:16" ht="21.9" customHeight="1">
      <c r="A37" s="22" t="s">
        <v>146</v>
      </c>
      <c r="B37" s="15">
        <v>43.005325908551498</v>
      </c>
      <c r="C37" s="20" t="s">
        <v>80</v>
      </c>
      <c r="D37" s="24">
        <v>43.005325908551498</v>
      </c>
      <c r="E37" s="15">
        <v>45.478346007031398</v>
      </c>
      <c r="F37" s="20" t="s">
        <v>80</v>
      </c>
      <c r="G37" s="24">
        <v>45.478346007031398</v>
      </c>
      <c r="H37" s="15">
        <v>41.475795463063598</v>
      </c>
      <c r="I37" s="20" t="s">
        <v>80</v>
      </c>
      <c r="J37" s="24">
        <v>41.475795463063598</v>
      </c>
      <c r="K37" s="20" t="s">
        <v>80</v>
      </c>
      <c r="L37" s="20" t="s">
        <v>80</v>
      </c>
      <c r="M37" s="26" t="s">
        <v>80</v>
      </c>
      <c r="N37" s="20" t="s">
        <v>80</v>
      </c>
      <c r="O37" s="20" t="s">
        <v>80</v>
      </c>
      <c r="P37" s="26" t="s">
        <v>80</v>
      </c>
    </row>
    <row r="38" spans="1:16">
      <c r="A38" s="9" t="s">
        <v>147</v>
      </c>
      <c r="B38" s="15">
        <v>34.763313609467502</v>
      </c>
      <c r="C38" s="20" t="s">
        <v>80</v>
      </c>
      <c r="D38" s="24">
        <v>34.763313609467502</v>
      </c>
      <c r="E38" s="15">
        <v>38.834951456310698</v>
      </c>
      <c r="F38" s="20" t="s">
        <v>80</v>
      </c>
      <c r="G38" s="24">
        <v>38.834951456310698</v>
      </c>
      <c r="H38" s="15">
        <v>32.058823529411796</v>
      </c>
      <c r="I38" s="20" t="s">
        <v>80</v>
      </c>
      <c r="J38" s="24">
        <v>32.058823529411796</v>
      </c>
      <c r="K38" s="20" t="s">
        <v>80</v>
      </c>
      <c r="L38" s="20" t="s">
        <v>80</v>
      </c>
      <c r="M38" s="26" t="s">
        <v>80</v>
      </c>
      <c r="N38" s="15">
        <v>27.7777777777778</v>
      </c>
      <c r="O38" s="20" t="s">
        <v>80</v>
      </c>
      <c r="P38" s="24">
        <v>27.7777777777778</v>
      </c>
    </row>
    <row r="39" spans="1:16">
      <c r="A39" s="9" t="s">
        <v>148</v>
      </c>
      <c r="B39" s="15">
        <v>33.5511982570806</v>
      </c>
      <c r="C39" s="20" t="s">
        <v>80</v>
      </c>
      <c r="D39" s="24">
        <v>33.5511982570806</v>
      </c>
      <c r="E39" s="15">
        <v>32.936507936507901</v>
      </c>
      <c r="F39" s="20" t="s">
        <v>80</v>
      </c>
      <c r="G39" s="24">
        <v>32.936507936507901</v>
      </c>
      <c r="H39" s="15">
        <v>35.9375</v>
      </c>
      <c r="I39" s="20" t="s">
        <v>80</v>
      </c>
      <c r="J39" s="24">
        <v>35.9375</v>
      </c>
      <c r="K39" s="20" t="s">
        <v>80</v>
      </c>
      <c r="L39" s="20" t="s">
        <v>80</v>
      </c>
      <c r="M39" s="26" t="s">
        <v>80</v>
      </c>
      <c r="N39" s="20" t="s">
        <v>80</v>
      </c>
      <c r="O39" s="20" t="s">
        <v>80</v>
      </c>
      <c r="P39" s="26" t="s">
        <v>80</v>
      </c>
    </row>
    <row r="40" spans="1:16">
      <c r="A40" s="9" t="s">
        <v>149</v>
      </c>
      <c r="B40" s="15">
        <v>37.373737373737399</v>
      </c>
      <c r="C40" s="20" t="s">
        <v>80</v>
      </c>
      <c r="D40" s="24">
        <v>37.373737373737399</v>
      </c>
      <c r="E40" s="15">
        <v>41.463414634146297</v>
      </c>
      <c r="F40" s="20" t="s">
        <v>80</v>
      </c>
      <c r="G40" s="24">
        <v>41.463414634146297</v>
      </c>
      <c r="H40" s="15">
        <v>36.1111111111111</v>
      </c>
      <c r="I40" s="20" t="s">
        <v>80</v>
      </c>
      <c r="J40" s="24">
        <v>36.1111111111111</v>
      </c>
      <c r="K40" s="20" t="s">
        <v>80</v>
      </c>
      <c r="L40" s="20" t="s">
        <v>80</v>
      </c>
      <c r="M40" s="26" t="s">
        <v>80</v>
      </c>
      <c r="N40" s="20" t="s">
        <v>80</v>
      </c>
      <c r="O40" s="20" t="s">
        <v>80</v>
      </c>
      <c r="P40" s="26" t="s">
        <v>80</v>
      </c>
    </row>
    <row r="41" spans="1:16">
      <c r="A41" s="9" t="s">
        <v>150</v>
      </c>
      <c r="B41" s="15">
        <v>64.963503649635001</v>
      </c>
      <c r="C41" s="20" t="s">
        <v>80</v>
      </c>
      <c r="D41" s="24">
        <v>64.963503649635001</v>
      </c>
      <c r="E41" s="15">
        <v>66.197183098591594</v>
      </c>
      <c r="F41" s="20" t="s">
        <v>80</v>
      </c>
      <c r="G41" s="24">
        <v>66.197183098591594</v>
      </c>
      <c r="H41" s="15">
        <v>67.796610169491501</v>
      </c>
      <c r="I41" s="20" t="s">
        <v>80</v>
      </c>
      <c r="J41" s="24">
        <v>67.796610169491501</v>
      </c>
      <c r="K41" s="20" t="s">
        <v>80</v>
      </c>
      <c r="L41" s="20" t="s">
        <v>80</v>
      </c>
      <c r="M41" s="26" t="s">
        <v>80</v>
      </c>
      <c r="N41" s="20" t="s">
        <v>80</v>
      </c>
      <c r="O41" s="20" t="s">
        <v>80</v>
      </c>
      <c r="P41" s="26" t="s">
        <v>80</v>
      </c>
    </row>
    <row r="42" spans="1:16">
      <c r="A42" s="9" t="s">
        <v>151</v>
      </c>
      <c r="B42" s="15">
        <v>43.712574850299397</v>
      </c>
      <c r="C42" s="20" t="s">
        <v>80</v>
      </c>
      <c r="D42" s="24">
        <v>43.712574850299397</v>
      </c>
      <c r="E42" s="15">
        <v>52.469135802469097</v>
      </c>
      <c r="F42" s="20" t="s">
        <v>80</v>
      </c>
      <c r="G42" s="24">
        <v>52.469135802469097</v>
      </c>
      <c r="H42" s="15">
        <v>35.947712418300704</v>
      </c>
      <c r="I42" s="20" t="s">
        <v>80</v>
      </c>
      <c r="J42" s="24">
        <v>35.947712418300704</v>
      </c>
      <c r="K42" s="20" t="s">
        <v>80</v>
      </c>
      <c r="L42" s="20" t="s">
        <v>80</v>
      </c>
      <c r="M42" s="26" t="s">
        <v>80</v>
      </c>
      <c r="N42" s="20" t="s">
        <v>80</v>
      </c>
      <c r="O42" s="20" t="s">
        <v>80</v>
      </c>
      <c r="P42" s="26" t="s">
        <v>80</v>
      </c>
    </row>
    <row r="43" spans="1:16">
      <c r="A43" s="9" t="s">
        <v>152</v>
      </c>
      <c r="B43" s="15">
        <v>46.055437100213197</v>
      </c>
      <c r="C43" s="20" t="s">
        <v>80</v>
      </c>
      <c r="D43" s="24">
        <v>46.055437100213197</v>
      </c>
      <c r="E43" s="15">
        <v>47.755102040816297</v>
      </c>
      <c r="F43" s="20" t="s">
        <v>80</v>
      </c>
      <c r="G43" s="24">
        <v>47.755102040816297</v>
      </c>
      <c r="H43" s="15">
        <v>45.497630331753598</v>
      </c>
      <c r="I43" s="20" t="s">
        <v>80</v>
      </c>
      <c r="J43" s="24">
        <v>45.497630331753598</v>
      </c>
      <c r="K43" s="20" t="s">
        <v>80</v>
      </c>
      <c r="L43" s="20" t="s">
        <v>80</v>
      </c>
      <c r="M43" s="26" t="s">
        <v>80</v>
      </c>
      <c r="N43" s="20" t="s">
        <v>80</v>
      </c>
      <c r="O43" s="20" t="s">
        <v>80</v>
      </c>
      <c r="P43" s="26" t="s">
        <v>80</v>
      </c>
    </row>
    <row r="44" spans="1:16">
      <c r="A44" s="9" t="s">
        <v>153</v>
      </c>
      <c r="B44" s="15">
        <v>62.5</v>
      </c>
      <c r="C44" s="20" t="s">
        <v>80</v>
      </c>
      <c r="D44" s="24">
        <v>62.5</v>
      </c>
      <c r="E44" s="15">
        <v>60.606060606060602</v>
      </c>
      <c r="F44" s="20" t="s">
        <v>80</v>
      </c>
      <c r="G44" s="24">
        <v>60.606060606060602</v>
      </c>
      <c r="H44" s="15">
        <v>65.625</v>
      </c>
      <c r="I44" s="20" t="s">
        <v>80</v>
      </c>
      <c r="J44" s="24">
        <v>65.625</v>
      </c>
      <c r="K44" s="20" t="s">
        <v>80</v>
      </c>
      <c r="L44" s="20" t="s">
        <v>80</v>
      </c>
      <c r="M44" s="26" t="s">
        <v>80</v>
      </c>
      <c r="N44" s="20" t="s">
        <v>80</v>
      </c>
      <c r="O44" s="20" t="s">
        <v>80</v>
      </c>
      <c r="P44" s="26" t="s">
        <v>80</v>
      </c>
    </row>
    <row r="45" spans="1:16">
      <c r="A45" s="11" t="s">
        <v>154</v>
      </c>
      <c r="B45" s="16">
        <v>51.515151515151501</v>
      </c>
      <c r="C45" s="28" t="s">
        <v>80</v>
      </c>
      <c r="D45" s="25">
        <v>51.515151515151501</v>
      </c>
      <c r="E45" s="16">
        <v>56.969696969696997</v>
      </c>
      <c r="F45" s="28" t="s">
        <v>80</v>
      </c>
      <c r="G45" s="25">
        <v>56.969696969696997</v>
      </c>
      <c r="H45" s="16">
        <v>45.806451612903203</v>
      </c>
      <c r="I45" s="28" t="s">
        <v>80</v>
      </c>
      <c r="J45" s="25">
        <v>45.806451612903203</v>
      </c>
      <c r="K45" s="28" t="s">
        <v>80</v>
      </c>
      <c r="L45" s="28" t="s">
        <v>80</v>
      </c>
      <c r="M45" s="29" t="s">
        <v>80</v>
      </c>
      <c r="N45" s="16">
        <v>71.428571428571402</v>
      </c>
      <c r="O45" s="28" t="s">
        <v>80</v>
      </c>
      <c r="P45" s="25">
        <v>71.428571428571402</v>
      </c>
    </row>
    <row r="46" spans="1:16" ht="30" customHeight="1">
      <c r="A46" t="s">
        <v>155</v>
      </c>
    </row>
    <row r="47" spans="1:16">
      <c r="A47" t="s">
        <v>93</v>
      </c>
    </row>
    <row r="48" spans="1:16">
      <c r="A48" t="s">
        <v>94</v>
      </c>
    </row>
    <row r="49" spans="1:1">
      <c r="A49" t="s">
        <v>95</v>
      </c>
    </row>
    <row r="50" spans="1:1">
      <c r="A50" t="s">
        <v>96</v>
      </c>
    </row>
    <row r="51" spans="1:1">
      <c r="A51" t="s">
        <v>97</v>
      </c>
    </row>
    <row r="52" spans="1:1">
      <c r="A5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2"/>
  <sheetViews>
    <sheetView zoomScale="70" workbookViewId="0"/>
  </sheetViews>
  <sheetFormatPr defaultColWidth="10.90625" defaultRowHeight="15"/>
  <cols>
    <col min="1" max="1" width="51.6796875" customWidth="1"/>
    <col min="2" max="5" width="15.90625" customWidth="1"/>
  </cols>
  <sheetData>
    <row r="1" spans="1:5" ht="39.9" customHeight="1">
      <c r="A1" s="10" t="s">
        <v>156</v>
      </c>
      <c r="B1" s="12"/>
      <c r="C1" s="12"/>
      <c r="D1" s="12"/>
      <c r="E1" s="12"/>
    </row>
    <row r="2" spans="1:5" ht="30">
      <c r="A2" s="7" t="s">
        <v>2</v>
      </c>
      <c r="B2" s="6" t="s">
        <v>99</v>
      </c>
      <c r="C2" s="6" t="s">
        <v>100</v>
      </c>
      <c r="D2" s="6" t="s">
        <v>101</v>
      </c>
      <c r="E2" s="8" t="s">
        <v>102</v>
      </c>
    </row>
    <row r="3" spans="1:5" ht="21.9" customHeight="1">
      <c r="A3" s="22" t="s">
        <v>18</v>
      </c>
      <c r="B3" s="15">
        <v>35.541075826307697</v>
      </c>
      <c r="C3" s="15">
        <v>11.8395129915867</v>
      </c>
      <c r="D3" s="15">
        <v>13.149297573829401</v>
      </c>
      <c r="E3" s="24">
        <v>39.470113608276201</v>
      </c>
    </row>
    <row r="4" spans="1:5" ht="21.9" customHeight="1">
      <c r="A4" s="22" t="s">
        <v>19</v>
      </c>
      <c r="B4" s="15">
        <v>33.854688614232302</v>
      </c>
      <c r="C4" s="15">
        <v>11.273237644932401</v>
      </c>
      <c r="D4" s="15">
        <v>12.870961824108701</v>
      </c>
      <c r="E4" s="24">
        <v>42.0011119167266</v>
      </c>
    </row>
    <row r="5" spans="1:5" ht="21.9" customHeight="1">
      <c r="A5" s="22" t="s">
        <v>20</v>
      </c>
      <c r="B5" s="15">
        <v>31.8423750564613</v>
      </c>
      <c r="C5" s="15">
        <v>12.5285097070627</v>
      </c>
      <c r="D5" s="15">
        <v>13.318571001576201</v>
      </c>
      <c r="E5" s="24">
        <v>42.310544234899801</v>
      </c>
    </row>
    <row r="6" spans="1:5" ht="21.9" customHeight="1">
      <c r="A6" s="22" t="s">
        <v>115</v>
      </c>
      <c r="B6" s="15">
        <v>27.4410289009463</v>
      </c>
      <c r="C6" s="15">
        <v>15.499631037818199</v>
      </c>
      <c r="D6" s="15">
        <v>15.542962109362101</v>
      </c>
      <c r="E6" s="24">
        <v>41.516377951873402</v>
      </c>
    </row>
    <row r="7" spans="1:5">
      <c r="A7" s="9" t="s">
        <v>116</v>
      </c>
      <c r="B7" s="15">
        <v>15.6862745098039</v>
      </c>
      <c r="C7" s="20" t="s">
        <v>80</v>
      </c>
      <c r="D7" s="15">
        <v>9.8039215686274499</v>
      </c>
      <c r="E7" s="24">
        <v>70.588235294117695</v>
      </c>
    </row>
    <row r="8" spans="1:5">
      <c r="A8" s="9" t="s">
        <v>117</v>
      </c>
      <c r="B8" s="15">
        <v>31.818181818181799</v>
      </c>
      <c r="C8" s="15">
        <v>27.272727272727298</v>
      </c>
      <c r="D8" s="20" t="s">
        <v>80</v>
      </c>
      <c r="E8" s="24">
        <v>31.818181818181799</v>
      </c>
    </row>
    <row r="9" spans="1:5">
      <c r="A9" s="9" t="s">
        <v>118</v>
      </c>
      <c r="B9" s="15">
        <v>29.608938547486002</v>
      </c>
      <c r="C9" s="15">
        <v>20.111731843575399</v>
      </c>
      <c r="D9" s="15">
        <v>13.966480446927401</v>
      </c>
      <c r="E9" s="24">
        <v>36.312849162011197</v>
      </c>
    </row>
    <row r="10" spans="1:5">
      <c r="A10" s="9" t="s">
        <v>119</v>
      </c>
      <c r="B10" s="15">
        <v>34.653465346534702</v>
      </c>
      <c r="C10" s="15">
        <v>11.881188118811901</v>
      </c>
      <c r="D10" s="15">
        <v>15.841584158415801</v>
      </c>
      <c r="E10" s="24">
        <v>37.6237623762376</v>
      </c>
    </row>
    <row r="11" spans="1:5">
      <c r="A11" s="9" t="s">
        <v>120</v>
      </c>
      <c r="B11" s="15">
        <v>18.571428571428601</v>
      </c>
      <c r="C11" s="15">
        <v>20</v>
      </c>
      <c r="D11" s="15">
        <v>20</v>
      </c>
      <c r="E11" s="24">
        <v>41.428571428571402</v>
      </c>
    </row>
    <row r="12" spans="1:5">
      <c r="A12" s="9" t="s">
        <v>121</v>
      </c>
      <c r="B12" s="15">
        <v>21.6216216216216</v>
      </c>
      <c r="C12" s="15">
        <v>21.6216216216216</v>
      </c>
      <c r="D12" s="15">
        <v>21.6216216216216</v>
      </c>
      <c r="E12" s="24">
        <v>35.135135135135101</v>
      </c>
    </row>
    <row r="13" spans="1:5">
      <c r="A13" s="9" t="s">
        <v>122</v>
      </c>
      <c r="B13" s="15">
        <v>24.299065420560702</v>
      </c>
      <c r="C13" s="15">
        <v>19.6261682242991</v>
      </c>
      <c r="D13" s="15">
        <v>14.018691588785</v>
      </c>
      <c r="E13" s="24">
        <v>42.056074766355103</v>
      </c>
    </row>
    <row r="14" spans="1:5">
      <c r="A14" s="9" t="s">
        <v>123</v>
      </c>
      <c r="B14" s="15">
        <v>17.8571428571429</v>
      </c>
      <c r="C14" s="15">
        <v>16.6666666666667</v>
      </c>
      <c r="D14" s="15">
        <v>17.8571428571429</v>
      </c>
      <c r="E14" s="24">
        <v>47.619047619047599</v>
      </c>
    </row>
    <row r="15" spans="1:5">
      <c r="A15" s="9" t="s">
        <v>124</v>
      </c>
      <c r="B15" s="15">
        <v>27.7777777777778</v>
      </c>
      <c r="C15" s="15">
        <v>16.6666666666667</v>
      </c>
      <c r="D15" s="15">
        <v>14.5833333333333</v>
      </c>
      <c r="E15" s="24">
        <v>40.9722222222222</v>
      </c>
    </row>
    <row r="16" spans="1:5">
      <c r="A16" s="9" t="s">
        <v>125</v>
      </c>
      <c r="B16" s="15">
        <v>30.645161290322601</v>
      </c>
      <c r="C16" s="15">
        <v>12.9032258064516</v>
      </c>
      <c r="D16" s="15">
        <v>11.290322580645199</v>
      </c>
      <c r="E16" s="24">
        <v>45.161290322580598</v>
      </c>
    </row>
    <row r="17" spans="1:5">
      <c r="A17" s="9" t="s">
        <v>126</v>
      </c>
      <c r="B17" s="15">
        <v>22.3140495867769</v>
      </c>
      <c r="C17" s="15">
        <v>12.396694214876</v>
      </c>
      <c r="D17" s="15">
        <v>25.619834710743799</v>
      </c>
      <c r="E17" s="24">
        <v>39.669421487603302</v>
      </c>
    </row>
    <row r="18" spans="1:5">
      <c r="A18" s="9" t="s">
        <v>127</v>
      </c>
      <c r="B18" s="20" t="s">
        <v>80</v>
      </c>
      <c r="C18" s="20" t="s">
        <v>80</v>
      </c>
      <c r="D18" s="15">
        <v>20.588235294117599</v>
      </c>
      <c r="E18" s="24">
        <v>58.823529411764703</v>
      </c>
    </row>
    <row r="19" spans="1:5">
      <c r="A19" s="9" t="s">
        <v>128</v>
      </c>
      <c r="B19" s="15">
        <v>29.787234042553202</v>
      </c>
      <c r="C19" s="15">
        <v>14.893617021276601</v>
      </c>
      <c r="D19" s="15">
        <v>14.893617021276601</v>
      </c>
      <c r="E19" s="24">
        <v>40.425531914893597</v>
      </c>
    </row>
    <row r="20" spans="1:5">
      <c r="A20" s="9" t="s">
        <v>129</v>
      </c>
      <c r="B20" s="15">
        <v>10.869565217391299</v>
      </c>
      <c r="C20" s="20" t="s">
        <v>80</v>
      </c>
      <c r="D20" s="15">
        <v>23.913043478260899</v>
      </c>
      <c r="E20" s="24">
        <v>56.521739130434803</v>
      </c>
    </row>
    <row r="21" spans="1:5">
      <c r="A21" s="9" t="s">
        <v>130</v>
      </c>
      <c r="B21" s="15">
        <v>30.232558139534898</v>
      </c>
      <c r="C21" s="15">
        <v>20.930232558139501</v>
      </c>
      <c r="D21" s="15">
        <v>18.604651162790699</v>
      </c>
      <c r="E21" s="24">
        <v>30.232558139534898</v>
      </c>
    </row>
    <row r="22" spans="1:5">
      <c r="A22" s="9" t="s">
        <v>131</v>
      </c>
      <c r="B22" s="15">
        <v>28.571428571428601</v>
      </c>
      <c r="C22" s="15">
        <v>21.428571428571399</v>
      </c>
      <c r="D22" s="15">
        <v>12.5</v>
      </c>
      <c r="E22" s="24">
        <v>37.5</v>
      </c>
    </row>
    <row r="23" spans="1:5">
      <c r="A23" s="9" t="s">
        <v>132</v>
      </c>
      <c r="B23" s="15">
        <v>31.578947368421101</v>
      </c>
      <c r="C23" s="20" t="s">
        <v>80</v>
      </c>
      <c r="D23" s="20" t="s">
        <v>80</v>
      </c>
      <c r="E23" s="24">
        <v>50</v>
      </c>
    </row>
    <row r="24" spans="1:5">
      <c r="A24" s="9" t="s">
        <v>133</v>
      </c>
      <c r="B24" s="15">
        <v>30.434782608695699</v>
      </c>
      <c r="C24" s="15">
        <v>19.565217391304301</v>
      </c>
      <c r="D24" s="15">
        <v>19.565217391304301</v>
      </c>
      <c r="E24" s="24">
        <v>30.434782608695699</v>
      </c>
    </row>
    <row r="25" spans="1:5">
      <c r="A25" s="9" t="s">
        <v>134</v>
      </c>
      <c r="B25" s="15">
        <v>25.225225225225198</v>
      </c>
      <c r="C25" s="15">
        <v>9.0090090090090094</v>
      </c>
      <c r="D25" s="15">
        <v>14.4144144144144</v>
      </c>
      <c r="E25" s="24">
        <v>51.351351351351298</v>
      </c>
    </row>
    <row r="26" spans="1:5">
      <c r="A26" s="9" t="s">
        <v>135</v>
      </c>
      <c r="B26" s="15">
        <v>45.454545454545503</v>
      </c>
      <c r="C26" s="15">
        <v>19.696969696969699</v>
      </c>
      <c r="D26" s="15">
        <v>10.6060606060606</v>
      </c>
      <c r="E26" s="24">
        <v>24.2424242424242</v>
      </c>
    </row>
    <row r="27" spans="1:5">
      <c r="A27" s="9" t="s">
        <v>136</v>
      </c>
      <c r="B27" s="15">
        <v>27.586206896551701</v>
      </c>
      <c r="C27" s="20" t="s">
        <v>80</v>
      </c>
      <c r="D27" s="20" t="s">
        <v>80</v>
      </c>
      <c r="E27" s="24">
        <v>58.620689655172399</v>
      </c>
    </row>
    <row r="28" spans="1:5">
      <c r="A28" s="9" t="s">
        <v>137</v>
      </c>
      <c r="B28" s="15">
        <v>30.434782608695699</v>
      </c>
      <c r="C28" s="15">
        <v>26.086956521739101</v>
      </c>
      <c r="D28" s="15">
        <v>17.3913043478261</v>
      </c>
      <c r="E28" s="24">
        <v>26.086956521739101</v>
      </c>
    </row>
    <row r="29" spans="1:5">
      <c r="A29" s="9" t="s">
        <v>138</v>
      </c>
      <c r="B29" s="20" t="s">
        <v>80</v>
      </c>
      <c r="C29" s="20" t="s">
        <v>80</v>
      </c>
      <c r="D29" s="15">
        <v>27.272727272727298</v>
      </c>
      <c r="E29" s="24">
        <v>50</v>
      </c>
    </row>
    <row r="30" spans="1:5">
      <c r="A30" s="9" t="s">
        <v>139</v>
      </c>
      <c r="B30" s="15">
        <v>16.6666666666667</v>
      </c>
      <c r="C30" s="15">
        <v>14.285714285714301</v>
      </c>
      <c r="D30" s="15">
        <v>19.047619047619001</v>
      </c>
      <c r="E30" s="24">
        <v>50</v>
      </c>
    </row>
    <row r="31" spans="1:5">
      <c r="A31" s="9" t="s">
        <v>140</v>
      </c>
      <c r="B31" s="15">
        <v>23.913043478260899</v>
      </c>
      <c r="C31" s="15">
        <v>13.0434782608696</v>
      </c>
      <c r="D31" s="15">
        <v>23.913043478260899</v>
      </c>
      <c r="E31" s="24">
        <v>39.130434782608702</v>
      </c>
    </row>
    <row r="32" spans="1:5">
      <c r="A32" s="9" t="s">
        <v>141</v>
      </c>
      <c r="B32" s="15">
        <v>24.2424242424242</v>
      </c>
      <c r="C32" s="15">
        <v>15.1515151515152</v>
      </c>
      <c r="D32" s="20" t="s">
        <v>80</v>
      </c>
      <c r="E32" s="24">
        <v>48.484848484848499</v>
      </c>
    </row>
    <row r="33" spans="1:5">
      <c r="A33" s="9" t="s">
        <v>142</v>
      </c>
      <c r="B33" s="15">
        <v>29.545454545454501</v>
      </c>
      <c r="C33" s="15">
        <v>22.727272727272702</v>
      </c>
      <c r="D33" s="15">
        <v>13.636363636363599</v>
      </c>
      <c r="E33" s="24">
        <v>34.090909090909101</v>
      </c>
    </row>
    <row r="34" spans="1:5">
      <c r="A34" s="9" t="s">
        <v>143</v>
      </c>
      <c r="B34" s="20" t="s">
        <v>80</v>
      </c>
      <c r="C34" s="20" t="s">
        <v>80</v>
      </c>
      <c r="D34" s="15">
        <v>33.3333333333333</v>
      </c>
      <c r="E34" s="24">
        <v>53.3333333333333</v>
      </c>
    </row>
    <row r="35" spans="1:5">
      <c r="A35" s="9" t="s">
        <v>144</v>
      </c>
      <c r="B35" s="15">
        <v>22.580645161290299</v>
      </c>
      <c r="C35" s="15">
        <v>8.6021505376344098</v>
      </c>
      <c r="D35" s="15">
        <v>16.129032258064498</v>
      </c>
      <c r="E35" s="24">
        <v>52.688172043010802</v>
      </c>
    </row>
    <row r="36" spans="1:5">
      <c r="A36" s="9" t="s">
        <v>145</v>
      </c>
      <c r="B36" s="15">
        <v>28.571428571428601</v>
      </c>
      <c r="C36" s="15">
        <v>8.9285714285714306</v>
      </c>
      <c r="D36" s="15">
        <v>17.8571428571429</v>
      </c>
      <c r="E36" s="24">
        <v>44.642857142857103</v>
      </c>
    </row>
    <row r="37" spans="1:5" ht="21.9" customHeight="1">
      <c r="A37" s="22" t="s">
        <v>146</v>
      </c>
      <c r="B37" s="15">
        <v>35.692922118968397</v>
      </c>
      <c r="C37" s="15">
        <v>9.9292043790422806</v>
      </c>
      <c r="D37" s="15">
        <v>11.372547593437799</v>
      </c>
      <c r="E37" s="24">
        <v>43.005325908551498</v>
      </c>
    </row>
    <row r="38" spans="1:5">
      <c r="A38" s="9" t="s">
        <v>147</v>
      </c>
      <c r="B38" s="15">
        <v>39.792899408284001</v>
      </c>
      <c r="C38" s="15">
        <v>11.686390532544401</v>
      </c>
      <c r="D38" s="15">
        <v>13.7573964497041</v>
      </c>
      <c r="E38" s="24">
        <v>34.763313609467502</v>
      </c>
    </row>
    <row r="39" spans="1:5">
      <c r="A39" s="9" t="s">
        <v>148</v>
      </c>
      <c r="B39" s="15">
        <v>44.2265795206972</v>
      </c>
      <c r="C39" s="15">
        <v>8.9324618736383403</v>
      </c>
      <c r="D39" s="15">
        <v>13.289760348583901</v>
      </c>
      <c r="E39" s="24">
        <v>33.5511982570806</v>
      </c>
    </row>
    <row r="40" spans="1:5">
      <c r="A40" s="9" t="s">
        <v>149</v>
      </c>
      <c r="B40" s="15">
        <v>35.353535353535399</v>
      </c>
      <c r="C40" s="15">
        <v>13.636363636363599</v>
      </c>
      <c r="D40" s="15">
        <v>13.636363636363599</v>
      </c>
      <c r="E40" s="24">
        <v>37.373737373737399</v>
      </c>
    </row>
    <row r="41" spans="1:5">
      <c r="A41" s="9" t="s">
        <v>150</v>
      </c>
      <c r="B41" s="15">
        <v>18.248175182481699</v>
      </c>
      <c r="C41" s="15">
        <v>8.0291970802919703</v>
      </c>
      <c r="D41" s="15">
        <v>8.7591240875912408</v>
      </c>
      <c r="E41" s="24">
        <v>64.963503649635001</v>
      </c>
    </row>
    <row r="42" spans="1:5">
      <c r="A42" s="9" t="s">
        <v>151</v>
      </c>
      <c r="B42" s="15">
        <v>33.832335329341298</v>
      </c>
      <c r="C42" s="15">
        <v>11.6766467065868</v>
      </c>
      <c r="D42" s="15">
        <v>10.7784431137725</v>
      </c>
      <c r="E42" s="24">
        <v>43.712574850299397</v>
      </c>
    </row>
    <row r="43" spans="1:5">
      <c r="A43" s="9" t="s">
        <v>152</v>
      </c>
      <c r="B43" s="15">
        <v>33.688699360341097</v>
      </c>
      <c r="C43" s="15">
        <v>10.021321961620499</v>
      </c>
      <c r="D43" s="15">
        <v>10.234541577825199</v>
      </c>
      <c r="E43" s="24">
        <v>46.055437100213197</v>
      </c>
    </row>
    <row r="44" spans="1:5">
      <c r="A44" s="9" t="s">
        <v>153</v>
      </c>
      <c r="B44" s="15">
        <v>24.264705882352899</v>
      </c>
      <c r="C44" s="15">
        <v>8.0882352941176503</v>
      </c>
      <c r="D44" s="15">
        <v>5.1470588235294104</v>
      </c>
      <c r="E44" s="24">
        <v>62.5</v>
      </c>
    </row>
    <row r="45" spans="1:5">
      <c r="A45" s="11" t="s">
        <v>154</v>
      </c>
      <c r="B45" s="16">
        <v>25.454545454545499</v>
      </c>
      <c r="C45" s="16">
        <v>9.3939393939393891</v>
      </c>
      <c r="D45" s="16">
        <v>13.636363636363599</v>
      </c>
      <c r="E45" s="25">
        <v>51.515151515151501</v>
      </c>
    </row>
    <row r="46" spans="1:5" ht="30" customHeight="1">
      <c r="A46" t="s">
        <v>155</v>
      </c>
    </row>
    <row r="47" spans="1:5">
      <c r="A47" t="s">
        <v>93</v>
      </c>
    </row>
    <row r="48" spans="1:5">
      <c r="A48" t="s">
        <v>94</v>
      </c>
    </row>
    <row r="49" spans="1:1">
      <c r="A49" t="s">
        <v>95</v>
      </c>
    </row>
    <row r="50" spans="1:1">
      <c r="A50" t="s">
        <v>96</v>
      </c>
    </row>
    <row r="51" spans="1:1">
      <c r="A51" t="s">
        <v>97</v>
      </c>
    </row>
    <row r="52" spans="1:1">
      <c r="A5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2"/>
  <sheetViews>
    <sheetView zoomScale="70" workbookViewId="0"/>
  </sheetViews>
  <sheetFormatPr defaultColWidth="10.90625" defaultRowHeight="15"/>
  <cols>
    <col min="1" max="1" width="51.6796875" customWidth="1"/>
    <col min="2" max="16" width="15.90625" customWidth="1"/>
  </cols>
  <sheetData>
    <row r="1" spans="1:16" ht="39.9" customHeight="1">
      <c r="A1" s="10" t="s">
        <v>157</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39.6018605686073</v>
      </c>
      <c r="C3" s="15">
        <v>42.632878327276302</v>
      </c>
      <c r="D3" s="24">
        <v>37.097028511232999</v>
      </c>
      <c r="E3" s="15">
        <v>41.345590449210597</v>
      </c>
      <c r="F3" s="15">
        <v>43.902284089114097</v>
      </c>
      <c r="G3" s="24">
        <v>39.200942060492601</v>
      </c>
      <c r="H3" s="15">
        <v>38.684053812393898</v>
      </c>
      <c r="I3" s="15">
        <v>41.7747594475535</v>
      </c>
      <c r="J3" s="24">
        <v>36.086140336213703</v>
      </c>
      <c r="K3" s="15">
        <v>26.8567045113424</v>
      </c>
      <c r="L3" s="15">
        <v>43.500861909313002</v>
      </c>
      <c r="M3" s="24">
        <v>22.6599134737946</v>
      </c>
      <c r="N3" s="15">
        <v>26.429817171253799</v>
      </c>
      <c r="O3" s="15">
        <v>30.5706654747922</v>
      </c>
      <c r="P3" s="24">
        <v>23.435034581772399</v>
      </c>
    </row>
    <row r="4" spans="1:16" ht="21.9" customHeight="1">
      <c r="A4" s="22" t="s">
        <v>19</v>
      </c>
      <c r="B4" s="15">
        <v>41.065292369631301</v>
      </c>
      <c r="C4" s="15">
        <v>45.793272896062497</v>
      </c>
      <c r="D4" s="24">
        <v>37.187427708507201</v>
      </c>
      <c r="E4" s="15">
        <v>42.2783653212717</v>
      </c>
      <c r="F4" s="15">
        <v>47.6991666238223</v>
      </c>
      <c r="G4" s="24">
        <v>37.747379957866798</v>
      </c>
      <c r="H4" s="15">
        <v>40.668189933915102</v>
      </c>
      <c r="I4" s="15">
        <v>44.481613734194603</v>
      </c>
      <c r="J4" s="24">
        <v>37.533432196017998</v>
      </c>
      <c r="K4" s="15">
        <v>29.670625910432499</v>
      </c>
      <c r="L4" s="20" t="s">
        <v>80</v>
      </c>
      <c r="M4" s="24">
        <v>25.362298037729101</v>
      </c>
      <c r="N4" s="15">
        <v>26.4082166518265</v>
      </c>
      <c r="O4" s="15">
        <v>29.034209237225198</v>
      </c>
      <c r="P4" s="24">
        <v>24.3514067839128</v>
      </c>
    </row>
    <row r="5" spans="1:16" ht="21.9" customHeight="1">
      <c r="A5" s="22" t="s">
        <v>20</v>
      </c>
      <c r="B5" s="15">
        <v>43.102290793020501</v>
      </c>
      <c r="C5" s="15">
        <v>51.340770732119999</v>
      </c>
      <c r="D5" s="24">
        <v>35.894801627626599</v>
      </c>
      <c r="E5" s="15">
        <v>44.476478006770002</v>
      </c>
      <c r="F5" s="15">
        <v>52.131791768861298</v>
      </c>
      <c r="G5" s="24">
        <v>37.739816967177099</v>
      </c>
      <c r="H5" s="15">
        <v>42.652116048926203</v>
      </c>
      <c r="I5" s="15">
        <v>51.406614326992397</v>
      </c>
      <c r="J5" s="24">
        <v>34.924180050539597</v>
      </c>
      <c r="K5" s="20" t="s">
        <v>80</v>
      </c>
      <c r="L5" s="20" t="s">
        <v>80</v>
      </c>
      <c r="M5" s="26" t="s">
        <v>80</v>
      </c>
      <c r="N5" s="15">
        <v>29.084061427055801</v>
      </c>
      <c r="O5" s="20" t="s">
        <v>80</v>
      </c>
      <c r="P5" s="26" t="s">
        <v>80</v>
      </c>
    </row>
    <row r="6" spans="1:16" ht="21.9" customHeight="1">
      <c r="A6" s="22" t="s">
        <v>115</v>
      </c>
      <c r="B6" s="15">
        <v>51.340770732119999</v>
      </c>
      <c r="C6" s="15">
        <v>51.340770732119999</v>
      </c>
      <c r="D6" s="26" t="s">
        <v>80</v>
      </c>
      <c r="E6" s="15">
        <v>52.131791768861298</v>
      </c>
      <c r="F6" s="15">
        <v>52.131791768861298</v>
      </c>
      <c r="G6" s="26" t="s">
        <v>80</v>
      </c>
      <c r="H6" s="15">
        <v>51.406614326992397</v>
      </c>
      <c r="I6" s="15">
        <v>51.406614326992397</v>
      </c>
      <c r="J6" s="26" t="s">
        <v>80</v>
      </c>
      <c r="K6" s="20" t="s">
        <v>80</v>
      </c>
      <c r="L6" s="20" t="s">
        <v>80</v>
      </c>
      <c r="M6" s="26" t="s">
        <v>80</v>
      </c>
      <c r="N6" s="20" t="s">
        <v>80</v>
      </c>
      <c r="O6" s="20" t="s">
        <v>80</v>
      </c>
      <c r="P6" s="26" t="s">
        <v>80</v>
      </c>
    </row>
    <row r="7" spans="1:16">
      <c r="A7" s="9" t="s">
        <v>116</v>
      </c>
      <c r="B7" s="15">
        <v>74.509803921568604</v>
      </c>
      <c r="C7" s="15">
        <v>74.509803921568604</v>
      </c>
      <c r="D7" s="26" t="s">
        <v>80</v>
      </c>
      <c r="E7" s="15">
        <v>85.714285714285694</v>
      </c>
      <c r="F7" s="15">
        <v>85.714285714285694</v>
      </c>
      <c r="G7" s="26" t="s">
        <v>80</v>
      </c>
      <c r="H7" s="15">
        <v>66.6666666666667</v>
      </c>
      <c r="I7" s="15">
        <v>66.6666666666667</v>
      </c>
      <c r="J7" s="26" t="s">
        <v>80</v>
      </c>
      <c r="K7" s="20" t="s">
        <v>80</v>
      </c>
      <c r="L7" s="20" t="s">
        <v>80</v>
      </c>
      <c r="M7" s="26" t="s">
        <v>80</v>
      </c>
      <c r="N7" s="20" t="s">
        <v>80</v>
      </c>
      <c r="O7" s="20" t="s">
        <v>80</v>
      </c>
      <c r="P7" s="26" t="s">
        <v>80</v>
      </c>
    </row>
    <row r="8" spans="1:16">
      <c r="A8" s="9" t="s">
        <v>117</v>
      </c>
      <c r="B8" s="15">
        <v>45.454545454545503</v>
      </c>
      <c r="C8" s="15">
        <v>45.454545454545503</v>
      </c>
      <c r="D8" s="26" t="s">
        <v>80</v>
      </c>
      <c r="E8" s="20" t="s">
        <v>80</v>
      </c>
      <c r="F8" s="20" t="s">
        <v>80</v>
      </c>
      <c r="G8" s="26" t="s">
        <v>80</v>
      </c>
      <c r="H8" s="15">
        <v>58.3333333333333</v>
      </c>
      <c r="I8" s="15">
        <v>58.3333333333333</v>
      </c>
      <c r="J8" s="26" t="s">
        <v>80</v>
      </c>
      <c r="K8" s="20" t="s">
        <v>80</v>
      </c>
      <c r="L8" s="20" t="s">
        <v>80</v>
      </c>
      <c r="M8" s="26" t="s">
        <v>80</v>
      </c>
      <c r="N8" s="20" t="s">
        <v>80</v>
      </c>
      <c r="O8" s="20" t="s">
        <v>80</v>
      </c>
      <c r="P8" s="26" t="s">
        <v>80</v>
      </c>
    </row>
    <row r="9" spans="1:16">
      <c r="A9" s="9" t="s">
        <v>118</v>
      </c>
      <c r="B9" s="15">
        <v>46.927374301675997</v>
      </c>
      <c r="C9" s="15">
        <v>46.927374301675997</v>
      </c>
      <c r="D9" s="26" t="s">
        <v>80</v>
      </c>
      <c r="E9" s="15">
        <v>43.3333333333333</v>
      </c>
      <c r="F9" s="15">
        <v>43.3333333333333</v>
      </c>
      <c r="G9" s="26" t="s">
        <v>80</v>
      </c>
      <c r="H9" s="15">
        <v>48.837209302325597</v>
      </c>
      <c r="I9" s="15">
        <v>48.837209302325597</v>
      </c>
      <c r="J9" s="26" t="s">
        <v>80</v>
      </c>
      <c r="K9" s="20" t="s">
        <v>80</v>
      </c>
      <c r="L9" s="20" t="s">
        <v>80</v>
      </c>
      <c r="M9" s="26" t="s">
        <v>80</v>
      </c>
      <c r="N9" s="20" t="s">
        <v>80</v>
      </c>
      <c r="O9" s="20" t="s">
        <v>80</v>
      </c>
      <c r="P9" s="26" t="s">
        <v>80</v>
      </c>
    </row>
    <row r="10" spans="1:16">
      <c r="A10" s="9" t="s">
        <v>119</v>
      </c>
      <c r="B10" s="15">
        <v>54.4554455445545</v>
      </c>
      <c r="C10" s="15">
        <v>54.4554455445545</v>
      </c>
      <c r="D10" s="26" t="s">
        <v>80</v>
      </c>
      <c r="E10" s="15">
        <v>56.818181818181799</v>
      </c>
      <c r="F10" s="15">
        <v>56.818181818181799</v>
      </c>
      <c r="G10" s="26" t="s">
        <v>80</v>
      </c>
      <c r="H10" s="15">
        <v>51.785714285714299</v>
      </c>
      <c r="I10" s="15">
        <v>51.785714285714299</v>
      </c>
      <c r="J10" s="26" t="s">
        <v>80</v>
      </c>
      <c r="K10" s="20" t="s">
        <v>80</v>
      </c>
      <c r="L10" s="20" t="s">
        <v>80</v>
      </c>
      <c r="M10" s="26" t="s">
        <v>80</v>
      </c>
      <c r="N10" s="20" t="s">
        <v>80</v>
      </c>
      <c r="O10" s="20" t="s">
        <v>80</v>
      </c>
      <c r="P10" s="26" t="s">
        <v>80</v>
      </c>
    </row>
    <row r="11" spans="1:16">
      <c r="A11" s="9" t="s">
        <v>120</v>
      </c>
      <c r="B11" s="15">
        <v>48.571428571428598</v>
      </c>
      <c r="C11" s="15">
        <v>48.571428571428598</v>
      </c>
      <c r="D11" s="26" t="s">
        <v>80</v>
      </c>
      <c r="E11" s="15">
        <v>47.058823529411796</v>
      </c>
      <c r="F11" s="15">
        <v>47.058823529411796</v>
      </c>
      <c r="G11" s="26" t="s">
        <v>80</v>
      </c>
      <c r="H11" s="15">
        <v>50</v>
      </c>
      <c r="I11" s="15">
        <v>50</v>
      </c>
      <c r="J11" s="26" t="s">
        <v>80</v>
      </c>
      <c r="K11" s="20" t="s">
        <v>80</v>
      </c>
      <c r="L11" s="20" t="s">
        <v>80</v>
      </c>
      <c r="M11" s="26" t="s">
        <v>80</v>
      </c>
      <c r="N11" s="20" t="s">
        <v>80</v>
      </c>
      <c r="O11" s="20" t="s">
        <v>80</v>
      </c>
      <c r="P11" s="26" t="s">
        <v>80</v>
      </c>
    </row>
    <row r="12" spans="1:16">
      <c r="A12" s="9" t="s">
        <v>121</v>
      </c>
      <c r="B12" s="15">
        <v>48.648648648648702</v>
      </c>
      <c r="C12" s="15">
        <v>48.648648648648702</v>
      </c>
      <c r="D12" s="26" t="s">
        <v>80</v>
      </c>
      <c r="E12" s="15">
        <v>60</v>
      </c>
      <c r="F12" s="15">
        <v>60</v>
      </c>
      <c r="G12" s="26" t="s">
        <v>80</v>
      </c>
      <c r="H12" s="15">
        <v>40.909090909090899</v>
      </c>
      <c r="I12" s="15">
        <v>40.909090909090899</v>
      </c>
      <c r="J12" s="26" t="s">
        <v>80</v>
      </c>
      <c r="K12" s="20" t="s">
        <v>80</v>
      </c>
      <c r="L12" s="20" t="s">
        <v>80</v>
      </c>
      <c r="M12" s="26" t="s">
        <v>80</v>
      </c>
      <c r="N12" s="20" t="s">
        <v>80</v>
      </c>
      <c r="O12" s="20" t="s">
        <v>80</v>
      </c>
      <c r="P12" s="26" t="s">
        <v>80</v>
      </c>
    </row>
    <row r="13" spans="1:16">
      <c r="A13" s="9" t="s">
        <v>122</v>
      </c>
      <c r="B13" s="15">
        <v>61.682242990654203</v>
      </c>
      <c r="C13" s="15">
        <v>61.682242990654203</v>
      </c>
      <c r="D13" s="26" t="s">
        <v>80</v>
      </c>
      <c r="E13" s="15">
        <v>63.7931034482759</v>
      </c>
      <c r="F13" s="15">
        <v>63.7931034482759</v>
      </c>
      <c r="G13" s="26" t="s">
        <v>80</v>
      </c>
      <c r="H13" s="15">
        <v>59.183673469387799</v>
      </c>
      <c r="I13" s="15">
        <v>59.183673469387799</v>
      </c>
      <c r="J13" s="26" t="s">
        <v>80</v>
      </c>
      <c r="K13" s="20" t="s">
        <v>80</v>
      </c>
      <c r="L13" s="20" t="s">
        <v>80</v>
      </c>
      <c r="M13" s="26" t="s">
        <v>80</v>
      </c>
      <c r="N13" s="20" t="s">
        <v>80</v>
      </c>
      <c r="O13" s="20" t="s">
        <v>80</v>
      </c>
      <c r="P13" s="26" t="s">
        <v>80</v>
      </c>
    </row>
    <row r="14" spans="1:16">
      <c r="A14" s="9" t="s">
        <v>123</v>
      </c>
      <c r="B14" s="15">
        <v>61.904761904761898</v>
      </c>
      <c r="C14" s="15">
        <v>61.904761904761898</v>
      </c>
      <c r="D14" s="26" t="s">
        <v>80</v>
      </c>
      <c r="E14" s="15">
        <v>56.756756756756801</v>
      </c>
      <c r="F14" s="15">
        <v>56.756756756756801</v>
      </c>
      <c r="G14" s="26" t="s">
        <v>80</v>
      </c>
      <c r="H14" s="15">
        <v>67.391304347826093</v>
      </c>
      <c r="I14" s="15">
        <v>67.391304347826093</v>
      </c>
      <c r="J14" s="26" t="s">
        <v>80</v>
      </c>
      <c r="K14" s="20" t="s">
        <v>80</v>
      </c>
      <c r="L14" s="20" t="s">
        <v>80</v>
      </c>
      <c r="M14" s="26" t="s">
        <v>80</v>
      </c>
      <c r="N14" s="20" t="s">
        <v>80</v>
      </c>
      <c r="O14" s="20" t="s">
        <v>80</v>
      </c>
      <c r="P14" s="26" t="s">
        <v>80</v>
      </c>
    </row>
    <row r="15" spans="1:16">
      <c r="A15" s="9" t="s">
        <v>124</v>
      </c>
      <c r="B15" s="15">
        <v>51.3888888888889</v>
      </c>
      <c r="C15" s="15">
        <v>51.3888888888889</v>
      </c>
      <c r="D15" s="26" t="s">
        <v>80</v>
      </c>
      <c r="E15" s="15">
        <v>46.268656716417901</v>
      </c>
      <c r="F15" s="15">
        <v>46.268656716417901</v>
      </c>
      <c r="G15" s="26" t="s">
        <v>80</v>
      </c>
      <c r="H15" s="15">
        <v>56.164383561643803</v>
      </c>
      <c r="I15" s="15">
        <v>56.164383561643803</v>
      </c>
      <c r="J15" s="26" t="s">
        <v>80</v>
      </c>
      <c r="K15" s="20" t="s">
        <v>80</v>
      </c>
      <c r="L15" s="20" t="s">
        <v>80</v>
      </c>
      <c r="M15" s="26" t="s">
        <v>80</v>
      </c>
      <c r="N15" s="20" t="s">
        <v>80</v>
      </c>
      <c r="O15" s="20" t="s">
        <v>80</v>
      </c>
      <c r="P15" s="26" t="s">
        <v>80</v>
      </c>
    </row>
    <row r="16" spans="1:16">
      <c r="A16" s="9" t="s">
        <v>125</v>
      </c>
      <c r="B16" s="15">
        <v>45.9677419354839</v>
      </c>
      <c r="C16" s="15">
        <v>45.9677419354839</v>
      </c>
      <c r="D16" s="26" t="s">
        <v>80</v>
      </c>
      <c r="E16" s="15">
        <v>50.684931506849303</v>
      </c>
      <c r="F16" s="15">
        <v>50.684931506849303</v>
      </c>
      <c r="G16" s="26" t="s">
        <v>80</v>
      </c>
      <c r="H16" s="15">
        <v>43.478260869565197</v>
      </c>
      <c r="I16" s="15">
        <v>43.478260869565197</v>
      </c>
      <c r="J16" s="26" t="s">
        <v>80</v>
      </c>
      <c r="K16" s="20" t="s">
        <v>80</v>
      </c>
      <c r="L16" s="20" t="s">
        <v>80</v>
      </c>
      <c r="M16" s="26" t="s">
        <v>80</v>
      </c>
      <c r="N16" s="20" t="s">
        <v>80</v>
      </c>
      <c r="O16" s="20" t="s">
        <v>80</v>
      </c>
      <c r="P16" s="26" t="s">
        <v>80</v>
      </c>
    </row>
    <row r="17" spans="1:16">
      <c r="A17" s="9" t="s">
        <v>126</v>
      </c>
      <c r="B17" s="15">
        <v>56.198347107438003</v>
      </c>
      <c r="C17" s="15">
        <v>56.198347107438003</v>
      </c>
      <c r="D17" s="26" t="s">
        <v>80</v>
      </c>
      <c r="E17" s="15">
        <v>60.714285714285701</v>
      </c>
      <c r="F17" s="15">
        <v>60.714285714285701</v>
      </c>
      <c r="G17" s="26" t="s">
        <v>80</v>
      </c>
      <c r="H17" s="15">
        <v>53.125</v>
      </c>
      <c r="I17" s="15">
        <v>53.125</v>
      </c>
      <c r="J17" s="26" t="s">
        <v>80</v>
      </c>
      <c r="K17" s="20" t="s">
        <v>80</v>
      </c>
      <c r="L17" s="20" t="s">
        <v>80</v>
      </c>
      <c r="M17" s="26" t="s">
        <v>80</v>
      </c>
      <c r="N17" s="20" t="s">
        <v>80</v>
      </c>
      <c r="O17" s="20" t="s">
        <v>80</v>
      </c>
      <c r="P17" s="26" t="s">
        <v>80</v>
      </c>
    </row>
    <row r="18" spans="1:16">
      <c r="A18" s="9" t="s">
        <v>127</v>
      </c>
      <c r="B18" s="15">
        <v>79.411764705882305</v>
      </c>
      <c r="C18" s="15">
        <v>79.411764705882305</v>
      </c>
      <c r="D18" s="26" t="s">
        <v>80</v>
      </c>
      <c r="E18" s="15">
        <v>73.684210526315795</v>
      </c>
      <c r="F18" s="15">
        <v>73.684210526315795</v>
      </c>
      <c r="G18" s="26" t="s">
        <v>80</v>
      </c>
      <c r="H18" s="15">
        <v>86.6666666666667</v>
      </c>
      <c r="I18" s="15">
        <v>86.6666666666667</v>
      </c>
      <c r="J18" s="26" t="s">
        <v>80</v>
      </c>
      <c r="K18" s="20" t="s">
        <v>80</v>
      </c>
      <c r="L18" s="20" t="s">
        <v>80</v>
      </c>
      <c r="M18" s="26" t="s">
        <v>80</v>
      </c>
      <c r="N18" s="20" t="s">
        <v>80</v>
      </c>
      <c r="O18" s="20" t="s">
        <v>80</v>
      </c>
      <c r="P18" s="26" t="s">
        <v>80</v>
      </c>
    </row>
    <row r="19" spans="1:16">
      <c r="A19" s="9" t="s">
        <v>128</v>
      </c>
      <c r="B19" s="15">
        <v>55.319148936170201</v>
      </c>
      <c r="C19" s="15">
        <v>55.319148936170201</v>
      </c>
      <c r="D19" s="26" t="s">
        <v>80</v>
      </c>
      <c r="E19" s="15">
        <v>50</v>
      </c>
      <c r="F19" s="15">
        <v>50</v>
      </c>
      <c r="G19" s="26" t="s">
        <v>80</v>
      </c>
      <c r="H19" s="15">
        <v>61.904761904761898</v>
      </c>
      <c r="I19" s="15">
        <v>61.904761904761898</v>
      </c>
      <c r="J19" s="26" t="s">
        <v>80</v>
      </c>
      <c r="K19" s="20" t="s">
        <v>80</v>
      </c>
      <c r="L19" s="20" t="s">
        <v>80</v>
      </c>
      <c r="M19" s="26" t="s">
        <v>80</v>
      </c>
      <c r="N19" s="20" t="s">
        <v>80</v>
      </c>
      <c r="O19" s="20" t="s">
        <v>80</v>
      </c>
      <c r="P19" s="26" t="s">
        <v>80</v>
      </c>
    </row>
    <row r="20" spans="1:16">
      <c r="A20" s="9" t="s">
        <v>129</v>
      </c>
      <c r="B20" s="15">
        <v>73.913043478260903</v>
      </c>
      <c r="C20" s="15">
        <v>73.913043478260903</v>
      </c>
      <c r="D20" s="26" t="s">
        <v>80</v>
      </c>
      <c r="E20" s="15">
        <v>68.181818181818201</v>
      </c>
      <c r="F20" s="15">
        <v>68.181818181818201</v>
      </c>
      <c r="G20" s="26" t="s">
        <v>80</v>
      </c>
      <c r="H20" s="15">
        <v>79.1666666666667</v>
      </c>
      <c r="I20" s="15">
        <v>79.1666666666667</v>
      </c>
      <c r="J20" s="26" t="s">
        <v>80</v>
      </c>
      <c r="K20" s="20" t="s">
        <v>80</v>
      </c>
      <c r="L20" s="20" t="s">
        <v>80</v>
      </c>
      <c r="M20" s="26" t="s">
        <v>80</v>
      </c>
      <c r="N20" s="20" t="s">
        <v>80</v>
      </c>
      <c r="O20" s="20" t="s">
        <v>80</v>
      </c>
      <c r="P20" s="26" t="s">
        <v>80</v>
      </c>
    </row>
    <row r="21" spans="1:16">
      <c r="A21" s="9" t="s">
        <v>130</v>
      </c>
      <c r="B21" s="15">
        <v>41.860465116279101</v>
      </c>
      <c r="C21" s="15">
        <v>41.860465116279101</v>
      </c>
      <c r="D21" s="26" t="s">
        <v>80</v>
      </c>
      <c r="E21" s="15">
        <v>40.740740740740698</v>
      </c>
      <c r="F21" s="15">
        <v>40.740740740740698</v>
      </c>
      <c r="G21" s="26" t="s">
        <v>80</v>
      </c>
      <c r="H21" s="15">
        <v>43.75</v>
      </c>
      <c r="I21" s="15">
        <v>43.75</v>
      </c>
      <c r="J21" s="26" t="s">
        <v>80</v>
      </c>
      <c r="K21" s="20" t="s">
        <v>80</v>
      </c>
      <c r="L21" s="20" t="s">
        <v>80</v>
      </c>
      <c r="M21" s="26" t="s">
        <v>80</v>
      </c>
      <c r="N21" s="20" t="s">
        <v>80</v>
      </c>
      <c r="O21" s="20" t="s">
        <v>80</v>
      </c>
      <c r="P21" s="26" t="s">
        <v>80</v>
      </c>
    </row>
    <row r="22" spans="1:16">
      <c r="A22" s="9" t="s">
        <v>131</v>
      </c>
      <c r="B22" s="15">
        <v>55.357142857142897</v>
      </c>
      <c r="C22" s="15">
        <v>55.357142857142897</v>
      </c>
      <c r="D22" s="26" t="s">
        <v>80</v>
      </c>
      <c r="E22" s="15">
        <v>65.517241379310306</v>
      </c>
      <c r="F22" s="15">
        <v>65.517241379310306</v>
      </c>
      <c r="G22" s="26" t="s">
        <v>80</v>
      </c>
      <c r="H22" s="15">
        <v>45.8333333333333</v>
      </c>
      <c r="I22" s="15">
        <v>45.8333333333333</v>
      </c>
      <c r="J22" s="26" t="s">
        <v>80</v>
      </c>
      <c r="K22" s="20" t="s">
        <v>80</v>
      </c>
      <c r="L22" s="20" t="s">
        <v>80</v>
      </c>
      <c r="M22" s="26" t="s">
        <v>80</v>
      </c>
      <c r="N22" s="20" t="s">
        <v>80</v>
      </c>
      <c r="O22" s="20" t="s">
        <v>80</v>
      </c>
      <c r="P22" s="26" t="s">
        <v>80</v>
      </c>
    </row>
    <row r="23" spans="1:16">
      <c r="A23" s="9" t="s">
        <v>132</v>
      </c>
      <c r="B23" s="15">
        <v>44.7368421052632</v>
      </c>
      <c r="C23" s="15">
        <v>44.7368421052632</v>
      </c>
      <c r="D23" s="26" t="s">
        <v>80</v>
      </c>
      <c r="E23" s="15">
        <v>64.705882352941202</v>
      </c>
      <c r="F23" s="15">
        <v>64.705882352941202</v>
      </c>
      <c r="G23" s="26" t="s">
        <v>80</v>
      </c>
      <c r="H23" s="15">
        <v>31.578947368421101</v>
      </c>
      <c r="I23" s="15">
        <v>31.578947368421101</v>
      </c>
      <c r="J23" s="26" t="s">
        <v>80</v>
      </c>
      <c r="K23" s="20" t="s">
        <v>80</v>
      </c>
      <c r="L23" s="20" t="s">
        <v>80</v>
      </c>
      <c r="M23" s="26" t="s">
        <v>80</v>
      </c>
      <c r="N23" s="20" t="s">
        <v>80</v>
      </c>
      <c r="O23" s="20" t="s">
        <v>80</v>
      </c>
      <c r="P23" s="26" t="s">
        <v>80</v>
      </c>
    </row>
    <row r="24" spans="1:16">
      <c r="A24" s="9" t="s">
        <v>133</v>
      </c>
      <c r="B24" s="15">
        <v>36.956521739130402</v>
      </c>
      <c r="C24" s="15">
        <v>36.956521739130402</v>
      </c>
      <c r="D24" s="26" t="s">
        <v>80</v>
      </c>
      <c r="E24" s="15">
        <v>55.5555555555556</v>
      </c>
      <c r="F24" s="15">
        <v>55.5555555555556</v>
      </c>
      <c r="G24" s="26" t="s">
        <v>80</v>
      </c>
      <c r="H24" s="15">
        <v>22.2222222222222</v>
      </c>
      <c r="I24" s="15">
        <v>22.2222222222222</v>
      </c>
      <c r="J24" s="26" t="s">
        <v>80</v>
      </c>
      <c r="K24" s="20" t="s">
        <v>80</v>
      </c>
      <c r="L24" s="20" t="s">
        <v>80</v>
      </c>
      <c r="M24" s="26" t="s">
        <v>80</v>
      </c>
      <c r="N24" s="20" t="s">
        <v>80</v>
      </c>
      <c r="O24" s="20" t="s">
        <v>80</v>
      </c>
      <c r="P24" s="26" t="s">
        <v>80</v>
      </c>
    </row>
    <row r="25" spans="1:16">
      <c r="A25" s="9" t="s">
        <v>134</v>
      </c>
      <c r="B25" s="15">
        <v>62.162162162162197</v>
      </c>
      <c r="C25" s="15">
        <v>62.162162162162197</v>
      </c>
      <c r="D25" s="26" t="s">
        <v>80</v>
      </c>
      <c r="E25" s="15">
        <v>55.357142857142897</v>
      </c>
      <c r="F25" s="15">
        <v>55.357142857142897</v>
      </c>
      <c r="G25" s="26" t="s">
        <v>80</v>
      </c>
      <c r="H25" s="15">
        <v>68.627450980392197</v>
      </c>
      <c r="I25" s="15">
        <v>68.627450980392197</v>
      </c>
      <c r="J25" s="26" t="s">
        <v>80</v>
      </c>
      <c r="K25" s="20" t="s">
        <v>80</v>
      </c>
      <c r="L25" s="20" t="s">
        <v>80</v>
      </c>
      <c r="M25" s="26" t="s">
        <v>80</v>
      </c>
      <c r="N25" s="20" t="s">
        <v>80</v>
      </c>
      <c r="O25" s="20" t="s">
        <v>80</v>
      </c>
      <c r="P25" s="26" t="s">
        <v>80</v>
      </c>
    </row>
    <row r="26" spans="1:16">
      <c r="A26" s="9" t="s">
        <v>135</v>
      </c>
      <c r="B26" s="15">
        <v>28.7878787878788</v>
      </c>
      <c r="C26" s="15">
        <v>28.7878787878788</v>
      </c>
      <c r="D26" s="26" t="s">
        <v>80</v>
      </c>
      <c r="E26" s="15">
        <v>34.920634920634903</v>
      </c>
      <c r="F26" s="15">
        <v>34.920634920634903</v>
      </c>
      <c r="G26" s="26" t="s">
        <v>80</v>
      </c>
      <c r="H26" s="15">
        <v>21.6666666666667</v>
      </c>
      <c r="I26" s="15">
        <v>21.6666666666667</v>
      </c>
      <c r="J26" s="26" t="s">
        <v>80</v>
      </c>
      <c r="K26" s="20" t="s">
        <v>80</v>
      </c>
      <c r="L26" s="20" t="s">
        <v>80</v>
      </c>
      <c r="M26" s="26" t="s">
        <v>80</v>
      </c>
      <c r="N26" s="20" t="s">
        <v>80</v>
      </c>
      <c r="O26" s="20" t="s">
        <v>80</v>
      </c>
      <c r="P26" s="26" t="s">
        <v>80</v>
      </c>
    </row>
    <row r="27" spans="1:16">
      <c r="A27" s="9" t="s">
        <v>136</v>
      </c>
      <c r="B27" s="15">
        <v>55.172413793103502</v>
      </c>
      <c r="C27" s="15">
        <v>55.172413793103502</v>
      </c>
      <c r="D27" s="26" t="s">
        <v>80</v>
      </c>
      <c r="E27" s="15">
        <v>46.6666666666667</v>
      </c>
      <c r="F27" s="15">
        <v>46.6666666666667</v>
      </c>
      <c r="G27" s="26" t="s">
        <v>80</v>
      </c>
      <c r="H27" s="15">
        <v>64.285714285714306</v>
      </c>
      <c r="I27" s="15">
        <v>64.285714285714306</v>
      </c>
      <c r="J27" s="26" t="s">
        <v>80</v>
      </c>
      <c r="K27" s="20" t="s">
        <v>80</v>
      </c>
      <c r="L27" s="20" t="s">
        <v>80</v>
      </c>
      <c r="M27" s="26" t="s">
        <v>80</v>
      </c>
      <c r="N27" s="20" t="s">
        <v>80</v>
      </c>
      <c r="O27" s="20" t="s">
        <v>80</v>
      </c>
      <c r="P27" s="26" t="s">
        <v>80</v>
      </c>
    </row>
    <row r="28" spans="1:16">
      <c r="A28" s="9" t="s">
        <v>137</v>
      </c>
      <c r="B28" s="15">
        <v>28.260869565217401</v>
      </c>
      <c r="C28" s="15">
        <v>28.260869565217401</v>
      </c>
      <c r="D28" s="26" t="s">
        <v>80</v>
      </c>
      <c r="E28" s="15">
        <v>22.727272727272702</v>
      </c>
      <c r="F28" s="15">
        <v>22.727272727272702</v>
      </c>
      <c r="G28" s="26" t="s">
        <v>80</v>
      </c>
      <c r="H28" s="15">
        <v>33.3333333333333</v>
      </c>
      <c r="I28" s="15">
        <v>33.3333333333333</v>
      </c>
      <c r="J28" s="26" t="s">
        <v>80</v>
      </c>
      <c r="K28" s="20" t="s">
        <v>80</v>
      </c>
      <c r="L28" s="20" t="s">
        <v>80</v>
      </c>
      <c r="M28" s="26" t="s">
        <v>80</v>
      </c>
      <c r="N28" s="20" t="s">
        <v>80</v>
      </c>
      <c r="O28" s="20" t="s">
        <v>80</v>
      </c>
      <c r="P28" s="26" t="s">
        <v>80</v>
      </c>
    </row>
    <row r="29" spans="1:16">
      <c r="A29" s="9" t="s">
        <v>138</v>
      </c>
      <c r="B29" s="15">
        <v>68.181818181818201</v>
      </c>
      <c r="C29" s="15">
        <v>68.181818181818201</v>
      </c>
      <c r="D29" s="26" t="s">
        <v>80</v>
      </c>
      <c r="E29" s="20" t="s">
        <v>80</v>
      </c>
      <c r="F29" s="20" t="s">
        <v>80</v>
      </c>
      <c r="G29" s="26" t="s">
        <v>80</v>
      </c>
      <c r="H29" s="15">
        <v>78.571428571428598</v>
      </c>
      <c r="I29" s="15">
        <v>78.571428571428598</v>
      </c>
      <c r="J29" s="26" t="s">
        <v>80</v>
      </c>
      <c r="K29" s="20" t="s">
        <v>80</v>
      </c>
      <c r="L29" s="20" t="s">
        <v>80</v>
      </c>
      <c r="M29" s="26" t="s">
        <v>80</v>
      </c>
      <c r="N29" s="20" t="s">
        <v>80</v>
      </c>
      <c r="O29" s="20" t="s">
        <v>80</v>
      </c>
      <c r="P29" s="26" t="s">
        <v>80</v>
      </c>
    </row>
    <row r="30" spans="1:16">
      <c r="A30" s="9" t="s">
        <v>139</v>
      </c>
      <c r="B30" s="15">
        <v>61.904761904761898</v>
      </c>
      <c r="C30" s="15">
        <v>61.904761904761898</v>
      </c>
      <c r="D30" s="26" t="s">
        <v>80</v>
      </c>
      <c r="E30" s="15">
        <v>63.157894736842103</v>
      </c>
      <c r="F30" s="15">
        <v>63.157894736842103</v>
      </c>
      <c r="G30" s="26" t="s">
        <v>80</v>
      </c>
      <c r="H30" s="15">
        <v>61.904761904761898</v>
      </c>
      <c r="I30" s="15">
        <v>61.904761904761898</v>
      </c>
      <c r="J30" s="26" t="s">
        <v>80</v>
      </c>
      <c r="K30" s="20" t="s">
        <v>80</v>
      </c>
      <c r="L30" s="20" t="s">
        <v>80</v>
      </c>
      <c r="M30" s="26" t="s">
        <v>80</v>
      </c>
      <c r="N30" s="20" t="s">
        <v>80</v>
      </c>
      <c r="O30" s="20" t="s">
        <v>80</v>
      </c>
      <c r="P30" s="26" t="s">
        <v>80</v>
      </c>
    </row>
    <row r="31" spans="1:16">
      <c r="A31" s="9" t="s">
        <v>140</v>
      </c>
      <c r="B31" s="15">
        <v>36.956521739130402</v>
      </c>
      <c r="C31" s="15">
        <v>36.956521739130402</v>
      </c>
      <c r="D31" s="26" t="s">
        <v>80</v>
      </c>
      <c r="E31" s="15">
        <v>37.931034482758598</v>
      </c>
      <c r="F31" s="15">
        <v>37.931034482758598</v>
      </c>
      <c r="G31" s="26" t="s">
        <v>80</v>
      </c>
      <c r="H31" s="15">
        <v>37.5</v>
      </c>
      <c r="I31" s="15">
        <v>37.5</v>
      </c>
      <c r="J31" s="26" t="s">
        <v>80</v>
      </c>
      <c r="K31" s="20" t="s">
        <v>80</v>
      </c>
      <c r="L31" s="20" t="s">
        <v>80</v>
      </c>
      <c r="M31" s="26" t="s">
        <v>80</v>
      </c>
      <c r="N31" s="20" t="s">
        <v>80</v>
      </c>
      <c r="O31" s="20" t="s">
        <v>80</v>
      </c>
      <c r="P31" s="26" t="s">
        <v>80</v>
      </c>
    </row>
    <row r="32" spans="1:16">
      <c r="A32" s="9" t="s">
        <v>141</v>
      </c>
      <c r="B32" s="15">
        <v>60.606060606060602</v>
      </c>
      <c r="C32" s="15">
        <v>60.606060606060602</v>
      </c>
      <c r="D32" s="26" t="s">
        <v>80</v>
      </c>
      <c r="E32" s="15">
        <v>68.75</v>
      </c>
      <c r="F32" s="15">
        <v>68.75</v>
      </c>
      <c r="G32" s="26" t="s">
        <v>80</v>
      </c>
      <c r="H32" s="15">
        <v>50</v>
      </c>
      <c r="I32" s="15">
        <v>50</v>
      </c>
      <c r="J32" s="26" t="s">
        <v>80</v>
      </c>
      <c r="K32" s="20" t="s">
        <v>80</v>
      </c>
      <c r="L32" s="20" t="s">
        <v>80</v>
      </c>
      <c r="M32" s="26" t="s">
        <v>80</v>
      </c>
      <c r="N32" s="20" t="s">
        <v>80</v>
      </c>
      <c r="O32" s="20" t="s">
        <v>80</v>
      </c>
      <c r="P32" s="26" t="s">
        <v>80</v>
      </c>
    </row>
    <row r="33" spans="1:16">
      <c r="A33" s="9" t="s">
        <v>142</v>
      </c>
      <c r="B33" s="15">
        <v>38.636363636363598</v>
      </c>
      <c r="C33" s="15">
        <v>38.636363636363598</v>
      </c>
      <c r="D33" s="26" t="s">
        <v>80</v>
      </c>
      <c r="E33" s="15">
        <v>40</v>
      </c>
      <c r="F33" s="15">
        <v>40</v>
      </c>
      <c r="G33" s="26" t="s">
        <v>80</v>
      </c>
      <c r="H33" s="15">
        <v>33.3333333333333</v>
      </c>
      <c r="I33" s="15">
        <v>33.3333333333333</v>
      </c>
      <c r="J33" s="26" t="s">
        <v>80</v>
      </c>
      <c r="K33" s="20" t="s">
        <v>80</v>
      </c>
      <c r="L33" s="20" t="s">
        <v>80</v>
      </c>
      <c r="M33" s="26" t="s">
        <v>80</v>
      </c>
      <c r="N33" s="20" t="s">
        <v>80</v>
      </c>
      <c r="O33" s="20" t="s">
        <v>80</v>
      </c>
      <c r="P33" s="26" t="s">
        <v>80</v>
      </c>
    </row>
    <row r="34" spans="1:16">
      <c r="A34" s="9" t="s">
        <v>143</v>
      </c>
      <c r="B34" s="15">
        <v>80</v>
      </c>
      <c r="C34" s="15">
        <v>80</v>
      </c>
      <c r="D34" s="26" t="s">
        <v>80</v>
      </c>
      <c r="E34" s="20" t="s">
        <v>80</v>
      </c>
      <c r="F34" s="20" t="s">
        <v>80</v>
      </c>
      <c r="G34" s="26" t="s">
        <v>80</v>
      </c>
      <c r="H34" s="15">
        <v>90.909090909090907</v>
      </c>
      <c r="I34" s="15">
        <v>90.909090909090907</v>
      </c>
      <c r="J34" s="26" t="s">
        <v>80</v>
      </c>
      <c r="K34" s="20" t="s">
        <v>80</v>
      </c>
      <c r="L34" s="20" t="s">
        <v>80</v>
      </c>
      <c r="M34" s="26" t="s">
        <v>80</v>
      </c>
      <c r="N34" s="20" t="s">
        <v>80</v>
      </c>
      <c r="O34" s="20" t="s">
        <v>80</v>
      </c>
      <c r="P34" s="26" t="s">
        <v>80</v>
      </c>
    </row>
    <row r="35" spans="1:16">
      <c r="A35" s="9" t="s">
        <v>144</v>
      </c>
      <c r="B35" s="15">
        <v>49.462365591397798</v>
      </c>
      <c r="C35" s="15">
        <v>49.462365591397798</v>
      </c>
      <c r="D35" s="26" t="s">
        <v>80</v>
      </c>
      <c r="E35" s="15">
        <v>48.8888888888889</v>
      </c>
      <c r="F35" s="15">
        <v>48.8888888888889</v>
      </c>
      <c r="G35" s="26" t="s">
        <v>80</v>
      </c>
      <c r="H35" s="15">
        <v>51.1111111111111</v>
      </c>
      <c r="I35" s="15">
        <v>51.1111111111111</v>
      </c>
      <c r="J35" s="26" t="s">
        <v>80</v>
      </c>
      <c r="K35" s="20" t="s">
        <v>80</v>
      </c>
      <c r="L35" s="20" t="s">
        <v>80</v>
      </c>
      <c r="M35" s="26" t="s">
        <v>80</v>
      </c>
      <c r="N35" s="20" t="s">
        <v>80</v>
      </c>
      <c r="O35" s="20" t="s">
        <v>80</v>
      </c>
      <c r="P35" s="26" t="s">
        <v>80</v>
      </c>
    </row>
    <row r="36" spans="1:16">
      <c r="A36" s="9" t="s">
        <v>145</v>
      </c>
      <c r="B36" s="15">
        <v>53.571428571428598</v>
      </c>
      <c r="C36" s="15">
        <v>53.571428571428598</v>
      </c>
      <c r="D36" s="26" t="s">
        <v>80</v>
      </c>
      <c r="E36" s="15">
        <v>53.846153846153797</v>
      </c>
      <c r="F36" s="15">
        <v>53.846153846153797</v>
      </c>
      <c r="G36" s="26" t="s">
        <v>80</v>
      </c>
      <c r="H36" s="15">
        <v>66.6666666666667</v>
      </c>
      <c r="I36" s="15">
        <v>66.6666666666667</v>
      </c>
      <c r="J36" s="26" t="s">
        <v>80</v>
      </c>
      <c r="K36" s="20" t="s">
        <v>80</v>
      </c>
      <c r="L36" s="20" t="s">
        <v>80</v>
      </c>
      <c r="M36" s="26" t="s">
        <v>80</v>
      </c>
      <c r="N36" s="20" t="s">
        <v>80</v>
      </c>
      <c r="O36" s="20" t="s">
        <v>80</v>
      </c>
      <c r="P36" s="26" t="s">
        <v>80</v>
      </c>
    </row>
    <row r="37" spans="1:16" ht="21.9" customHeight="1">
      <c r="A37" s="22" t="s">
        <v>146</v>
      </c>
      <c r="B37" s="15">
        <v>35.894801627626599</v>
      </c>
      <c r="C37" s="20" t="s">
        <v>80</v>
      </c>
      <c r="D37" s="24">
        <v>35.894801627626599</v>
      </c>
      <c r="E37" s="15">
        <v>37.739816967177099</v>
      </c>
      <c r="F37" s="20" t="s">
        <v>80</v>
      </c>
      <c r="G37" s="24">
        <v>37.739816967177099</v>
      </c>
      <c r="H37" s="15">
        <v>34.924180050539597</v>
      </c>
      <c r="I37" s="20" t="s">
        <v>80</v>
      </c>
      <c r="J37" s="24">
        <v>34.924180050539597</v>
      </c>
      <c r="K37" s="20" t="s">
        <v>80</v>
      </c>
      <c r="L37" s="20" t="s">
        <v>80</v>
      </c>
      <c r="M37" s="26" t="s">
        <v>80</v>
      </c>
      <c r="N37" s="20" t="s">
        <v>80</v>
      </c>
      <c r="O37" s="20" t="s">
        <v>80</v>
      </c>
      <c r="P37" s="26" t="s">
        <v>80</v>
      </c>
    </row>
    <row r="38" spans="1:16">
      <c r="A38" s="9" t="s">
        <v>147</v>
      </c>
      <c r="B38" s="15">
        <v>36.094674556213</v>
      </c>
      <c r="C38" s="20" t="s">
        <v>80</v>
      </c>
      <c r="D38" s="24">
        <v>36.094674556213</v>
      </c>
      <c r="E38" s="15">
        <v>39.482200647249201</v>
      </c>
      <c r="F38" s="20" t="s">
        <v>80</v>
      </c>
      <c r="G38" s="24">
        <v>39.482200647249201</v>
      </c>
      <c r="H38" s="15">
        <v>34.117647058823501</v>
      </c>
      <c r="I38" s="20" t="s">
        <v>80</v>
      </c>
      <c r="J38" s="24">
        <v>34.117647058823501</v>
      </c>
      <c r="K38" s="20" t="s">
        <v>80</v>
      </c>
      <c r="L38" s="20" t="s">
        <v>80</v>
      </c>
      <c r="M38" s="26" t="s">
        <v>80</v>
      </c>
      <c r="N38" s="20" t="s">
        <v>80</v>
      </c>
      <c r="O38" s="20" t="s">
        <v>80</v>
      </c>
      <c r="P38" s="26" t="s">
        <v>80</v>
      </c>
    </row>
    <row r="39" spans="1:16">
      <c r="A39" s="9" t="s">
        <v>148</v>
      </c>
      <c r="B39" s="15">
        <v>27.015250544662301</v>
      </c>
      <c r="C39" s="20" t="s">
        <v>80</v>
      </c>
      <c r="D39" s="24">
        <v>27.015250544662301</v>
      </c>
      <c r="E39" s="15">
        <v>28.571428571428601</v>
      </c>
      <c r="F39" s="20" t="s">
        <v>80</v>
      </c>
      <c r="G39" s="24">
        <v>28.571428571428601</v>
      </c>
      <c r="H39" s="15">
        <v>26.0416666666667</v>
      </c>
      <c r="I39" s="20" t="s">
        <v>80</v>
      </c>
      <c r="J39" s="24">
        <v>26.0416666666667</v>
      </c>
      <c r="K39" s="20" t="s">
        <v>80</v>
      </c>
      <c r="L39" s="20" t="s">
        <v>80</v>
      </c>
      <c r="M39" s="26" t="s">
        <v>80</v>
      </c>
      <c r="N39" s="20" t="s">
        <v>80</v>
      </c>
      <c r="O39" s="20" t="s">
        <v>80</v>
      </c>
      <c r="P39" s="26" t="s">
        <v>80</v>
      </c>
    </row>
    <row r="40" spans="1:16">
      <c r="A40" s="9" t="s">
        <v>149</v>
      </c>
      <c r="B40" s="15">
        <v>34.848484848484901</v>
      </c>
      <c r="C40" s="20" t="s">
        <v>80</v>
      </c>
      <c r="D40" s="24">
        <v>34.848484848484901</v>
      </c>
      <c r="E40" s="15">
        <v>35.365853658536601</v>
      </c>
      <c r="F40" s="20" t="s">
        <v>80</v>
      </c>
      <c r="G40" s="24">
        <v>35.365853658536601</v>
      </c>
      <c r="H40" s="15">
        <v>37.037037037037003</v>
      </c>
      <c r="I40" s="20" t="s">
        <v>80</v>
      </c>
      <c r="J40" s="24">
        <v>37.037037037037003</v>
      </c>
      <c r="K40" s="20" t="s">
        <v>80</v>
      </c>
      <c r="L40" s="20" t="s">
        <v>80</v>
      </c>
      <c r="M40" s="26" t="s">
        <v>80</v>
      </c>
      <c r="N40" s="20" t="s">
        <v>80</v>
      </c>
      <c r="O40" s="20" t="s">
        <v>80</v>
      </c>
      <c r="P40" s="26" t="s">
        <v>80</v>
      </c>
    </row>
    <row r="41" spans="1:16">
      <c r="A41" s="9" t="s">
        <v>150</v>
      </c>
      <c r="B41" s="15">
        <v>59.854014598540097</v>
      </c>
      <c r="C41" s="20" t="s">
        <v>80</v>
      </c>
      <c r="D41" s="24">
        <v>59.854014598540097</v>
      </c>
      <c r="E41" s="15">
        <v>64.788732394366207</v>
      </c>
      <c r="F41" s="20" t="s">
        <v>80</v>
      </c>
      <c r="G41" s="24">
        <v>64.788732394366207</v>
      </c>
      <c r="H41" s="15">
        <v>55.932203389830498</v>
      </c>
      <c r="I41" s="20" t="s">
        <v>80</v>
      </c>
      <c r="J41" s="24">
        <v>55.932203389830498</v>
      </c>
      <c r="K41" s="20" t="s">
        <v>80</v>
      </c>
      <c r="L41" s="20" t="s">
        <v>80</v>
      </c>
      <c r="M41" s="26" t="s">
        <v>80</v>
      </c>
      <c r="N41" s="20" t="s">
        <v>80</v>
      </c>
      <c r="O41" s="20" t="s">
        <v>80</v>
      </c>
      <c r="P41" s="26" t="s">
        <v>80</v>
      </c>
    </row>
    <row r="42" spans="1:16">
      <c r="A42" s="9" t="s">
        <v>151</v>
      </c>
      <c r="B42" s="15">
        <v>37.724550898203603</v>
      </c>
      <c r="C42" s="20" t="s">
        <v>80</v>
      </c>
      <c r="D42" s="24">
        <v>37.724550898203603</v>
      </c>
      <c r="E42" s="15">
        <v>45.679012345678998</v>
      </c>
      <c r="F42" s="20" t="s">
        <v>80</v>
      </c>
      <c r="G42" s="24">
        <v>45.679012345678998</v>
      </c>
      <c r="H42" s="15">
        <v>30.718954248366</v>
      </c>
      <c r="I42" s="20" t="s">
        <v>80</v>
      </c>
      <c r="J42" s="24">
        <v>30.718954248366</v>
      </c>
      <c r="K42" s="20" t="s">
        <v>80</v>
      </c>
      <c r="L42" s="20" t="s">
        <v>80</v>
      </c>
      <c r="M42" s="26" t="s">
        <v>80</v>
      </c>
      <c r="N42" s="20" t="s">
        <v>80</v>
      </c>
      <c r="O42" s="20" t="s">
        <v>80</v>
      </c>
      <c r="P42" s="26" t="s">
        <v>80</v>
      </c>
    </row>
    <row r="43" spans="1:16">
      <c r="A43" s="9" t="s">
        <v>152</v>
      </c>
      <c r="B43" s="15">
        <v>40.298507462686601</v>
      </c>
      <c r="C43" s="20" t="s">
        <v>80</v>
      </c>
      <c r="D43" s="24">
        <v>40.298507462686601</v>
      </c>
      <c r="E43" s="15">
        <v>41.632653061224502</v>
      </c>
      <c r="F43" s="20" t="s">
        <v>80</v>
      </c>
      <c r="G43" s="24">
        <v>41.632653061224502</v>
      </c>
      <c r="H43" s="15">
        <v>38.3886255924171</v>
      </c>
      <c r="I43" s="20" t="s">
        <v>80</v>
      </c>
      <c r="J43" s="24">
        <v>38.3886255924171</v>
      </c>
      <c r="K43" s="15">
        <v>75</v>
      </c>
      <c r="L43" s="20" t="s">
        <v>80</v>
      </c>
      <c r="M43" s="24">
        <v>75</v>
      </c>
      <c r="N43" s="20" t="s">
        <v>80</v>
      </c>
      <c r="O43" s="20" t="s">
        <v>80</v>
      </c>
      <c r="P43" s="26" t="s">
        <v>80</v>
      </c>
    </row>
    <row r="44" spans="1:16">
      <c r="A44" s="9" t="s">
        <v>153</v>
      </c>
      <c r="B44" s="15">
        <v>59.558823529411796</v>
      </c>
      <c r="C44" s="20" t="s">
        <v>80</v>
      </c>
      <c r="D44" s="24">
        <v>59.558823529411796</v>
      </c>
      <c r="E44" s="15">
        <v>53.030303030303003</v>
      </c>
      <c r="F44" s="20" t="s">
        <v>80</v>
      </c>
      <c r="G44" s="24">
        <v>53.030303030303003</v>
      </c>
      <c r="H44" s="15">
        <v>67.1875</v>
      </c>
      <c r="I44" s="20" t="s">
        <v>80</v>
      </c>
      <c r="J44" s="24">
        <v>67.1875</v>
      </c>
      <c r="K44" s="20" t="s">
        <v>80</v>
      </c>
      <c r="L44" s="20" t="s">
        <v>80</v>
      </c>
      <c r="M44" s="26" t="s">
        <v>80</v>
      </c>
      <c r="N44" s="20" t="s">
        <v>80</v>
      </c>
      <c r="O44" s="20" t="s">
        <v>80</v>
      </c>
      <c r="P44" s="26" t="s">
        <v>80</v>
      </c>
    </row>
    <row r="45" spans="1:16">
      <c r="A45" s="11" t="s">
        <v>154</v>
      </c>
      <c r="B45" s="16">
        <v>33.939393939393902</v>
      </c>
      <c r="C45" s="28" t="s">
        <v>80</v>
      </c>
      <c r="D45" s="25">
        <v>33.939393939393902</v>
      </c>
      <c r="E45" s="16">
        <v>32.121212121212103</v>
      </c>
      <c r="F45" s="28" t="s">
        <v>80</v>
      </c>
      <c r="G45" s="25">
        <v>32.121212121212103</v>
      </c>
      <c r="H45" s="16">
        <v>36.129032258064498</v>
      </c>
      <c r="I45" s="28" t="s">
        <v>80</v>
      </c>
      <c r="J45" s="25">
        <v>36.129032258064498</v>
      </c>
      <c r="K45" s="28" t="s">
        <v>80</v>
      </c>
      <c r="L45" s="28" t="s">
        <v>80</v>
      </c>
      <c r="M45" s="29" t="s">
        <v>80</v>
      </c>
      <c r="N45" s="28" t="s">
        <v>80</v>
      </c>
      <c r="O45" s="28" t="s">
        <v>80</v>
      </c>
      <c r="P45" s="29" t="s">
        <v>80</v>
      </c>
    </row>
    <row r="46" spans="1:16" ht="30" customHeight="1">
      <c r="A46" t="s">
        <v>155</v>
      </c>
    </row>
    <row r="47" spans="1:16">
      <c r="A47" t="s">
        <v>93</v>
      </c>
    </row>
    <row r="48" spans="1:16">
      <c r="A48" t="s">
        <v>94</v>
      </c>
    </row>
    <row r="49" spans="1:1">
      <c r="A49" t="s">
        <v>95</v>
      </c>
    </row>
    <row r="50" spans="1:1">
      <c r="A50" t="s">
        <v>96</v>
      </c>
    </row>
    <row r="51" spans="1:1">
      <c r="A51" t="s">
        <v>97</v>
      </c>
    </row>
    <row r="52" spans="1:1">
      <c r="A5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2"/>
  <sheetViews>
    <sheetView zoomScale="70" workbookViewId="0"/>
  </sheetViews>
  <sheetFormatPr defaultColWidth="10.90625" defaultRowHeight="15"/>
  <cols>
    <col min="1" max="1" width="51.6796875" customWidth="1"/>
    <col min="2" max="16" width="15.90625" customWidth="1"/>
  </cols>
  <sheetData>
    <row r="1" spans="1:16" ht="39.9" customHeight="1">
      <c r="A1" s="10" t="s">
        <v>158</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55.725851211528997</v>
      </c>
      <c r="C3" s="15">
        <v>56.192314351641897</v>
      </c>
      <c r="D3" s="24">
        <v>55.340366229266202</v>
      </c>
      <c r="E3" s="15">
        <v>58.287925506768303</v>
      </c>
      <c r="F3" s="15">
        <v>57.762951059865301</v>
      </c>
      <c r="G3" s="24">
        <v>58.728293325616903</v>
      </c>
      <c r="H3" s="15">
        <v>54.056392009489301</v>
      </c>
      <c r="I3" s="15">
        <v>55.018406743081201</v>
      </c>
      <c r="J3" s="24">
        <v>53.247764033970903</v>
      </c>
      <c r="K3" s="15">
        <v>42.289584203360299</v>
      </c>
      <c r="L3" s="15">
        <v>49.2879056221525</v>
      </c>
      <c r="M3" s="24">
        <v>40.5249714382919</v>
      </c>
      <c r="N3" s="15">
        <v>40.512934773314001</v>
      </c>
      <c r="O3" s="15">
        <v>46.403437959203899</v>
      </c>
      <c r="P3" s="24">
        <v>36.252750605419202</v>
      </c>
    </row>
    <row r="4" spans="1:16" ht="21.9" customHeight="1">
      <c r="A4" s="22" t="s">
        <v>19</v>
      </c>
      <c r="B4" s="15">
        <v>57.930304624100501</v>
      </c>
      <c r="C4" s="15">
        <v>58.491190438491103</v>
      </c>
      <c r="D4" s="24">
        <v>57.470269040960503</v>
      </c>
      <c r="E4" s="15">
        <v>60.605844472218998</v>
      </c>
      <c r="F4" s="15">
        <v>60.459933526631197</v>
      </c>
      <c r="G4" s="24">
        <v>60.727804367430103</v>
      </c>
      <c r="H4" s="15">
        <v>56.244100895132597</v>
      </c>
      <c r="I4" s="15">
        <v>57.052030791361297</v>
      </c>
      <c r="J4" s="24">
        <v>55.579956381822598</v>
      </c>
      <c r="K4" s="15">
        <v>39.745528907687799</v>
      </c>
      <c r="L4" s="15">
        <v>47.613441314077697</v>
      </c>
      <c r="M4" s="24">
        <v>37.324038252922598</v>
      </c>
      <c r="N4" s="15">
        <v>41.176285564939803</v>
      </c>
      <c r="O4" s="15">
        <v>45.844998510845897</v>
      </c>
      <c r="P4" s="24">
        <v>37.519514060332298</v>
      </c>
    </row>
    <row r="5" spans="1:16" ht="21.9" customHeight="1">
      <c r="A5" s="22" t="s">
        <v>20</v>
      </c>
      <c r="B5" s="15">
        <v>59.539470230735503</v>
      </c>
      <c r="C5" s="15">
        <v>59.780917648240901</v>
      </c>
      <c r="D5" s="24">
        <v>59.328238345903998</v>
      </c>
      <c r="E5" s="15">
        <v>61.330968783799499</v>
      </c>
      <c r="F5" s="15">
        <v>60.645508604467999</v>
      </c>
      <c r="G5" s="24">
        <v>61.934172392142997</v>
      </c>
      <c r="H5" s="15">
        <v>58.526575925756298</v>
      </c>
      <c r="I5" s="15">
        <v>59.520482088353397</v>
      </c>
      <c r="J5" s="24">
        <v>57.6492163137045</v>
      </c>
      <c r="K5" s="20" t="s">
        <v>80</v>
      </c>
      <c r="L5" s="20" t="s">
        <v>80</v>
      </c>
      <c r="M5" s="26" t="s">
        <v>80</v>
      </c>
      <c r="N5" s="15">
        <v>50.440354517025</v>
      </c>
      <c r="O5" s="20" t="s">
        <v>80</v>
      </c>
      <c r="P5" s="26" t="s">
        <v>80</v>
      </c>
    </row>
    <row r="6" spans="1:16" ht="21.9" customHeight="1">
      <c r="A6" s="22" t="s">
        <v>115</v>
      </c>
      <c r="B6" s="15">
        <v>59.780917648240901</v>
      </c>
      <c r="C6" s="15">
        <v>59.780917648240901</v>
      </c>
      <c r="D6" s="26" t="s">
        <v>80</v>
      </c>
      <c r="E6" s="15">
        <v>60.645508604467999</v>
      </c>
      <c r="F6" s="15">
        <v>60.645508604467999</v>
      </c>
      <c r="G6" s="26" t="s">
        <v>80</v>
      </c>
      <c r="H6" s="15">
        <v>59.520482088353397</v>
      </c>
      <c r="I6" s="15">
        <v>59.520482088353397</v>
      </c>
      <c r="J6" s="26" t="s">
        <v>80</v>
      </c>
      <c r="K6" s="20" t="s">
        <v>80</v>
      </c>
      <c r="L6" s="20" t="s">
        <v>80</v>
      </c>
      <c r="M6" s="26" t="s">
        <v>80</v>
      </c>
      <c r="N6" s="20" t="s">
        <v>80</v>
      </c>
      <c r="O6" s="20" t="s">
        <v>80</v>
      </c>
      <c r="P6" s="26" t="s">
        <v>80</v>
      </c>
    </row>
    <row r="7" spans="1:16">
      <c r="A7" s="9" t="s">
        <v>116</v>
      </c>
      <c r="B7" s="15">
        <v>80.392156862745097</v>
      </c>
      <c r="C7" s="15">
        <v>80.392156862745097</v>
      </c>
      <c r="D7" s="26" t="s">
        <v>80</v>
      </c>
      <c r="E7" s="15">
        <v>90.476190476190496</v>
      </c>
      <c r="F7" s="15">
        <v>90.476190476190496</v>
      </c>
      <c r="G7" s="26" t="s">
        <v>80</v>
      </c>
      <c r="H7" s="15">
        <v>73.3333333333333</v>
      </c>
      <c r="I7" s="15">
        <v>73.3333333333333</v>
      </c>
      <c r="J7" s="26" t="s">
        <v>80</v>
      </c>
      <c r="K7" s="20" t="s">
        <v>80</v>
      </c>
      <c r="L7" s="20" t="s">
        <v>80</v>
      </c>
      <c r="M7" s="26" t="s">
        <v>80</v>
      </c>
      <c r="N7" s="20" t="s">
        <v>80</v>
      </c>
      <c r="O7" s="20" t="s">
        <v>80</v>
      </c>
      <c r="P7" s="26" t="s">
        <v>80</v>
      </c>
    </row>
    <row r="8" spans="1:16">
      <c r="A8" s="9" t="s">
        <v>117</v>
      </c>
      <c r="B8" s="15">
        <v>59.090909090909101</v>
      </c>
      <c r="C8" s="15">
        <v>59.090909090909101</v>
      </c>
      <c r="D8" s="26" t="s">
        <v>80</v>
      </c>
      <c r="E8" s="20" t="s">
        <v>80</v>
      </c>
      <c r="F8" s="20" t="s">
        <v>80</v>
      </c>
      <c r="G8" s="26" t="s">
        <v>80</v>
      </c>
      <c r="H8" s="15">
        <v>75</v>
      </c>
      <c r="I8" s="15">
        <v>75</v>
      </c>
      <c r="J8" s="26" t="s">
        <v>80</v>
      </c>
      <c r="K8" s="20" t="s">
        <v>80</v>
      </c>
      <c r="L8" s="20" t="s">
        <v>80</v>
      </c>
      <c r="M8" s="26" t="s">
        <v>80</v>
      </c>
      <c r="N8" s="20" t="s">
        <v>80</v>
      </c>
      <c r="O8" s="20" t="s">
        <v>80</v>
      </c>
      <c r="P8" s="26" t="s">
        <v>80</v>
      </c>
    </row>
    <row r="9" spans="1:16">
      <c r="A9" s="9" t="s">
        <v>118</v>
      </c>
      <c r="B9" s="15">
        <v>56.424581005586603</v>
      </c>
      <c r="C9" s="15">
        <v>56.424581005586603</v>
      </c>
      <c r="D9" s="26" t="s">
        <v>80</v>
      </c>
      <c r="E9" s="15">
        <v>63.3333333333333</v>
      </c>
      <c r="F9" s="15">
        <v>63.3333333333333</v>
      </c>
      <c r="G9" s="26" t="s">
        <v>80</v>
      </c>
      <c r="H9" s="15">
        <v>50</v>
      </c>
      <c r="I9" s="15">
        <v>50</v>
      </c>
      <c r="J9" s="26" t="s">
        <v>80</v>
      </c>
      <c r="K9" s="20" t="s">
        <v>80</v>
      </c>
      <c r="L9" s="20" t="s">
        <v>80</v>
      </c>
      <c r="M9" s="26" t="s">
        <v>80</v>
      </c>
      <c r="N9" s="20" t="s">
        <v>80</v>
      </c>
      <c r="O9" s="20" t="s">
        <v>80</v>
      </c>
      <c r="P9" s="26" t="s">
        <v>80</v>
      </c>
    </row>
    <row r="10" spans="1:16">
      <c r="A10" s="9" t="s">
        <v>119</v>
      </c>
      <c r="B10" s="15">
        <v>51.485148514851502</v>
      </c>
      <c r="C10" s="15">
        <v>51.485148514851502</v>
      </c>
      <c r="D10" s="26" t="s">
        <v>80</v>
      </c>
      <c r="E10" s="15">
        <v>59.090909090909101</v>
      </c>
      <c r="F10" s="15">
        <v>59.090909090909101</v>
      </c>
      <c r="G10" s="26" t="s">
        <v>80</v>
      </c>
      <c r="H10" s="15">
        <v>46.428571428571402</v>
      </c>
      <c r="I10" s="15">
        <v>46.428571428571402</v>
      </c>
      <c r="J10" s="26" t="s">
        <v>80</v>
      </c>
      <c r="K10" s="20" t="s">
        <v>80</v>
      </c>
      <c r="L10" s="20" t="s">
        <v>80</v>
      </c>
      <c r="M10" s="26" t="s">
        <v>80</v>
      </c>
      <c r="N10" s="20" t="s">
        <v>80</v>
      </c>
      <c r="O10" s="20" t="s">
        <v>80</v>
      </c>
      <c r="P10" s="26" t="s">
        <v>80</v>
      </c>
    </row>
    <row r="11" spans="1:16">
      <c r="A11" s="9" t="s">
        <v>120</v>
      </c>
      <c r="B11" s="15">
        <v>67.142857142857196</v>
      </c>
      <c r="C11" s="15">
        <v>67.142857142857196</v>
      </c>
      <c r="D11" s="26" t="s">
        <v>80</v>
      </c>
      <c r="E11" s="15">
        <v>55.882352941176499</v>
      </c>
      <c r="F11" s="15">
        <v>55.882352941176499</v>
      </c>
      <c r="G11" s="26" t="s">
        <v>80</v>
      </c>
      <c r="H11" s="15">
        <v>76.470588235294102</v>
      </c>
      <c r="I11" s="15">
        <v>76.470588235294102</v>
      </c>
      <c r="J11" s="26" t="s">
        <v>80</v>
      </c>
      <c r="K11" s="20" t="s">
        <v>80</v>
      </c>
      <c r="L11" s="20" t="s">
        <v>80</v>
      </c>
      <c r="M11" s="26" t="s">
        <v>80</v>
      </c>
      <c r="N11" s="20" t="s">
        <v>80</v>
      </c>
      <c r="O11" s="20" t="s">
        <v>80</v>
      </c>
      <c r="P11" s="26" t="s">
        <v>80</v>
      </c>
    </row>
    <row r="12" spans="1:16">
      <c r="A12" s="9" t="s">
        <v>121</v>
      </c>
      <c r="B12" s="15">
        <v>67.567567567567593</v>
      </c>
      <c r="C12" s="15">
        <v>67.567567567567593</v>
      </c>
      <c r="D12" s="26" t="s">
        <v>80</v>
      </c>
      <c r="E12" s="15">
        <v>46.6666666666667</v>
      </c>
      <c r="F12" s="15">
        <v>46.6666666666667</v>
      </c>
      <c r="G12" s="26" t="s">
        <v>80</v>
      </c>
      <c r="H12" s="15">
        <v>81.818181818181799</v>
      </c>
      <c r="I12" s="15">
        <v>81.818181818181799</v>
      </c>
      <c r="J12" s="26" t="s">
        <v>80</v>
      </c>
      <c r="K12" s="20" t="s">
        <v>80</v>
      </c>
      <c r="L12" s="20" t="s">
        <v>80</v>
      </c>
      <c r="M12" s="26" t="s">
        <v>80</v>
      </c>
      <c r="N12" s="20" t="s">
        <v>80</v>
      </c>
      <c r="O12" s="20" t="s">
        <v>80</v>
      </c>
      <c r="P12" s="26" t="s">
        <v>80</v>
      </c>
    </row>
    <row r="13" spans="1:16">
      <c r="A13" s="9" t="s">
        <v>122</v>
      </c>
      <c r="B13" s="15">
        <v>57.943925233644897</v>
      </c>
      <c r="C13" s="15">
        <v>57.943925233644897</v>
      </c>
      <c r="D13" s="26" t="s">
        <v>80</v>
      </c>
      <c r="E13" s="15">
        <v>60.344827586206897</v>
      </c>
      <c r="F13" s="15">
        <v>60.344827586206897</v>
      </c>
      <c r="G13" s="26" t="s">
        <v>80</v>
      </c>
      <c r="H13" s="15">
        <v>55.1020408163265</v>
      </c>
      <c r="I13" s="15">
        <v>55.1020408163265</v>
      </c>
      <c r="J13" s="26" t="s">
        <v>80</v>
      </c>
      <c r="K13" s="20" t="s">
        <v>80</v>
      </c>
      <c r="L13" s="20" t="s">
        <v>80</v>
      </c>
      <c r="M13" s="26" t="s">
        <v>80</v>
      </c>
      <c r="N13" s="20" t="s">
        <v>80</v>
      </c>
      <c r="O13" s="20" t="s">
        <v>80</v>
      </c>
      <c r="P13" s="26" t="s">
        <v>80</v>
      </c>
    </row>
    <row r="14" spans="1:16">
      <c r="A14" s="9" t="s">
        <v>123</v>
      </c>
      <c r="B14" s="15">
        <v>59.523809523809497</v>
      </c>
      <c r="C14" s="15">
        <v>59.523809523809497</v>
      </c>
      <c r="D14" s="26" t="s">
        <v>80</v>
      </c>
      <c r="E14" s="15">
        <v>64.864864864864899</v>
      </c>
      <c r="F14" s="15">
        <v>64.864864864864899</v>
      </c>
      <c r="G14" s="26" t="s">
        <v>80</v>
      </c>
      <c r="H14" s="15">
        <v>56.521739130434803</v>
      </c>
      <c r="I14" s="15">
        <v>56.521739130434803</v>
      </c>
      <c r="J14" s="26" t="s">
        <v>80</v>
      </c>
      <c r="K14" s="20" t="s">
        <v>80</v>
      </c>
      <c r="L14" s="20" t="s">
        <v>80</v>
      </c>
      <c r="M14" s="26" t="s">
        <v>80</v>
      </c>
      <c r="N14" s="20" t="s">
        <v>80</v>
      </c>
      <c r="O14" s="20" t="s">
        <v>80</v>
      </c>
      <c r="P14" s="26" t="s">
        <v>80</v>
      </c>
    </row>
    <row r="15" spans="1:16">
      <c r="A15" s="9" t="s">
        <v>124</v>
      </c>
      <c r="B15" s="15">
        <v>56.25</v>
      </c>
      <c r="C15" s="15">
        <v>56.25</v>
      </c>
      <c r="D15" s="26" t="s">
        <v>80</v>
      </c>
      <c r="E15" s="15">
        <v>59.701492537313399</v>
      </c>
      <c r="F15" s="15">
        <v>59.701492537313399</v>
      </c>
      <c r="G15" s="26" t="s">
        <v>80</v>
      </c>
      <c r="H15" s="15">
        <v>54.794520547945197</v>
      </c>
      <c r="I15" s="15">
        <v>54.794520547945197</v>
      </c>
      <c r="J15" s="26" t="s">
        <v>80</v>
      </c>
      <c r="K15" s="20" t="s">
        <v>80</v>
      </c>
      <c r="L15" s="20" t="s">
        <v>80</v>
      </c>
      <c r="M15" s="26" t="s">
        <v>80</v>
      </c>
      <c r="N15" s="20" t="s">
        <v>80</v>
      </c>
      <c r="O15" s="20" t="s">
        <v>80</v>
      </c>
      <c r="P15" s="26" t="s">
        <v>80</v>
      </c>
    </row>
    <row r="16" spans="1:16">
      <c r="A16" s="9" t="s">
        <v>125</v>
      </c>
      <c r="B16" s="15">
        <v>59.677419354838698</v>
      </c>
      <c r="C16" s="15">
        <v>59.677419354838698</v>
      </c>
      <c r="D16" s="26" t="s">
        <v>80</v>
      </c>
      <c r="E16" s="15">
        <v>57.5342465753425</v>
      </c>
      <c r="F16" s="15">
        <v>57.5342465753425</v>
      </c>
      <c r="G16" s="26" t="s">
        <v>80</v>
      </c>
      <c r="H16" s="15">
        <v>67.391304347826093</v>
      </c>
      <c r="I16" s="15">
        <v>67.391304347826093</v>
      </c>
      <c r="J16" s="26" t="s">
        <v>80</v>
      </c>
      <c r="K16" s="20" t="s">
        <v>80</v>
      </c>
      <c r="L16" s="20" t="s">
        <v>80</v>
      </c>
      <c r="M16" s="26" t="s">
        <v>80</v>
      </c>
      <c r="N16" s="20" t="s">
        <v>80</v>
      </c>
      <c r="O16" s="20" t="s">
        <v>80</v>
      </c>
      <c r="P16" s="26" t="s">
        <v>80</v>
      </c>
    </row>
    <row r="17" spans="1:16">
      <c r="A17" s="9" t="s">
        <v>126</v>
      </c>
      <c r="B17" s="15">
        <v>66.115702479338907</v>
      </c>
      <c r="C17" s="15">
        <v>66.115702479338907</v>
      </c>
      <c r="D17" s="26" t="s">
        <v>80</v>
      </c>
      <c r="E17" s="15">
        <v>67.857142857142804</v>
      </c>
      <c r="F17" s="15">
        <v>67.857142857142804</v>
      </c>
      <c r="G17" s="26" t="s">
        <v>80</v>
      </c>
      <c r="H17" s="15">
        <v>64.0625</v>
      </c>
      <c r="I17" s="15">
        <v>64.0625</v>
      </c>
      <c r="J17" s="26" t="s">
        <v>80</v>
      </c>
      <c r="K17" s="20" t="s">
        <v>80</v>
      </c>
      <c r="L17" s="20" t="s">
        <v>80</v>
      </c>
      <c r="M17" s="26" t="s">
        <v>80</v>
      </c>
      <c r="N17" s="20" t="s">
        <v>80</v>
      </c>
      <c r="O17" s="20" t="s">
        <v>80</v>
      </c>
      <c r="P17" s="26" t="s">
        <v>80</v>
      </c>
    </row>
    <row r="18" spans="1:16">
      <c r="A18" s="9" t="s">
        <v>127</v>
      </c>
      <c r="B18" s="15">
        <v>82.352941176470594</v>
      </c>
      <c r="C18" s="15">
        <v>82.352941176470594</v>
      </c>
      <c r="D18" s="26" t="s">
        <v>80</v>
      </c>
      <c r="E18" s="15">
        <v>84.210526315789494</v>
      </c>
      <c r="F18" s="15">
        <v>84.210526315789494</v>
      </c>
      <c r="G18" s="26" t="s">
        <v>80</v>
      </c>
      <c r="H18" s="15">
        <v>80</v>
      </c>
      <c r="I18" s="15">
        <v>80</v>
      </c>
      <c r="J18" s="26" t="s">
        <v>80</v>
      </c>
      <c r="K18" s="20" t="s">
        <v>80</v>
      </c>
      <c r="L18" s="20" t="s">
        <v>80</v>
      </c>
      <c r="M18" s="26" t="s">
        <v>80</v>
      </c>
      <c r="N18" s="20" t="s">
        <v>80</v>
      </c>
      <c r="O18" s="20" t="s">
        <v>80</v>
      </c>
      <c r="P18" s="26" t="s">
        <v>80</v>
      </c>
    </row>
    <row r="19" spans="1:16">
      <c r="A19" s="9" t="s">
        <v>128</v>
      </c>
      <c r="B19" s="15">
        <v>55.319148936170201</v>
      </c>
      <c r="C19" s="15">
        <v>55.319148936170201</v>
      </c>
      <c r="D19" s="26" t="s">
        <v>80</v>
      </c>
      <c r="E19" s="15">
        <v>54.1666666666667</v>
      </c>
      <c r="F19" s="15">
        <v>54.1666666666667</v>
      </c>
      <c r="G19" s="26" t="s">
        <v>80</v>
      </c>
      <c r="H19" s="15">
        <v>57.142857142857103</v>
      </c>
      <c r="I19" s="15">
        <v>57.142857142857103</v>
      </c>
      <c r="J19" s="26" t="s">
        <v>80</v>
      </c>
      <c r="K19" s="20" t="s">
        <v>80</v>
      </c>
      <c r="L19" s="20" t="s">
        <v>80</v>
      </c>
      <c r="M19" s="26" t="s">
        <v>80</v>
      </c>
      <c r="N19" s="20" t="s">
        <v>80</v>
      </c>
      <c r="O19" s="20" t="s">
        <v>80</v>
      </c>
      <c r="P19" s="26" t="s">
        <v>80</v>
      </c>
    </row>
    <row r="20" spans="1:16">
      <c r="A20" s="9" t="s">
        <v>129</v>
      </c>
      <c r="B20" s="15">
        <v>73.913043478260903</v>
      </c>
      <c r="C20" s="15">
        <v>73.913043478260903</v>
      </c>
      <c r="D20" s="26" t="s">
        <v>80</v>
      </c>
      <c r="E20" s="15">
        <v>81.818181818181799</v>
      </c>
      <c r="F20" s="15">
        <v>81.818181818181799</v>
      </c>
      <c r="G20" s="26" t="s">
        <v>80</v>
      </c>
      <c r="H20" s="15">
        <v>66.6666666666667</v>
      </c>
      <c r="I20" s="15">
        <v>66.6666666666667</v>
      </c>
      <c r="J20" s="26" t="s">
        <v>80</v>
      </c>
      <c r="K20" s="20" t="s">
        <v>80</v>
      </c>
      <c r="L20" s="20" t="s">
        <v>80</v>
      </c>
      <c r="M20" s="26" t="s">
        <v>80</v>
      </c>
      <c r="N20" s="20" t="s">
        <v>80</v>
      </c>
      <c r="O20" s="20" t="s">
        <v>80</v>
      </c>
      <c r="P20" s="26" t="s">
        <v>80</v>
      </c>
    </row>
    <row r="21" spans="1:16">
      <c r="A21" s="9" t="s">
        <v>130</v>
      </c>
      <c r="B21" s="15">
        <v>67.441860465116307</v>
      </c>
      <c r="C21" s="15">
        <v>67.441860465116307</v>
      </c>
      <c r="D21" s="26" t="s">
        <v>80</v>
      </c>
      <c r="E21" s="15">
        <v>62.962962962962997</v>
      </c>
      <c r="F21" s="15">
        <v>62.962962962962997</v>
      </c>
      <c r="G21" s="26" t="s">
        <v>80</v>
      </c>
      <c r="H21" s="15">
        <v>75</v>
      </c>
      <c r="I21" s="15">
        <v>75</v>
      </c>
      <c r="J21" s="26" t="s">
        <v>80</v>
      </c>
      <c r="K21" s="20" t="s">
        <v>80</v>
      </c>
      <c r="L21" s="20" t="s">
        <v>80</v>
      </c>
      <c r="M21" s="26" t="s">
        <v>80</v>
      </c>
      <c r="N21" s="20" t="s">
        <v>80</v>
      </c>
      <c r="O21" s="20" t="s">
        <v>80</v>
      </c>
      <c r="P21" s="26" t="s">
        <v>80</v>
      </c>
    </row>
    <row r="22" spans="1:16">
      <c r="A22" s="9" t="s">
        <v>131</v>
      </c>
      <c r="B22" s="15">
        <v>53.571428571428598</v>
      </c>
      <c r="C22" s="15">
        <v>53.571428571428598</v>
      </c>
      <c r="D22" s="26" t="s">
        <v>80</v>
      </c>
      <c r="E22" s="15">
        <v>62.068965517241402</v>
      </c>
      <c r="F22" s="15">
        <v>62.068965517241402</v>
      </c>
      <c r="G22" s="26" t="s">
        <v>80</v>
      </c>
      <c r="H22" s="15">
        <v>45.8333333333333</v>
      </c>
      <c r="I22" s="15">
        <v>45.8333333333333</v>
      </c>
      <c r="J22" s="26" t="s">
        <v>80</v>
      </c>
      <c r="K22" s="20" t="s">
        <v>80</v>
      </c>
      <c r="L22" s="20" t="s">
        <v>80</v>
      </c>
      <c r="M22" s="26" t="s">
        <v>80</v>
      </c>
      <c r="N22" s="20" t="s">
        <v>80</v>
      </c>
      <c r="O22" s="20" t="s">
        <v>80</v>
      </c>
      <c r="P22" s="26" t="s">
        <v>80</v>
      </c>
    </row>
    <row r="23" spans="1:16">
      <c r="A23" s="9" t="s">
        <v>132</v>
      </c>
      <c r="B23" s="15">
        <v>55.2631578947368</v>
      </c>
      <c r="C23" s="15">
        <v>55.2631578947368</v>
      </c>
      <c r="D23" s="26" t="s">
        <v>80</v>
      </c>
      <c r="E23" s="15">
        <v>58.823529411764703</v>
      </c>
      <c r="F23" s="15">
        <v>58.823529411764703</v>
      </c>
      <c r="G23" s="26" t="s">
        <v>80</v>
      </c>
      <c r="H23" s="15">
        <v>52.631578947368403</v>
      </c>
      <c r="I23" s="15">
        <v>52.631578947368403</v>
      </c>
      <c r="J23" s="26" t="s">
        <v>80</v>
      </c>
      <c r="K23" s="20" t="s">
        <v>80</v>
      </c>
      <c r="L23" s="20" t="s">
        <v>80</v>
      </c>
      <c r="M23" s="26" t="s">
        <v>80</v>
      </c>
      <c r="N23" s="20" t="s">
        <v>80</v>
      </c>
      <c r="O23" s="20" t="s">
        <v>80</v>
      </c>
      <c r="P23" s="26" t="s">
        <v>80</v>
      </c>
    </row>
    <row r="24" spans="1:16">
      <c r="A24" s="9" t="s">
        <v>133</v>
      </c>
      <c r="B24" s="15">
        <v>56.521739130434803</v>
      </c>
      <c r="C24" s="15">
        <v>56.521739130434803</v>
      </c>
      <c r="D24" s="26" t="s">
        <v>80</v>
      </c>
      <c r="E24" s="15">
        <v>55.5555555555556</v>
      </c>
      <c r="F24" s="15">
        <v>55.5555555555556</v>
      </c>
      <c r="G24" s="26" t="s">
        <v>80</v>
      </c>
      <c r="H24" s="15">
        <v>55.5555555555556</v>
      </c>
      <c r="I24" s="15">
        <v>55.5555555555556</v>
      </c>
      <c r="J24" s="26" t="s">
        <v>80</v>
      </c>
      <c r="K24" s="20" t="s">
        <v>80</v>
      </c>
      <c r="L24" s="20" t="s">
        <v>80</v>
      </c>
      <c r="M24" s="26" t="s">
        <v>80</v>
      </c>
      <c r="N24" s="20" t="s">
        <v>80</v>
      </c>
      <c r="O24" s="20" t="s">
        <v>80</v>
      </c>
      <c r="P24" s="26" t="s">
        <v>80</v>
      </c>
    </row>
    <row r="25" spans="1:16">
      <c r="A25" s="9" t="s">
        <v>134</v>
      </c>
      <c r="B25" s="15">
        <v>67.567567567567593</v>
      </c>
      <c r="C25" s="15">
        <v>67.567567567567593</v>
      </c>
      <c r="D25" s="26" t="s">
        <v>80</v>
      </c>
      <c r="E25" s="15">
        <v>69.642857142857096</v>
      </c>
      <c r="F25" s="15">
        <v>69.642857142857096</v>
      </c>
      <c r="G25" s="26" t="s">
        <v>80</v>
      </c>
      <c r="H25" s="15">
        <v>64.705882352941202</v>
      </c>
      <c r="I25" s="15">
        <v>64.705882352941202</v>
      </c>
      <c r="J25" s="26" t="s">
        <v>80</v>
      </c>
      <c r="K25" s="20" t="s">
        <v>80</v>
      </c>
      <c r="L25" s="20" t="s">
        <v>80</v>
      </c>
      <c r="M25" s="26" t="s">
        <v>80</v>
      </c>
      <c r="N25" s="20" t="s">
        <v>80</v>
      </c>
      <c r="O25" s="20" t="s">
        <v>80</v>
      </c>
      <c r="P25" s="26" t="s">
        <v>80</v>
      </c>
    </row>
    <row r="26" spans="1:16">
      <c r="A26" s="9" t="s">
        <v>135</v>
      </c>
      <c r="B26" s="15">
        <v>41.6666666666667</v>
      </c>
      <c r="C26" s="15">
        <v>41.6666666666667</v>
      </c>
      <c r="D26" s="26" t="s">
        <v>80</v>
      </c>
      <c r="E26" s="15">
        <v>38.095238095238102</v>
      </c>
      <c r="F26" s="15">
        <v>38.095238095238102</v>
      </c>
      <c r="G26" s="26" t="s">
        <v>80</v>
      </c>
      <c r="H26" s="15">
        <v>43.3333333333333</v>
      </c>
      <c r="I26" s="15">
        <v>43.3333333333333</v>
      </c>
      <c r="J26" s="26" t="s">
        <v>80</v>
      </c>
      <c r="K26" s="20" t="s">
        <v>80</v>
      </c>
      <c r="L26" s="20" t="s">
        <v>80</v>
      </c>
      <c r="M26" s="26" t="s">
        <v>80</v>
      </c>
      <c r="N26" s="20" t="s">
        <v>80</v>
      </c>
      <c r="O26" s="20" t="s">
        <v>80</v>
      </c>
      <c r="P26" s="26" t="s">
        <v>80</v>
      </c>
    </row>
    <row r="27" spans="1:16">
      <c r="A27" s="9" t="s">
        <v>136</v>
      </c>
      <c r="B27" s="15">
        <v>65.517241379310306</v>
      </c>
      <c r="C27" s="15">
        <v>65.517241379310306</v>
      </c>
      <c r="D27" s="26" t="s">
        <v>80</v>
      </c>
      <c r="E27" s="15">
        <v>66.6666666666667</v>
      </c>
      <c r="F27" s="15">
        <v>66.6666666666667</v>
      </c>
      <c r="G27" s="26" t="s">
        <v>80</v>
      </c>
      <c r="H27" s="15">
        <v>64.285714285714306</v>
      </c>
      <c r="I27" s="15">
        <v>64.285714285714306</v>
      </c>
      <c r="J27" s="26" t="s">
        <v>80</v>
      </c>
      <c r="K27" s="20" t="s">
        <v>80</v>
      </c>
      <c r="L27" s="20" t="s">
        <v>80</v>
      </c>
      <c r="M27" s="26" t="s">
        <v>80</v>
      </c>
      <c r="N27" s="20" t="s">
        <v>80</v>
      </c>
      <c r="O27" s="20" t="s">
        <v>80</v>
      </c>
      <c r="P27" s="26" t="s">
        <v>80</v>
      </c>
    </row>
    <row r="28" spans="1:16">
      <c r="A28" s="9" t="s">
        <v>137</v>
      </c>
      <c r="B28" s="15">
        <v>63.043478260869598</v>
      </c>
      <c r="C28" s="15">
        <v>63.043478260869598</v>
      </c>
      <c r="D28" s="26" t="s">
        <v>80</v>
      </c>
      <c r="E28" s="15">
        <v>63.636363636363598</v>
      </c>
      <c r="F28" s="15">
        <v>63.636363636363598</v>
      </c>
      <c r="G28" s="26" t="s">
        <v>80</v>
      </c>
      <c r="H28" s="15">
        <v>57.142857142857103</v>
      </c>
      <c r="I28" s="15">
        <v>57.142857142857103</v>
      </c>
      <c r="J28" s="26" t="s">
        <v>80</v>
      </c>
      <c r="K28" s="20" t="s">
        <v>80</v>
      </c>
      <c r="L28" s="20" t="s">
        <v>80</v>
      </c>
      <c r="M28" s="26" t="s">
        <v>80</v>
      </c>
      <c r="N28" s="20" t="s">
        <v>80</v>
      </c>
      <c r="O28" s="20" t="s">
        <v>80</v>
      </c>
      <c r="P28" s="26" t="s">
        <v>80</v>
      </c>
    </row>
    <row r="29" spans="1:16">
      <c r="A29" s="9" t="s">
        <v>138</v>
      </c>
      <c r="B29" s="15">
        <v>86.363636363636402</v>
      </c>
      <c r="C29" s="15">
        <v>86.363636363636402</v>
      </c>
      <c r="D29" s="26" t="s">
        <v>80</v>
      </c>
      <c r="E29" s="15">
        <v>75</v>
      </c>
      <c r="F29" s="15">
        <v>75</v>
      </c>
      <c r="G29" s="26" t="s">
        <v>80</v>
      </c>
      <c r="H29" s="15">
        <v>92.857142857142804</v>
      </c>
      <c r="I29" s="15">
        <v>92.857142857142804</v>
      </c>
      <c r="J29" s="26" t="s">
        <v>80</v>
      </c>
      <c r="K29" s="20" t="s">
        <v>80</v>
      </c>
      <c r="L29" s="20" t="s">
        <v>80</v>
      </c>
      <c r="M29" s="26" t="s">
        <v>80</v>
      </c>
      <c r="N29" s="20" t="s">
        <v>80</v>
      </c>
      <c r="O29" s="20" t="s">
        <v>80</v>
      </c>
      <c r="P29" s="26" t="s">
        <v>80</v>
      </c>
    </row>
    <row r="30" spans="1:16">
      <c r="A30" s="9" t="s">
        <v>139</v>
      </c>
      <c r="B30" s="15">
        <v>69.047619047619094</v>
      </c>
      <c r="C30" s="15">
        <v>69.047619047619094</v>
      </c>
      <c r="D30" s="26" t="s">
        <v>80</v>
      </c>
      <c r="E30" s="15">
        <v>68.421052631578902</v>
      </c>
      <c r="F30" s="15">
        <v>68.421052631578902</v>
      </c>
      <c r="G30" s="26" t="s">
        <v>80</v>
      </c>
      <c r="H30" s="15">
        <v>71.428571428571402</v>
      </c>
      <c r="I30" s="15">
        <v>71.428571428571402</v>
      </c>
      <c r="J30" s="26" t="s">
        <v>80</v>
      </c>
      <c r="K30" s="20" t="s">
        <v>80</v>
      </c>
      <c r="L30" s="20" t="s">
        <v>80</v>
      </c>
      <c r="M30" s="26" t="s">
        <v>80</v>
      </c>
      <c r="N30" s="20" t="s">
        <v>80</v>
      </c>
      <c r="O30" s="20" t="s">
        <v>80</v>
      </c>
      <c r="P30" s="26" t="s">
        <v>80</v>
      </c>
    </row>
    <row r="31" spans="1:16">
      <c r="A31" s="9" t="s">
        <v>140</v>
      </c>
      <c r="B31" s="15">
        <v>73.913043478260903</v>
      </c>
      <c r="C31" s="15">
        <v>73.913043478260903</v>
      </c>
      <c r="D31" s="26" t="s">
        <v>80</v>
      </c>
      <c r="E31" s="15">
        <v>72.413793103448299</v>
      </c>
      <c r="F31" s="15">
        <v>72.413793103448299</v>
      </c>
      <c r="G31" s="26" t="s">
        <v>80</v>
      </c>
      <c r="H31" s="15">
        <v>75</v>
      </c>
      <c r="I31" s="15">
        <v>75</v>
      </c>
      <c r="J31" s="26" t="s">
        <v>80</v>
      </c>
      <c r="K31" s="20" t="s">
        <v>80</v>
      </c>
      <c r="L31" s="20" t="s">
        <v>80</v>
      </c>
      <c r="M31" s="26" t="s">
        <v>80</v>
      </c>
      <c r="N31" s="20" t="s">
        <v>80</v>
      </c>
      <c r="O31" s="20" t="s">
        <v>80</v>
      </c>
      <c r="P31" s="26" t="s">
        <v>80</v>
      </c>
    </row>
    <row r="32" spans="1:16">
      <c r="A32" s="9" t="s">
        <v>141</v>
      </c>
      <c r="B32" s="15">
        <v>66.6666666666667</v>
      </c>
      <c r="C32" s="15">
        <v>66.6666666666667</v>
      </c>
      <c r="D32" s="26" t="s">
        <v>80</v>
      </c>
      <c r="E32" s="15">
        <v>68.75</v>
      </c>
      <c r="F32" s="15">
        <v>68.75</v>
      </c>
      <c r="G32" s="26" t="s">
        <v>80</v>
      </c>
      <c r="H32" s="15">
        <v>68.75</v>
      </c>
      <c r="I32" s="15">
        <v>68.75</v>
      </c>
      <c r="J32" s="26" t="s">
        <v>80</v>
      </c>
      <c r="K32" s="20" t="s">
        <v>80</v>
      </c>
      <c r="L32" s="20" t="s">
        <v>80</v>
      </c>
      <c r="M32" s="26" t="s">
        <v>80</v>
      </c>
      <c r="N32" s="20" t="s">
        <v>80</v>
      </c>
      <c r="O32" s="20" t="s">
        <v>80</v>
      </c>
      <c r="P32" s="26" t="s">
        <v>80</v>
      </c>
    </row>
    <row r="33" spans="1:16">
      <c r="A33" s="9" t="s">
        <v>142</v>
      </c>
      <c r="B33" s="15">
        <v>61.363636363636402</v>
      </c>
      <c r="C33" s="15">
        <v>61.363636363636402</v>
      </c>
      <c r="D33" s="26" t="s">
        <v>80</v>
      </c>
      <c r="E33" s="15">
        <v>52</v>
      </c>
      <c r="F33" s="15">
        <v>52</v>
      </c>
      <c r="G33" s="26" t="s">
        <v>80</v>
      </c>
      <c r="H33" s="15">
        <v>72.2222222222222</v>
      </c>
      <c r="I33" s="15">
        <v>72.2222222222222</v>
      </c>
      <c r="J33" s="26" t="s">
        <v>80</v>
      </c>
      <c r="K33" s="20" t="s">
        <v>80</v>
      </c>
      <c r="L33" s="20" t="s">
        <v>80</v>
      </c>
      <c r="M33" s="26" t="s">
        <v>80</v>
      </c>
      <c r="N33" s="20" t="s">
        <v>80</v>
      </c>
      <c r="O33" s="20" t="s">
        <v>80</v>
      </c>
      <c r="P33" s="26" t="s">
        <v>80</v>
      </c>
    </row>
    <row r="34" spans="1:16">
      <c r="A34" s="9" t="s">
        <v>143</v>
      </c>
      <c r="B34" s="15">
        <v>93.3333333333333</v>
      </c>
      <c r="C34" s="15">
        <v>93.3333333333333</v>
      </c>
      <c r="D34" s="26" t="s">
        <v>80</v>
      </c>
      <c r="E34" s="20" t="s">
        <v>80</v>
      </c>
      <c r="F34" s="20" t="s">
        <v>80</v>
      </c>
      <c r="G34" s="26" t="s">
        <v>80</v>
      </c>
      <c r="H34" s="15">
        <v>100</v>
      </c>
      <c r="I34" s="15">
        <v>100</v>
      </c>
      <c r="J34" s="26" t="s">
        <v>80</v>
      </c>
      <c r="K34" s="20" t="s">
        <v>80</v>
      </c>
      <c r="L34" s="20" t="s">
        <v>80</v>
      </c>
      <c r="M34" s="26" t="s">
        <v>80</v>
      </c>
      <c r="N34" s="20" t="s">
        <v>80</v>
      </c>
      <c r="O34" s="20" t="s">
        <v>80</v>
      </c>
      <c r="P34" s="26" t="s">
        <v>80</v>
      </c>
    </row>
    <row r="35" spans="1:16">
      <c r="A35" s="9" t="s">
        <v>144</v>
      </c>
      <c r="B35" s="15">
        <v>62.365591397849499</v>
      </c>
      <c r="C35" s="15">
        <v>62.365591397849499</v>
      </c>
      <c r="D35" s="26" t="s">
        <v>80</v>
      </c>
      <c r="E35" s="15">
        <v>64.4444444444444</v>
      </c>
      <c r="F35" s="15">
        <v>64.4444444444444</v>
      </c>
      <c r="G35" s="26" t="s">
        <v>80</v>
      </c>
      <c r="H35" s="15">
        <v>60</v>
      </c>
      <c r="I35" s="15">
        <v>60</v>
      </c>
      <c r="J35" s="26" t="s">
        <v>80</v>
      </c>
      <c r="K35" s="20" t="s">
        <v>80</v>
      </c>
      <c r="L35" s="20" t="s">
        <v>80</v>
      </c>
      <c r="M35" s="26" t="s">
        <v>80</v>
      </c>
      <c r="N35" s="20" t="s">
        <v>80</v>
      </c>
      <c r="O35" s="20" t="s">
        <v>80</v>
      </c>
      <c r="P35" s="26" t="s">
        <v>80</v>
      </c>
    </row>
    <row r="36" spans="1:16">
      <c r="A36" s="9" t="s">
        <v>145</v>
      </c>
      <c r="B36" s="15">
        <v>58.928571428571402</v>
      </c>
      <c r="C36" s="15">
        <v>58.928571428571402</v>
      </c>
      <c r="D36" s="26" t="s">
        <v>80</v>
      </c>
      <c r="E36" s="15">
        <v>61.538461538461497</v>
      </c>
      <c r="F36" s="15">
        <v>61.538461538461497</v>
      </c>
      <c r="G36" s="26" t="s">
        <v>80</v>
      </c>
      <c r="H36" s="15">
        <v>54.1666666666667</v>
      </c>
      <c r="I36" s="15">
        <v>54.1666666666667</v>
      </c>
      <c r="J36" s="26" t="s">
        <v>80</v>
      </c>
      <c r="K36" s="20" t="s">
        <v>80</v>
      </c>
      <c r="L36" s="20" t="s">
        <v>80</v>
      </c>
      <c r="M36" s="26" t="s">
        <v>80</v>
      </c>
      <c r="N36" s="20" t="s">
        <v>80</v>
      </c>
      <c r="O36" s="20" t="s">
        <v>80</v>
      </c>
      <c r="P36" s="26" t="s">
        <v>80</v>
      </c>
    </row>
    <row r="37" spans="1:16" ht="21.9" customHeight="1">
      <c r="A37" s="22" t="s">
        <v>146</v>
      </c>
      <c r="B37" s="15">
        <v>59.328238345903998</v>
      </c>
      <c r="C37" s="20" t="s">
        <v>80</v>
      </c>
      <c r="D37" s="24">
        <v>59.328238345903998</v>
      </c>
      <c r="E37" s="15">
        <v>61.934172392142997</v>
      </c>
      <c r="F37" s="20" t="s">
        <v>80</v>
      </c>
      <c r="G37" s="24">
        <v>61.934172392142997</v>
      </c>
      <c r="H37" s="15">
        <v>57.6492163137045</v>
      </c>
      <c r="I37" s="20" t="s">
        <v>80</v>
      </c>
      <c r="J37" s="24">
        <v>57.6492163137045</v>
      </c>
      <c r="K37" s="20" t="s">
        <v>80</v>
      </c>
      <c r="L37" s="20" t="s">
        <v>80</v>
      </c>
      <c r="M37" s="26" t="s">
        <v>80</v>
      </c>
      <c r="N37" s="20" t="s">
        <v>80</v>
      </c>
      <c r="O37" s="20" t="s">
        <v>80</v>
      </c>
      <c r="P37" s="26" t="s">
        <v>80</v>
      </c>
    </row>
    <row r="38" spans="1:16">
      <c r="A38" s="9" t="s">
        <v>147</v>
      </c>
      <c r="B38" s="15">
        <v>52.218934911242599</v>
      </c>
      <c r="C38" s="20" t="s">
        <v>80</v>
      </c>
      <c r="D38" s="24">
        <v>52.218934911242599</v>
      </c>
      <c r="E38" s="15">
        <v>57.605177993527498</v>
      </c>
      <c r="F38" s="20" t="s">
        <v>80</v>
      </c>
      <c r="G38" s="24">
        <v>57.605177993527498</v>
      </c>
      <c r="H38" s="15">
        <v>49.117647058823501</v>
      </c>
      <c r="I38" s="20" t="s">
        <v>80</v>
      </c>
      <c r="J38" s="24">
        <v>49.117647058823501</v>
      </c>
      <c r="K38" s="20" t="s">
        <v>80</v>
      </c>
      <c r="L38" s="20" t="s">
        <v>80</v>
      </c>
      <c r="M38" s="26" t="s">
        <v>80</v>
      </c>
      <c r="N38" s="15">
        <v>38.8888888888889</v>
      </c>
      <c r="O38" s="20" t="s">
        <v>80</v>
      </c>
      <c r="P38" s="24">
        <v>38.8888888888889</v>
      </c>
    </row>
    <row r="39" spans="1:16">
      <c r="A39" s="9" t="s">
        <v>148</v>
      </c>
      <c r="B39" s="15">
        <v>48.366013071895402</v>
      </c>
      <c r="C39" s="20" t="s">
        <v>80</v>
      </c>
      <c r="D39" s="24">
        <v>48.366013071895402</v>
      </c>
      <c r="E39" s="15">
        <v>46.825396825396801</v>
      </c>
      <c r="F39" s="20" t="s">
        <v>80</v>
      </c>
      <c r="G39" s="24">
        <v>46.825396825396801</v>
      </c>
      <c r="H39" s="15">
        <v>51.0416666666667</v>
      </c>
      <c r="I39" s="20" t="s">
        <v>80</v>
      </c>
      <c r="J39" s="24">
        <v>51.0416666666667</v>
      </c>
      <c r="K39" s="20" t="s">
        <v>80</v>
      </c>
      <c r="L39" s="20" t="s">
        <v>80</v>
      </c>
      <c r="M39" s="26" t="s">
        <v>80</v>
      </c>
      <c r="N39" s="20" t="s">
        <v>80</v>
      </c>
      <c r="O39" s="20" t="s">
        <v>80</v>
      </c>
      <c r="P39" s="26" t="s">
        <v>80</v>
      </c>
    </row>
    <row r="40" spans="1:16">
      <c r="A40" s="9" t="s">
        <v>149</v>
      </c>
      <c r="B40" s="15">
        <v>59.090909090909101</v>
      </c>
      <c r="C40" s="20" t="s">
        <v>80</v>
      </c>
      <c r="D40" s="24">
        <v>59.090909090909101</v>
      </c>
      <c r="E40" s="15">
        <v>65.853658536585399</v>
      </c>
      <c r="F40" s="20" t="s">
        <v>80</v>
      </c>
      <c r="G40" s="24">
        <v>65.853658536585399</v>
      </c>
      <c r="H40" s="15">
        <v>57.407407407407398</v>
      </c>
      <c r="I40" s="20" t="s">
        <v>80</v>
      </c>
      <c r="J40" s="24">
        <v>57.407407407407398</v>
      </c>
      <c r="K40" s="20" t="s">
        <v>80</v>
      </c>
      <c r="L40" s="20" t="s">
        <v>80</v>
      </c>
      <c r="M40" s="26" t="s">
        <v>80</v>
      </c>
      <c r="N40" s="20" t="s">
        <v>80</v>
      </c>
      <c r="O40" s="20" t="s">
        <v>80</v>
      </c>
      <c r="P40" s="26" t="s">
        <v>80</v>
      </c>
    </row>
    <row r="41" spans="1:16">
      <c r="A41" s="9" t="s">
        <v>150</v>
      </c>
      <c r="B41" s="15">
        <v>75.182481751824795</v>
      </c>
      <c r="C41" s="20" t="s">
        <v>80</v>
      </c>
      <c r="D41" s="24">
        <v>75.182481751824795</v>
      </c>
      <c r="E41" s="15">
        <v>80.2816901408451</v>
      </c>
      <c r="F41" s="20" t="s">
        <v>80</v>
      </c>
      <c r="G41" s="24">
        <v>80.2816901408451</v>
      </c>
      <c r="H41" s="15">
        <v>69.491525423728802</v>
      </c>
      <c r="I41" s="20" t="s">
        <v>80</v>
      </c>
      <c r="J41" s="24">
        <v>69.491525423728802</v>
      </c>
      <c r="K41" s="20" t="s">
        <v>80</v>
      </c>
      <c r="L41" s="20" t="s">
        <v>80</v>
      </c>
      <c r="M41" s="26" t="s">
        <v>80</v>
      </c>
      <c r="N41" s="20" t="s">
        <v>80</v>
      </c>
      <c r="O41" s="20" t="s">
        <v>80</v>
      </c>
      <c r="P41" s="26" t="s">
        <v>80</v>
      </c>
    </row>
    <row r="42" spans="1:16">
      <c r="A42" s="9" t="s">
        <v>151</v>
      </c>
      <c r="B42" s="15">
        <v>61.676646706586801</v>
      </c>
      <c r="C42" s="20" t="s">
        <v>80</v>
      </c>
      <c r="D42" s="24">
        <v>61.676646706586801</v>
      </c>
      <c r="E42" s="15">
        <v>65.432098765432102</v>
      </c>
      <c r="F42" s="20" t="s">
        <v>80</v>
      </c>
      <c r="G42" s="24">
        <v>65.432098765432102</v>
      </c>
      <c r="H42" s="15">
        <v>58.823529411764703</v>
      </c>
      <c r="I42" s="20" t="s">
        <v>80</v>
      </c>
      <c r="J42" s="24">
        <v>58.823529411764703</v>
      </c>
      <c r="K42" s="20" t="s">
        <v>80</v>
      </c>
      <c r="L42" s="20" t="s">
        <v>80</v>
      </c>
      <c r="M42" s="26" t="s">
        <v>80</v>
      </c>
      <c r="N42" s="15">
        <v>50</v>
      </c>
      <c r="O42" s="20" t="s">
        <v>80</v>
      </c>
      <c r="P42" s="24">
        <v>50</v>
      </c>
    </row>
    <row r="43" spans="1:16">
      <c r="A43" s="9" t="s">
        <v>152</v>
      </c>
      <c r="B43" s="15">
        <v>59.701492537313399</v>
      </c>
      <c r="C43" s="20" t="s">
        <v>80</v>
      </c>
      <c r="D43" s="24">
        <v>59.701492537313399</v>
      </c>
      <c r="E43" s="15">
        <v>60</v>
      </c>
      <c r="F43" s="20" t="s">
        <v>80</v>
      </c>
      <c r="G43" s="24">
        <v>60</v>
      </c>
      <c r="H43" s="15">
        <v>60.189573459715596</v>
      </c>
      <c r="I43" s="20" t="s">
        <v>80</v>
      </c>
      <c r="J43" s="24">
        <v>60.189573459715596</v>
      </c>
      <c r="K43" s="15">
        <v>62.5</v>
      </c>
      <c r="L43" s="20" t="s">
        <v>80</v>
      </c>
      <c r="M43" s="24">
        <v>62.5</v>
      </c>
      <c r="N43" s="20" t="s">
        <v>80</v>
      </c>
      <c r="O43" s="20" t="s">
        <v>80</v>
      </c>
      <c r="P43" s="26" t="s">
        <v>80</v>
      </c>
    </row>
    <row r="44" spans="1:16">
      <c r="A44" s="9" t="s">
        <v>153</v>
      </c>
      <c r="B44" s="15">
        <v>69.117647058823493</v>
      </c>
      <c r="C44" s="20" t="s">
        <v>80</v>
      </c>
      <c r="D44" s="24">
        <v>69.117647058823493</v>
      </c>
      <c r="E44" s="15">
        <v>71.212121212121204</v>
      </c>
      <c r="F44" s="20" t="s">
        <v>80</v>
      </c>
      <c r="G44" s="24">
        <v>71.212121212121204</v>
      </c>
      <c r="H44" s="15">
        <v>70.3125</v>
      </c>
      <c r="I44" s="20" t="s">
        <v>80</v>
      </c>
      <c r="J44" s="24">
        <v>70.3125</v>
      </c>
      <c r="K44" s="20" t="s">
        <v>80</v>
      </c>
      <c r="L44" s="20" t="s">
        <v>80</v>
      </c>
      <c r="M44" s="26" t="s">
        <v>80</v>
      </c>
      <c r="N44" s="20" t="s">
        <v>80</v>
      </c>
      <c r="O44" s="20" t="s">
        <v>80</v>
      </c>
      <c r="P44" s="26" t="s">
        <v>80</v>
      </c>
    </row>
    <row r="45" spans="1:16">
      <c r="A45" s="11" t="s">
        <v>154</v>
      </c>
      <c r="B45" s="16">
        <v>73.030303030303003</v>
      </c>
      <c r="C45" s="28" t="s">
        <v>80</v>
      </c>
      <c r="D45" s="25">
        <v>73.030303030303003</v>
      </c>
      <c r="E45" s="16">
        <v>79.393939393939405</v>
      </c>
      <c r="F45" s="28" t="s">
        <v>80</v>
      </c>
      <c r="G45" s="25">
        <v>79.393939393939405</v>
      </c>
      <c r="H45" s="16">
        <v>66.451612903225794</v>
      </c>
      <c r="I45" s="28" t="s">
        <v>80</v>
      </c>
      <c r="J45" s="25">
        <v>66.451612903225794</v>
      </c>
      <c r="K45" s="28" t="s">
        <v>80</v>
      </c>
      <c r="L45" s="28" t="s">
        <v>80</v>
      </c>
      <c r="M45" s="29" t="s">
        <v>80</v>
      </c>
      <c r="N45" s="16">
        <v>85.714285714285694</v>
      </c>
      <c r="O45" s="28" t="s">
        <v>80</v>
      </c>
      <c r="P45" s="25">
        <v>85.714285714285694</v>
      </c>
    </row>
    <row r="46" spans="1:16" ht="30" customHeight="1">
      <c r="A46" t="s">
        <v>155</v>
      </c>
    </row>
    <row r="47" spans="1:16">
      <c r="A47" t="s">
        <v>93</v>
      </c>
    </row>
    <row r="48" spans="1:16">
      <c r="A48" t="s">
        <v>94</v>
      </c>
    </row>
    <row r="49" spans="1:1">
      <c r="A49" t="s">
        <v>95</v>
      </c>
    </row>
    <row r="50" spans="1:1">
      <c r="A50" t="s">
        <v>96</v>
      </c>
    </row>
    <row r="51" spans="1:1">
      <c r="A51" t="s">
        <v>97</v>
      </c>
    </row>
    <row r="52" spans="1:1">
      <c r="A5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2"/>
  <sheetViews>
    <sheetView zoomScale="70" workbookViewId="0"/>
  </sheetViews>
  <sheetFormatPr defaultColWidth="10.90625" defaultRowHeight="15"/>
  <cols>
    <col min="1" max="1" width="51.6796875" customWidth="1"/>
    <col min="2" max="16" width="15.90625" customWidth="1"/>
  </cols>
  <sheetData>
    <row r="1" spans="1:16" ht="39.9" customHeight="1">
      <c r="A1" s="10" t="s">
        <v>159</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97.158281712586799</v>
      </c>
      <c r="C3" s="15">
        <v>98.145931468014396</v>
      </c>
      <c r="D3" s="24">
        <v>96.342088286541298</v>
      </c>
      <c r="E3" s="15">
        <v>97.462224342863607</v>
      </c>
      <c r="F3" s="15">
        <v>98.297997676545904</v>
      </c>
      <c r="G3" s="24">
        <v>96.761147019620793</v>
      </c>
      <c r="H3" s="15">
        <v>96.942823315686994</v>
      </c>
      <c r="I3" s="15">
        <v>97.991250504636398</v>
      </c>
      <c r="J3" s="24">
        <v>96.061560767749398</v>
      </c>
      <c r="K3" s="15">
        <v>96.805723840536004</v>
      </c>
      <c r="L3" s="15">
        <v>98.8287646086481</v>
      </c>
      <c r="M3" s="24">
        <v>96.295618152323698</v>
      </c>
      <c r="N3" s="15">
        <v>94.996182240277093</v>
      </c>
      <c r="O3" s="15">
        <v>97.827578136239097</v>
      </c>
      <c r="P3" s="24">
        <v>92.948433926022204</v>
      </c>
    </row>
    <row r="4" spans="1:16" ht="21.9" customHeight="1">
      <c r="A4" s="22" t="s">
        <v>19</v>
      </c>
      <c r="B4" s="15">
        <v>97.321836746232194</v>
      </c>
      <c r="C4" s="15">
        <v>98.110146543153107</v>
      </c>
      <c r="D4" s="24">
        <v>96.675269213559801</v>
      </c>
      <c r="E4" s="15">
        <v>97.5884227206421</v>
      </c>
      <c r="F4" s="15">
        <v>98.297875187283793</v>
      </c>
      <c r="G4" s="24">
        <v>96.995425751564298</v>
      </c>
      <c r="H4" s="15">
        <v>97.171795948092495</v>
      </c>
      <c r="I4" s="15">
        <v>97.9534863629722</v>
      </c>
      <c r="J4" s="24">
        <v>96.529221137366207</v>
      </c>
      <c r="K4" s="15">
        <v>96.430971612630898</v>
      </c>
      <c r="L4" s="15">
        <v>99.101364680404203</v>
      </c>
      <c r="M4" s="24">
        <v>95.609110421991502</v>
      </c>
      <c r="N4" s="15">
        <v>94.708799657604899</v>
      </c>
      <c r="O4" s="15">
        <v>96.778139614293295</v>
      </c>
      <c r="P4" s="24">
        <v>93.087988210287605</v>
      </c>
    </row>
    <row r="5" spans="1:16" ht="21.9" customHeight="1">
      <c r="A5" s="22" t="s">
        <v>20</v>
      </c>
      <c r="B5" s="15">
        <v>97.645357879071696</v>
      </c>
      <c r="C5" s="15">
        <v>98.786615464953996</v>
      </c>
      <c r="D5" s="24">
        <v>96.646921062331899</v>
      </c>
      <c r="E5" s="15">
        <v>97.819896405757603</v>
      </c>
      <c r="F5" s="15">
        <v>98.825296715069896</v>
      </c>
      <c r="G5" s="24">
        <v>96.935146112898494</v>
      </c>
      <c r="H5" s="15">
        <v>97.757354620219601</v>
      </c>
      <c r="I5" s="15">
        <v>98.996249035301702</v>
      </c>
      <c r="J5" s="24">
        <v>96.663734352739397</v>
      </c>
      <c r="K5" s="15">
        <v>94.204569334248902</v>
      </c>
      <c r="L5" s="20" t="s">
        <v>80</v>
      </c>
      <c r="M5" s="24">
        <v>93.408624037612299</v>
      </c>
      <c r="N5" s="15">
        <v>92.830165619478194</v>
      </c>
      <c r="O5" s="15">
        <v>93.992751900948804</v>
      </c>
      <c r="P5" s="24">
        <v>91.824409976028306</v>
      </c>
    </row>
    <row r="6" spans="1:16" ht="21.9" customHeight="1">
      <c r="A6" s="22" t="s">
        <v>115</v>
      </c>
      <c r="B6" s="15">
        <v>98.786615464953996</v>
      </c>
      <c r="C6" s="15">
        <v>98.786615464953996</v>
      </c>
      <c r="D6" s="26" t="s">
        <v>80</v>
      </c>
      <c r="E6" s="15">
        <v>98.825296715069896</v>
      </c>
      <c r="F6" s="15">
        <v>98.825296715069896</v>
      </c>
      <c r="G6" s="26" t="s">
        <v>80</v>
      </c>
      <c r="H6" s="15">
        <v>98.996249035301702</v>
      </c>
      <c r="I6" s="15">
        <v>98.996249035301702</v>
      </c>
      <c r="J6" s="26" t="s">
        <v>80</v>
      </c>
      <c r="K6" s="20" t="s">
        <v>80</v>
      </c>
      <c r="L6" s="20" t="s">
        <v>80</v>
      </c>
      <c r="M6" s="26" t="s">
        <v>80</v>
      </c>
      <c r="N6" s="15">
        <v>93.992751900948804</v>
      </c>
      <c r="O6" s="15">
        <v>93.992751900948804</v>
      </c>
      <c r="P6" s="26" t="s">
        <v>80</v>
      </c>
    </row>
    <row r="7" spans="1:16">
      <c r="A7" s="9" t="s">
        <v>116</v>
      </c>
      <c r="B7" s="15">
        <v>100</v>
      </c>
      <c r="C7" s="15">
        <v>100</v>
      </c>
      <c r="D7" s="26" t="s">
        <v>80</v>
      </c>
      <c r="E7" s="15">
        <v>100</v>
      </c>
      <c r="F7" s="15">
        <v>100</v>
      </c>
      <c r="G7" s="26" t="s">
        <v>80</v>
      </c>
      <c r="H7" s="15">
        <v>100</v>
      </c>
      <c r="I7" s="15">
        <v>100</v>
      </c>
      <c r="J7" s="26" t="s">
        <v>80</v>
      </c>
      <c r="K7" s="20" t="s">
        <v>80</v>
      </c>
      <c r="L7" s="20" t="s">
        <v>80</v>
      </c>
      <c r="M7" s="26" t="s">
        <v>80</v>
      </c>
      <c r="N7" s="20" t="s">
        <v>80</v>
      </c>
      <c r="O7" s="20" t="s">
        <v>80</v>
      </c>
      <c r="P7" s="26" t="s">
        <v>80</v>
      </c>
    </row>
    <row r="8" spans="1:16">
      <c r="A8" s="9" t="s">
        <v>117</v>
      </c>
      <c r="B8" s="15">
        <v>95.454545454545496</v>
      </c>
      <c r="C8" s="15">
        <v>95.454545454545496</v>
      </c>
      <c r="D8" s="26" t="s">
        <v>80</v>
      </c>
      <c r="E8" s="15">
        <v>88.8888888888889</v>
      </c>
      <c r="F8" s="15">
        <v>88.8888888888889</v>
      </c>
      <c r="G8" s="26" t="s">
        <v>80</v>
      </c>
      <c r="H8" s="15">
        <v>100</v>
      </c>
      <c r="I8" s="15">
        <v>100</v>
      </c>
      <c r="J8" s="26" t="s">
        <v>80</v>
      </c>
      <c r="K8" s="20" t="s">
        <v>80</v>
      </c>
      <c r="L8" s="20" t="s">
        <v>80</v>
      </c>
      <c r="M8" s="26" t="s">
        <v>80</v>
      </c>
      <c r="N8" s="20" t="s">
        <v>80</v>
      </c>
      <c r="O8" s="20" t="s">
        <v>80</v>
      </c>
      <c r="P8" s="26" t="s">
        <v>80</v>
      </c>
    </row>
    <row r="9" spans="1:16">
      <c r="A9" s="9" t="s">
        <v>118</v>
      </c>
      <c r="B9" s="15">
        <v>98.324022346368693</v>
      </c>
      <c r="C9" s="15">
        <v>98.324022346368693</v>
      </c>
      <c r="D9" s="26" t="s">
        <v>80</v>
      </c>
      <c r="E9" s="15">
        <v>97.7777777777778</v>
      </c>
      <c r="F9" s="15">
        <v>97.7777777777778</v>
      </c>
      <c r="G9" s="26" t="s">
        <v>80</v>
      </c>
      <c r="H9" s="15">
        <v>98.837209302325604</v>
      </c>
      <c r="I9" s="15">
        <v>98.837209302325604</v>
      </c>
      <c r="J9" s="26" t="s">
        <v>80</v>
      </c>
      <c r="K9" s="20" t="s">
        <v>80</v>
      </c>
      <c r="L9" s="20" t="s">
        <v>80</v>
      </c>
      <c r="M9" s="26" t="s">
        <v>80</v>
      </c>
      <c r="N9" s="20" t="s">
        <v>80</v>
      </c>
      <c r="O9" s="20" t="s">
        <v>80</v>
      </c>
      <c r="P9" s="26" t="s">
        <v>80</v>
      </c>
    </row>
    <row r="10" spans="1:16">
      <c r="A10" s="9" t="s">
        <v>119</v>
      </c>
      <c r="B10" s="15">
        <v>98.019801980197997</v>
      </c>
      <c r="C10" s="15">
        <v>98.019801980197997</v>
      </c>
      <c r="D10" s="26" t="s">
        <v>80</v>
      </c>
      <c r="E10" s="15">
        <v>100</v>
      </c>
      <c r="F10" s="15">
        <v>100</v>
      </c>
      <c r="G10" s="26" t="s">
        <v>80</v>
      </c>
      <c r="H10" s="15">
        <v>98.214285714285694</v>
      </c>
      <c r="I10" s="15">
        <v>98.214285714285694</v>
      </c>
      <c r="J10" s="26" t="s">
        <v>80</v>
      </c>
      <c r="K10" s="20" t="s">
        <v>80</v>
      </c>
      <c r="L10" s="20" t="s">
        <v>80</v>
      </c>
      <c r="M10" s="26" t="s">
        <v>80</v>
      </c>
      <c r="N10" s="20" t="s">
        <v>80</v>
      </c>
      <c r="O10" s="20" t="s">
        <v>80</v>
      </c>
      <c r="P10" s="26" t="s">
        <v>80</v>
      </c>
    </row>
    <row r="11" spans="1:16">
      <c r="A11" s="9" t="s">
        <v>120</v>
      </c>
      <c r="B11" s="15">
        <v>94.285714285714306</v>
      </c>
      <c r="C11" s="15">
        <v>94.285714285714306</v>
      </c>
      <c r="D11" s="26" t="s">
        <v>80</v>
      </c>
      <c r="E11" s="15">
        <v>97.058823529411796</v>
      </c>
      <c r="F11" s="15">
        <v>97.058823529411796</v>
      </c>
      <c r="G11" s="26" t="s">
        <v>80</v>
      </c>
      <c r="H11" s="15">
        <v>91.176470588235304</v>
      </c>
      <c r="I11" s="15">
        <v>91.176470588235304</v>
      </c>
      <c r="J11" s="26" t="s">
        <v>80</v>
      </c>
      <c r="K11" s="20" t="s">
        <v>80</v>
      </c>
      <c r="L11" s="20" t="s">
        <v>80</v>
      </c>
      <c r="M11" s="26" t="s">
        <v>80</v>
      </c>
      <c r="N11" s="20" t="s">
        <v>80</v>
      </c>
      <c r="O11" s="20" t="s">
        <v>80</v>
      </c>
      <c r="P11" s="26" t="s">
        <v>80</v>
      </c>
    </row>
    <row r="12" spans="1:16">
      <c r="A12" s="9" t="s">
        <v>121</v>
      </c>
      <c r="B12" s="15">
        <v>100</v>
      </c>
      <c r="C12" s="15">
        <v>100</v>
      </c>
      <c r="D12" s="26" t="s">
        <v>80</v>
      </c>
      <c r="E12" s="15">
        <v>100</v>
      </c>
      <c r="F12" s="15">
        <v>100</v>
      </c>
      <c r="G12" s="26" t="s">
        <v>80</v>
      </c>
      <c r="H12" s="15">
        <v>100</v>
      </c>
      <c r="I12" s="15">
        <v>100</v>
      </c>
      <c r="J12" s="26" t="s">
        <v>80</v>
      </c>
      <c r="K12" s="20" t="s">
        <v>80</v>
      </c>
      <c r="L12" s="20" t="s">
        <v>80</v>
      </c>
      <c r="M12" s="26" t="s">
        <v>80</v>
      </c>
      <c r="N12" s="20" t="s">
        <v>80</v>
      </c>
      <c r="O12" s="20" t="s">
        <v>80</v>
      </c>
      <c r="P12" s="26" t="s">
        <v>80</v>
      </c>
    </row>
    <row r="13" spans="1:16">
      <c r="A13" s="9" t="s">
        <v>122</v>
      </c>
      <c r="B13" s="15">
        <v>100</v>
      </c>
      <c r="C13" s="15">
        <v>100</v>
      </c>
      <c r="D13" s="26" t="s">
        <v>80</v>
      </c>
      <c r="E13" s="15">
        <v>100</v>
      </c>
      <c r="F13" s="15">
        <v>100</v>
      </c>
      <c r="G13" s="26" t="s">
        <v>80</v>
      </c>
      <c r="H13" s="15">
        <v>100</v>
      </c>
      <c r="I13" s="15">
        <v>100</v>
      </c>
      <c r="J13" s="26" t="s">
        <v>80</v>
      </c>
      <c r="K13" s="20" t="s">
        <v>80</v>
      </c>
      <c r="L13" s="20" t="s">
        <v>80</v>
      </c>
      <c r="M13" s="26" t="s">
        <v>80</v>
      </c>
      <c r="N13" s="20" t="s">
        <v>80</v>
      </c>
      <c r="O13" s="20" t="s">
        <v>80</v>
      </c>
      <c r="P13" s="26" t="s">
        <v>80</v>
      </c>
    </row>
    <row r="14" spans="1:16">
      <c r="A14" s="9" t="s">
        <v>123</v>
      </c>
      <c r="B14" s="15">
        <v>100</v>
      </c>
      <c r="C14" s="15">
        <v>100</v>
      </c>
      <c r="D14" s="26" t="s">
        <v>80</v>
      </c>
      <c r="E14" s="15">
        <v>100</v>
      </c>
      <c r="F14" s="15">
        <v>100</v>
      </c>
      <c r="G14" s="26" t="s">
        <v>80</v>
      </c>
      <c r="H14" s="15">
        <v>100</v>
      </c>
      <c r="I14" s="15">
        <v>100</v>
      </c>
      <c r="J14" s="26" t="s">
        <v>80</v>
      </c>
      <c r="K14" s="20" t="s">
        <v>80</v>
      </c>
      <c r="L14" s="20" t="s">
        <v>80</v>
      </c>
      <c r="M14" s="26" t="s">
        <v>80</v>
      </c>
      <c r="N14" s="20" t="s">
        <v>80</v>
      </c>
      <c r="O14" s="20" t="s">
        <v>80</v>
      </c>
      <c r="P14" s="26" t="s">
        <v>80</v>
      </c>
    </row>
    <row r="15" spans="1:16">
      <c r="A15" s="9" t="s">
        <v>124</v>
      </c>
      <c r="B15" s="15">
        <v>100</v>
      </c>
      <c r="C15" s="15">
        <v>100</v>
      </c>
      <c r="D15" s="26" t="s">
        <v>80</v>
      </c>
      <c r="E15" s="15">
        <v>100</v>
      </c>
      <c r="F15" s="15">
        <v>100</v>
      </c>
      <c r="G15" s="26" t="s">
        <v>80</v>
      </c>
      <c r="H15" s="15">
        <v>100</v>
      </c>
      <c r="I15" s="15">
        <v>100</v>
      </c>
      <c r="J15" s="26" t="s">
        <v>80</v>
      </c>
      <c r="K15" s="20" t="s">
        <v>80</v>
      </c>
      <c r="L15" s="20" t="s">
        <v>80</v>
      </c>
      <c r="M15" s="26" t="s">
        <v>80</v>
      </c>
      <c r="N15" s="20" t="s">
        <v>80</v>
      </c>
      <c r="O15" s="20" t="s">
        <v>80</v>
      </c>
      <c r="P15" s="26" t="s">
        <v>80</v>
      </c>
    </row>
    <row r="16" spans="1:16">
      <c r="A16" s="9" t="s">
        <v>125</v>
      </c>
      <c r="B16" s="15">
        <v>99.193548387096797</v>
      </c>
      <c r="C16" s="15">
        <v>99.193548387096797</v>
      </c>
      <c r="D16" s="26" t="s">
        <v>80</v>
      </c>
      <c r="E16" s="15">
        <v>98.630136986301395</v>
      </c>
      <c r="F16" s="15">
        <v>98.630136986301395</v>
      </c>
      <c r="G16" s="26" t="s">
        <v>80</v>
      </c>
      <c r="H16" s="15">
        <v>100</v>
      </c>
      <c r="I16" s="15">
        <v>100</v>
      </c>
      <c r="J16" s="26" t="s">
        <v>80</v>
      </c>
      <c r="K16" s="20" t="s">
        <v>80</v>
      </c>
      <c r="L16" s="20" t="s">
        <v>80</v>
      </c>
      <c r="M16" s="26" t="s">
        <v>80</v>
      </c>
      <c r="N16" s="20" t="s">
        <v>80</v>
      </c>
      <c r="O16" s="20" t="s">
        <v>80</v>
      </c>
      <c r="P16" s="26" t="s">
        <v>80</v>
      </c>
    </row>
    <row r="17" spans="1:16">
      <c r="A17" s="9" t="s">
        <v>126</v>
      </c>
      <c r="B17" s="15">
        <v>100</v>
      </c>
      <c r="C17" s="15">
        <v>100</v>
      </c>
      <c r="D17" s="26" t="s">
        <v>80</v>
      </c>
      <c r="E17" s="15">
        <v>100</v>
      </c>
      <c r="F17" s="15">
        <v>100</v>
      </c>
      <c r="G17" s="26" t="s">
        <v>80</v>
      </c>
      <c r="H17" s="15">
        <v>100</v>
      </c>
      <c r="I17" s="15">
        <v>100</v>
      </c>
      <c r="J17" s="26" t="s">
        <v>80</v>
      </c>
      <c r="K17" s="20" t="s">
        <v>80</v>
      </c>
      <c r="L17" s="20" t="s">
        <v>80</v>
      </c>
      <c r="M17" s="26" t="s">
        <v>80</v>
      </c>
      <c r="N17" s="20" t="s">
        <v>80</v>
      </c>
      <c r="O17" s="20" t="s">
        <v>80</v>
      </c>
      <c r="P17" s="26" t="s">
        <v>80</v>
      </c>
    </row>
    <row r="18" spans="1:16">
      <c r="A18" s="9" t="s">
        <v>127</v>
      </c>
      <c r="B18" s="15">
        <v>100</v>
      </c>
      <c r="C18" s="15">
        <v>100</v>
      </c>
      <c r="D18" s="26" t="s">
        <v>80</v>
      </c>
      <c r="E18" s="15">
        <v>100</v>
      </c>
      <c r="F18" s="15">
        <v>100</v>
      </c>
      <c r="G18" s="26" t="s">
        <v>80</v>
      </c>
      <c r="H18" s="15">
        <v>100</v>
      </c>
      <c r="I18" s="15">
        <v>100</v>
      </c>
      <c r="J18" s="26" t="s">
        <v>80</v>
      </c>
      <c r="K18" s="20" t="s">
        <v>80</v>
      </c>
      <c r="L18" s="20" t="s">
        <v>80</v>
      </c>
      <c r="M18" s="26" t="s">
        <v>80</v>
      </c>
      <c r="N18" s="20" t="s">
        <v>80</v>
      </c>
      <c r="O18" s="20" t="s">
        <v>80</v>
      </c>
      <c r="P18" s="26" t="s">
        <v>80</v>
      </c>
    </row>
    <row r="19" spans="1:16">
      <c r="A19" s="9" t="s">
        <v>128</v>
      </c>
      <c r="B19" s="15">
        <v>97.872340425531902</v>
      </c>
      <c r="C19" s="15">
        <v>97.872340425531902</v>
      </c>
      <c r="D19" s="26" t="s">
        <v>80</v>
      </c>
      <c r="E19" s="15">
        <v>100</v>
      </c>
      <c r="F19" s="15">
        <v>100</v>
      </c>
      <c r="G19" s="26" t="s">
        <v>80</v>
      </c>
      <c r="H19" s="15">
        <v>100</v>
      </c>
      <c r="I19" s="15">
        <v>100</v>
      </c>
      <c r="J19" s="26" t="s">
        <v>80</v>
      </c>
      <c r="K19" s="20" t="s">
        <v>80</v>
      </c>
      <c r="L19" s="20" t="s">
        <v>80</v>
      </c>
      <c r="M19" s="26" t="s">
        <v>80</v>
      </c>
      <c r="N19" s="20" t="s">
        <v>80</v>
      </c>
      <c r="O19" s="20" t="s">
        <v>80</v>
      </c>
      <c r="P19" s="26" t="s">
        <v>80</v>
      </c>
    </row>
    <row r="20" spans="1:16">
      <c r="A20" s="9" t="s">
        <v>129</v>
      </c>
      <c r="B20" s="15">
        <v>100</v>
      </c>
      <c r="C20" s="15">
        <v>100</v>
      </c>
      <c r="D20" s="26" t="s">
        <v>80</v>
      </c>
      <c r="E20" s="15">
        <v>100</v>
      </c>
      <c r="F20" s="15">
        <v>100</v>
      </c>
      <c r="G20" s="26" t="s">
        <v>80</v>
      </c>
      <c r="H20" s="15">
        <v>100</v>
      </c>
      <c r="I20" s="15">
        <v>100</v>
      </c>
      <c r="J20" s="26" t="s">
        <v>80</v>
      </c>
      <c r="K20" s="20" t="s">
        <v>80</v>
      </c>
      <c r="L20" s="20" t="s">
        <v>80</v>
      </c>
      <c r="M20" s="26" t="s">
        <v>80</v>
      </c>
      <c r="N20" s="20" t="s">
        <v>80</v>
      </c>
      <c r="O20" s="20" t="s">
        <v>80</v>
      </c>
      <c r="P20" s="26" t="s">
        <v>80</v>
      </c>
    </row>
    <row r="21" spans="1:16">
      <c r="A21" s="9" t="s">
        <v>130</v>
      </c>
      <c r="B21" s="15">
        <v>100</v>
      </c>
      <c r="C21" s="15">
        <v>100</v>
      </c>
      <c r="D21" s="26" t="s">
        <v>80</v>
      </c>
      <c r="E21" s="15">
        <v>100</v>
      </c>
      <c r="F21" s="15">
        <v>100</v>
      </c>
      <c r="G21" s="26" t="s">
        <v>80</v>
      </c>
      <c r="H21" s="15">
        <v>100</v>
      </c>
      <c r="I21" s="15">
        <v>100</v>
      </c>
      <c r="J21" s="26" t="s">
        <v>80</v>
      </c>
      <c r="K21" s="20" t="s">
        <v>80</v>
      </c>
      <c r="L21" s="20" t="s">
        <v>80</v>
      </c>
      <c r="M21" s="26" t="s">
        <v>80</v>
      </c>
      <c r="N21" s="20" t="s">
        <v>80</v>
      </c>
      <c r="O21" s="20" t="s">
        <v>80</v>
      </c>
      <c r="P21" s="26" t="s">
        <v>80</v>
      </c>
    </row>
    <row r="22" spans="1:16">
      <c r="A22" s="9" t="s">
        <v>131</v>
      </c>
      <c r="B22" s="15">
        <v>100</v>
      </c>
      <c r="C22" s="15">
        <v>100</v>
      </c>
      <c r="D22" s="26" t="s">
        <v>80</v>
      </c>
      <c r="E22" s="15">
        <v>100</v>
      </c>
      <c r="F22" s="15">
        <v>100</v>
      </c>
      <c r="G22" s="26" t="s">
        <v>80</v>
      </c>
      <c r="H22" s="15">
        <v>100</v>
      </c>
      <c r="I22" s="15">
        <v>100</v>
      </c>
      <c r="J22" s="26" t="s">
        <v>80</v>
      </c>
      <c r="K22" s="20" t="s">
        <v>80</v>
      </c>
      <c r="L22" s="20" t="s">
        <v>80</v>
      </c>
      <c r="M22" s="26" t="s">
        <v>80</v>
      </c>
      <c r="N22" s="20" t="s">
        <v>80</v>
      </c>
      <c r="O22" s="20" t="s">
        <v>80</v>
      </c>
      <c r="P22" s="26" t="s">
        <v>80</v>
      </c>
    </row>
    <row r="23" spans="1:16">
      <c r="A23" s="9" t="s">
        <v>132</v>
      </c>
      <c r="B23" s="15">
        <v>97.368421052631604</v>
      </c>
      <c r="C23" s="15">
        <v>97.368421052631604</v>
      </c>
      <c r="D23" s="26" t="s">
        <v>80</v>
      </c>
      <c r="E23" s="15">
        <v>100</v>
      </c>
      <c r="F23" s="15">
        <v>100</v>
      </c>
      <c r="G23" s="26" t="s">
        <v>80</v>
      </c>
      <c r="H23" s="15">
        <v>100</v>
      </c>
      <c r="I23" s="15">
        <v>100</v>
      </c>
      <c r="J23" s="26" t="s">
        <v>80</v>
      </c>
      <c r="K23" s="20" t="s">
        <v>80</v>
      </c>
      <c r="L23" s="20" t="s">
        <v>80</v>
      </c>
      <c r="M23" s="26" t="s">
        <v>80</v>
      </c>
      <c r="N23" s="20" t="s">
        <v>80</v>
      </c>
      <c r="O23" s="20" t="s">
        <v>80</v>
      </c>
      <c r="P23" s="26" t="s">
        <v>80</v>
      </c>
    </row>
    <row r="24" spans="1:16">
      <c r="A24" s="9" t="s">
        <v>133</v>
      </c>
      <c r="B24" s="15">
        <v>97.826086956521706</v>
      </c>
      <c r="C24" s="15">
        <v>97.826086956521706</v>
      </c>
      <c r="D24" s="26" t="s">
        <v>80</v>
      </c>
      <c r="E24" s="15">
        <v>100</v>
      </c>
      <c r="F24" s="15">
        <v>100</v>
      </c>
      <c r="G24" s="26" t="s">
        <v>80</v>
      </c>
      <c r="H24" s="15">
        <v>96.296296296296305</v>
      </c>
      <c r="I24" s="15">
        <v>96.296296296296305</v>
      </c>
      <c r="J24" s="26" t="s">
        <v>80</v>
      </c>
      <c r="K24" s="20" t="s">
        <v>80</v>
      </c>
      <c r="L24" s="20" t="s">
        <v>80</v>
      </c>
      <c r="M24" s="26" t="s">
        <v>80</v>
      </c>
      <c r="N24" s="20" t="s">
        <v>80</v>
      </c>
      <c r="O24" s="20" t="s">
        <v>80</v>
      </c>
      <c r="P24" s="26" t="s">
        <v>80</v>
      </c>
    </row>
    <row r="25" spans="1:16">
      <c r="A25" s="9" t="s">
        <v>134</v>
      </c>
      <c r="B25" s="15">
        <v>100</v>
      </c>
      <c r="C25" s="15">
        <v>100</v>
      </c>
      <c r="D25" s="26" t="s">
        <v>80</v>
      </c>
      <c r="E25" s="15">
        <v>100</v>
      </c>
      <c r="F25" s="15">
        <v>100</v>
      </c>
      <c r="G25" s="26" t="s">
        <v>80</v>
      </c>
      <c r="H25" s="15">
        <v>100</v>
      </c>
      <c r="I25" s="15">
        <v>100</v>
      </c>
      <c r="J25" s="26" t="s">
        <v>80</v>
      </c>
      <c r="K25" s="20" t="s">
        <v>80</v>
      </c>
      <c r="L25" s="20" t="s">
        <v>80</v>
      </c>
      <c r="M25" s="26" t="s">
        <v>80</v>
      </c>
      <c r="N25" s="20" t="s">
        <v>80</v>
      </c>
      <c r="O25" s="20" t="s">
        <v>80</v>
      </c>
      <c r="P25" s="26" t="s">
        <v>80</v>
      </c>
    </row>
    <row r="26" spans="1:16">
      <c r="A26" s="9" t="s">
        <v>135</v>
      </c>
      <c r="B26" s="15">
        <v>100</v>
      </c>
      <c r="C26" s="15">
        <v>100</v>
      </c>
      <c r="D26" s="26" t="s">
        <v>80</v>
      </c>
      <c r="E26" s="15">
        <v>100</v>
      </c>
      <c r="F26" s="15">
        <v>100</v>
      </c>
      <c r="G26" s="26" t="s">
        <v>80</v>
      </c>
      <c r="H26" s="15">
        <v>100</v>
      </c>
      <c r="I26" s="15">
        <v>100</v>
      </c>
      <c r="J26" s="26" t="s">
        <v>80</v>
      </c>
      <c r="K26" s="20" t="s">
        <v>80</v>
      </c>
      <c r="L26" s="20" t="s">
        <v>80</v>
      </c>
      <c r="M26" s="26" t="s">
        <v>80</v>
      </c>
      <c r="N26" s="15">
        <v>100</v>
      </c>
      <c r="O26" s="15">
        <v>100</v>
      </c>
      <c r="P26" s="26" t="s">
        <v>80</v>
      </c>
    </row>
    <row r="27" spans="1:16">
      <c r="A27" s="9" t="s">
        <v>136</v>
      </c>
      <c r="B27" s="15">
        <v>100</v>
      </c>
      <c r="C27" s="15">
        <v>100</v>
      </c>
      <c r="D27" s="26" t="s">
        <v>80</v>
      </c>
      <c r="E27" s="15">
        <v>100</v>
      </c>
      <c r="F27" s="15">
        <v>100</v>
      </c>
      <c r="G27" s="26" t="s">
        <v>80</v>
      </c>
      <c r="H27" s="15">
        <v>100</v>
      </c>
      <c r="I27" s="15">
        <v>100</v>
      </c>
      <c r="J27" s="26" t="s">
        <v>80</v>
      </c>
      <c r="K27" s="20" t="s">
        <v>80</v>
      </c>
      <c r="L27" s="20" t="s">
        <v>80</v>
      </c>
      <c r="M27" s="26" t="s">
        <v>80</v>
      </c>
      <c r="N27" s="20" t="s">
        <v>80</v>
      </c>
      <c r="O27" s="20" t="s">
        <v>80</v>
      </c>
      <c r="P27" s="26" t="s">
        <v>80</v>
      </c>
    </row>
    <row r="28" spans="1:16">
      <c r="A28" s="9" t="s">
        <v>137</v>
      </c>
      <c r="B28" s="15">
        <v>97.826086956521706</v>
      </c>
      <c r="C28" s="15">
        <v>97.826086956521706</v>
      </c>
      <c r="D28" s="26" t="s">
        <v>80</v>
      </c>
      <c r="E28" s="15">
        <v>95.454545454545496</v>
      </c>
      <c r="F28" s="15">
        <v>95.454545454545496</v>
      </c>
      <c r="G28" s="26" t="s">
        <v>80</v>
      </c>
      <c r="H28" s="15">
        <v>100</v>
      </c>
      <c r="I28" s="15">
        <v>100</v>
      </c>
      <c r="J28" s="26" t="s">
        <v>80</v>
      </c>
      <c r="K28" s="20" t="s">
        <v>80</v>
      </c>
      <c r="L28" s="20" t="s">
        <v>80</v>
      </c>
      <c r="M28" s="26" t="s">
        <v>80</v>
      </c>
      <c r="N28" s="20" t="s">
        <v>80</v>
      </c>
      <c r="O28" s="20" t="s">
        <v>80</v>
      </c>
      <c r="P28" s="26" t="s">
        <v>80</v>
      </c>
    </row>
    <row r="29" spans="1:16">
      <c r="A29" s="9" t="s">
        <v>138</v>
      </c>
      <c r="B29" s="15">
        <v>100</v>
      </c>
      <c r="C29" s="15">
        <v>100</v>
      </c>
      <c r="D29" s="26" t="s">
        <v>80</v>
      </c>
      <c r="E29" s="15">
        <v>100</v>
      </c>
      <c r="F29" s="15">
        <v>100</v>
      </c>
      <c r="G29" s="26" t="s">
        <v>80</v>
      </c>
      <c r="H29" s="15">
        <v>100</v>
      </c>
      <c r="I29" s="15">
        <v>100</v>
      </c>
      <c r="J29" s="26" t="s">
        <v>80</v>
      </c>
      <c r="K29" s="20" t="s">
        <v>80</v>
      </c>
      <c r="L29" s="20" t="s">
        <v>80</v>
      </c>
      <c r="M29" s="26" t="s">
        <v>80</v>
      </c>
      <c r="N29" s="20" t="s">
        <v>80</v>
      </c>
      <c r="O29" s="20" t="s">
        <v>80</v>
      </c>
      <c r="P29" s="26" t="s">
        <v>80</v>
      </c>
    </row>
    <row r="30" spans="1:16">
      <c r="A30" s="9" t="s">
        <v>139</v>
      </c>
      <c r="B30" s="15">
        <v>100</v>
      </c>
      <c r="C30" s="15">
        <v>100</v>
      </c>
      <c r="D30" s="26" t="s">
        <v>80</v>
      </c>
      <c r="E30" s="15">
        <v>100</v>
      </c>
      <c r="F30" s="15">
        <v>100</v>
      </c>
      <c r="G30" s="26" t="s">
        <v>80</v>
      </c>
      <c r="H30" s="15">
        <v>100</v>
      </c>
      <c r="I30" s="15">
        <v>100</v>
      </c>
      <c r="J30" s="26" t="s">
        <v>80</v>
      </c>
      <c r="K30" s="20" t="s">
        <v>80</v>
      </c>
      <c r="L30" s="20" t="s">
        <v>80</v>
      </c>
      <c r="M30" s="26" t="s">
        <v>80</v>
      </c>
      <c r="N30" s="20" t="s">
        <v>80</v>
      </c>
      <c r="O30" s="20" t="s">
        <v>80</v>
      </c>
      <c r="P30" s="26" t="s">
        <v>80</v>
      </c>
    </row>
    <row r="31" spans="1:16">
      <c r="A31" s="9" t="s">
        <v>140</v>
      </c>
      <c r="B31" s="15">
        <v>97.826086956521706</v>
      </c>
      <c r="C31" s="15">
        <v>97.826086956521706</v>
      </c>
      <c r="D31" s="26" t="s">
        <v>80</v>
      </c>
      <c r="E31" s="15">
        <v>96.551724137931004</v>
      </c>
      <c r="F31" s="15">
        <v>96.551724137931004</v>
      </c>
      <c r="G31" s="26" t="s">
        <v>80</v>
      </c>
      <c r="H31" s="15">
        <v>100</v>
      </c>
      <c r="I31" s="15">
        <v>100</v>
      </c>
      <c r="J31" s="26" t="s">
        <v>80</v>
      </c>
      <c r="K31" s="20" t="s">
        <v>80</v>
      </c>
      <c r="L31" s="20" t="s">
        <v>80</v>
      </c>
      <c r="M31" s="26" t="s">
        <v>80</v>
      </c>
      <c r="N31" s="20" t="s">
        <v>80</v>
      </c>
      <c r="O31" s="20" t="s">
        <v>80</v>
      </c>
      <c r="P31" s="26" t="s">
        <v>80</v>
      </c>
    </row>
    <row r="32" spans="1:16">
      <c r="A32" s="9" t="s">
        <v>141</v>
      </c>
      <c r="B32" s="15">
        <v>100</v>
      </c>
      <c r="C32" s="15">
        <v>100</v>
      </c>
      <c r="D32" s="26" t="s">
        <v>80</v>
      </c>
      <c r="E32" s="15">
        <v>100</v>
      </c>
      <c r="F32" s="15">
        <v>100</v>
      </c>
      <c r="G32" s="26" t="s">
        <v>80</v>
      </c>
      <c r="H32" s="15">
        <v>100</v>
      </c>
      <c r="I32" s="15">
        <v>100</v>
      </c>
      <c r="J32" s="26" t="s">
        <v>80</v>
      </c>
      <c r="K32" s="20" t="s">
        <v>80</v>
      </c>
      <c r="L32" s="20" t="s">
        <v>80</v>
      </c>
      <c r="M32" s="26" t="s">
        <v>80</v>
      </c>
      <c r="N32" s="20" t="s">
        <v>80</v>
      </c>
      <c r="O32" s="20" t="s">
        <v>80</v>
      </c>
      <c r="P32" s="26" t="s">
        <v>80</v>
      </c>
    </row>
    <row r="33" spans="1:16">
      <c r="A33" s="9" t="s">
        <v>142</v>
      </c>
      <c r="B33" s="15">
        <v>100</v>
      </c>
      <c r="C33" s="15">
        <v>100</v>
      </c>
      <c r="D33" s="26" t="s">
        <v>80</v>
      </c>
      <c r="E33" s="15">
        <v>100</v>
      </c>
      <c r="F33" s="15">
        <v>100</v>
      </c>
      <c r="G33" s="26" t="s">
        <v>80</v>
      </c>
      <c r="H33" s="15">
        <v>100</v>
      </c>
      <c r="I33" s="15">
        <v>100</v>
      </c>
      <c r="J33" s="26" t="s">
        <v>80</v>
      </c>
      <c r="K33" s="20" t="s">
        <v>80</v>
      </c>
      <c r="L33" s="20" t="s">
        <v>80</v>
      </c>
      <c r="M33" s="26" t="s">
        <v>80</v>
      </c>
      <c r="N33" s="20" t="s">
        <v>80</v>
      </c>
      <c r="O33" s="20" t="s">
        <v>80</v>
      </c>
      <c r="P33" s="26" t="s">
        <v>80</v>
      </c>
    </row>
    <row r="34" spans="1:16">
      <c r="A34" s="9" t="s">
        <v>143</v>
      </c>
      <c r="B34" s="15">
        <v>100</v>
      </c>
      <c r="C34" s="15">
        <v>100</v>
      </c>
      <c r="D34" s="26" t="s">
        <v>80</v>
      </c>
      <c r="E34" s="20" t="s">
        <v>80</v>
      </c>
      <c r="F34" s="20" t="s">
        <v>80</v>
      </c>
      <c r="G34" s="26" t="s">
        <v>80</v>
      </c>
      <c r="H34" s="15">
        <v>100</v>
      </c>
      <c r="I34" s="15">
        <v>100</v>
      </c>
      <c r="J34" s="26" t="s">
        <v>80</v>
      </c>
      <c r="K34" s="20" t="s">
        <v>80</v>
      </c>
      <c r="L34" s="20" t="s">
        <v>80</v>
      </c>
      <c r="M34" s="26" t="s">
        <v>80</v>
      </c>
      <c r="N34" s="20" t="s">
        <v>80</v>
      </c>
      <c r="O34" s="20" t="s">
        <v>80</v>
      </c>
      <c r="P34" s="26" t="s">
        <v>80</v>
      </c>
    </row>
    <row r="35" spans="1:16">
      <c r="A35" s="9" t="s">
        <v>144</v>
      </c>
      <c r="B35" s="15">
        <v>100</v>
      </c>
      <c r="C35" s="15">
        <v>100</v>
      </c>
      <c r="D35" s="26" t="s">
        <v>80</v>
      </c>
      <c r="E35" s="15">
        <v>100</v>
      </c>
      <c r="F35" s="15">
        <v>100</v>
      </c>
      <c r="G35" s="26" t="s">
        <v>80</v>
      </c>
      <c r="H35" s="15">
        <v>100</v>
      </c>
      <c r="I35" s="15">
        <v>100</v>
      </c>
      <c r="J35" s="26" t="s">
        <v>80</v>
      </c>
      <c r="K35" s="20" t="s">
        <v>80</v>
      </c>
      <c r="L35" s="20" t="s">
        <v>80</v>
      </c>
      <c r="M35" s="26" t="s">
        <v>80</v>
      </c>
      <c r="N35" s="20" t="s">
        <v>80</v>
      </c>
      <c r="O35" s="20" t="s">
        <v>80</v>
      </c>
      <c r="P35" s="26" t="s">
        <v>80</v>
      </c>
    </row>
    <row r="36" spans="1:16">
      <c r="A36" s="9" t="s">
        <v>145</v>
      </c>
      <c r="B36" s="15">
        <v>100</v>
      </c>
      <c r="C36" s="15">
        <v>100</v>
      </c>
      <c r="D36" s="26" t="s">
        <v>80</v>
      </c>
      <c r="E36" s="15">
        <v>100</v>
      </c>
      <c r="F36" s="15">
        <v>100</v>
      </c>
      <c r="G36" s="26" t="s">
        <v>80</v>
      </c>
      <c r="H36" s="15">
        <v>100</v>
      </c>
      <c r="I36" s="15">
        <v>100</v>
      </c>
      <c r="J36" s="26" t="s">
        <v>80</v>
      </c>
      <c r="K36" s="20" t="s">
        <v>80</v>
      </c>
      <c r="L36" s="20" t="s">
        <v>80</v>
      </c>
      <c r="M36" s="26" t="s">
        <v>80</v>
      </c>
      <c r="N36" s="20" t="s">
        <v>80</v>
      </c>
      <c r="O36" s="20" t="s">
        <v>80</v>
      </c>
      <c r="P36" s="26" t="s">
        <v>80</v>
      </c>
    </row>
    <row r="37" spans="1:16" ht="21.9" customHeight="1">
      <c r="A37" s="22" t="s">
        <v>146</v>
      </c>
      <c r="B37" s="15">
        <v>96.646921062331899</v>
      </c>
      <c r="C37" s="20" t="s">
        <v>80</v>
      </c>
      <c r="D37" s="24">
        <v>96.646921062331899</v>
      </c>
      <c r="E37" s="15">
        <v>96.935146112898494</v>
      </c>
      <c r="F37" s="20" t="s">
        <v>80</v>
      </c>
      <c r="G37" s="24">
        <v>96.935146112898494</v>
      </c>
      <c r="H37" s="15">
        <v>96.663734352739397</v>
      </c>
      <c r="I37" s="20" t="s">
        <v>80</v>
      </c>
      <c r="J37" s="24">
        <v>96.663734352739397</v>
      </c>
      <c r="K37" s="15">
        <v>93.408624037612299</v>
      </c>
      <c r="L37" s="20" t="s">
        <v>80</v>
      </c>
      <c r="M37" s="24">
        <v>93.408624037612299</v>
      </c>
      <c r="N37" s="15">
        <v>91.824409976028306</v>
      </c>
      <c r="O37" s="20" t="s">
        <v>80</v>
      </c>
      <c r="P37" s="24">
        <v>91.824409976028306</v>
      </c>
    </row>
    <row r="38" spans="1:16">
      <c r="A38" s="9" t="s">
        <v>147</v>
      </c>
      <c r="B38" s="15">
        <v>95.414201183431999</v>
      </c>
      <c r="C38" s="20" t="s">
        <v>80</v>
      </c>
      <c r="D38" s="24">
        <v>95.414201183431999</v>
      </c>
      <c r="E38" s="15">
        <v>96.116504854368898</v>
      </c>
      <c r="F38" s="20" t="s">
        <v>80</v>
      </c>
      <c r="G38" s="24">
        <v>96.116504854368898</v>
      </c>
      <c r="H38" s="15">
        <v>95.882352941176507</v>
      </c>
      <c r="I38" s="20" t="s">
        <v>80</v>
      </c>
      <c r="J38" s="24">
        <v>95.882352941176507</v>
      </c>
      <c r="K38" s="15">
        <v>88.8888888888889</v>
      </c>
      <c r="L38" s="20" t="s">
        <v>80</v>
      </c>
      <c r="M38" s="24">
        <v>88.8888888888889</v>
      </c>
      <c r="N38" s="15">
        <v>77.7777777777778</v>
      </c>
      <c r="O38" s="20" t="s">
        <v>80</v>
      </c>
      <c r="P38" s="24">
        <v>77.7777777777778</v>
      </c>
    </row>
    <row r="39" spans="1:16">
      <c r="A39" s="9" t="s">
        <v>148</v>
      </c>
      <c r="B39" s="15">
        <v>96.949891067538104</v>
      </c>
      <c r="C39" s="20" t="s">
        <v>80</v>
      </c>
      <c r="D39" s="24">
        <v>96.949891067538104</v>
      </c>
      <c r="E39" s="15">
        <v>97.619047619047606</v>
      </c>
      <c r="F39" s="20" t="s">
        <v>80</v>
      </c>
      <c r="G39" s="24">
        <v>97.619047619047606</v>
      </c>
      <c r="H39" s="15">
        <v>95.8333333333333</v>
      </c>
      <c r="I39" s="20" t="s">
        <v>80</v>
      </c>
      <c r="J39" s="24">
        <v>95.8333333333333</v>
      </c>
      <c r="K39" s="15">
        <v>100</v>
      </c>
      <c r="L39" s="20" t="s">
        <v>80</v>
      </c>
      <c r="M39" s="24">
        <v>100</v>
      </c>
      <c r="N39" s="15">
        <v>100</v>
      </c>
      <c r="O39" s="20" t="s">
        <v>80</v>
      </c>
      <c r="P39" s="24">
        <v>100</v>
      </c>
    </row>
    <row r="40" spans="1:16">
      <c r="A40" s="9" t="s">
        <v>149</v>
      </c>
      <c r="B40" s="15">
        <v>97.474747474747502</v>
      </c>
      <c r="C40" s="20" t="s">
        <v>80</v>
      </c>
      <c r="D40" s="24">
        <v>97.474747474747502</v>
      </c>
      <c r="E40" s="15">
        <v>97.560975609756099</v>
      </c>
      <c r="F40" s="20" t="s">
        <v>80</v>
      </c>
      <c r="G40" s="24">
        <v>97.560975609756099</v>
      </c>
      <c r="H40" s="15">
        <v>98.148148148148096</v>
      </c>
      <c r="I40" s="20" t="s">
        <v>80</v>
      </c>
      <c r="J40" s="24">
        <v>98.148148148148096</v>
      </c>
      <c r="K40" s="15">
        <v>83.3333333333333</v>
      </c>
      <c r="L40" s="20" t="s">
        <v>80</v>
      </c>
      <c r="M40" s="24">
        <v>83.3333333333333</v>
      </c>
      <c r="N40" s="20" t="s">
        <v>80</v>
      </c>
      <c r="O40" s="20" t="s">
        <v>80</v>
      </c>
      <c r="P40" s="26" t="s">
        <v>80</v>
      </c>
    </row>
    <row r="41" spans="1:16">
      <c r="A41" s="9" t="s">
        <v>150</v>
      </c>
      <c r="B41" s="15">
        <v>97.810218978102199</v>
      </c>
      <c r="C41" s="20" t="s">
        <v>80</v>
      </c>
      <c r="D41" s="24">
        <v>97.810218978102199</v>
      </c>
      <c r="E41" s="15">
        <v>97.183098591549296</v>
      </c>
      <c r="F41" s="20" t="s">
        <v>80</v>
      </c>
      <c r="G41" s="24">
        <v>97.183098591549296</v>
      </c>
      <c r="H41" s="15">
        <v>98.305084745762699</v>
      </c>
      <c r="I41" s="20" t="s">
        <v>80</v>
      </c>
      <c r="J41" s="24">
        <v>98.305084745762699</v>
      </c>
      <c r="K41" s="20" t="s">
        <v>80</v>
      </c>
      <c r="L41" s="20" t="s">
        <v>80</v>
      </c>
      <c r="M41" s="26" t="s">
        <v>80</v>
      </c>
      <c r="N41" s="20" t="s">
        <v>80</v>
      </c>
      <c r="O41" s="20" t="s">
        <v>80</v>
      </c>
      <c r="P41" s="26" t="s">
        <v>80</v>
      </c>
    </row>
    <row r="42" spans="1:16">
      <c r="A42" s="9" t="s">
        <v>151</v>
      </c>
      <c r="B42" s="15">
        <v>98.502994011976099</v>
      </c>
      <c r="C42" s="20" t="s">
        <v>80</v>
      </c>
      <c r="D42" s="24">
        <v>98.502994011976099</v>
      </c>
      <c r="E42" s="15">
        <v>98.765432098765402</v>
      </c>
      <c r="F42" s="20" t="s">
        <v>80</v>
      </c>
      <c r="G42" s="24">
        <v>98.765432098765402</v>
      </c>
      <c r="H42" s="15">
        <v>98.692810457516302</v>
      </c>
      <c r="I42" s="20" t="s">
        <v>80</v>
      </c>
      <c r="J42" s="24">
        <v>98.692810457516302</v>
      </c>
      <c r="K42" s="20" t="s">
        <v>80</v>
      </c>
      <c r="L42" s="20" t="s">
        <v>80</v>
      </c>
      <c r="M42" s="26" t="s">
        <v>80</v>
      </c>
      <c r="N42" s="15">
        <v>100</v>
      </c>
      <c r="O42" s="20" t="s">
        <v>80</v>
      </c>
      <c r="P42" s="24">
        <v>100</v>
      </c>
    </row>
    <row r="43" spans="1:16">
      <c r="A43" s="9" t="s">
        <v>152</v>
      </c>
      <c r="B43" s="15">
        <v>96.3752665245202</v>
      </c>
      <c r="C43" s="20" t="s">
        <v>80</v>
      </c>
      <c r="D43" s="24">
        <v>96.3752665245202</v>
      </c>
      <c r="E43" s="15">
        <v>95.510204081632693</v>
      </c>
      <c r="F43" s="20" t="s">
        <v>80</v>
      </c>
      <c r="G43" s="24">
        <v>95.510204081632693</v>
      </c>
      <c r="H43" s="15">
        <v>97.630331753554501</v>
      </c>
      <c r="I43" s="20" t="s">
        <v>80</v>
      </c>
      <c r="J43" s="24">
        <v>97.630331753554501</v>
      </c>
      <c r="K43" s="15">
        <v>87.5</v>
      </c>
      <c r="L43" s="20" t="s">
        <v>80</v>
      </c>
      <c r="M43" s="24">
        <v>87.5</v>
      </c>
      <c r="N43" s="15">
        <v>100</v>
      </c>
      <c r="O43" s="20" t="s">
        <v>80</v>
      </c>
      <c r="P43" s="24">
        <v>100</v>
      </c>
    </row>
    <row r="44" spans="1:16">
      <c r="A44" s="9" t="s">
        <v>153</v>
      </c>
      <c r="B44" s="15">
        <v>95.588235294117595</v>
      </c>
      <c r="C44" s="20" t="s">
        <v>80</v>
      </c>
      <c r="D44" s="24">
        <v>95.588235294117595</v>
      </c>
      <c r="E44" s="15">
        <v>95.454545454545496</v>
      </c>
      <c r="F44" s="20" t="s">
        <v>80</v>
      </c>
      <c r="G44" s="24">
        <v>95.454545454545496</v>
      </c>
      <c r="H44" s="15">
        <v>95.3125</v>
      </c>
      <c r="I44" s="20" t="s">
        <v>80</v>
      </c>
      <c r="J44" s="24">
        <v>95.3125</v>
      </c>
      <c r="K44" s="20" t="s">
        <v>80</v>
      </c>
      <c r="L44" s="20" t="s">
        <v>80</v>
      </c>
      <c r="M44" s="26" t="s">
        <v>80</v>
      </c>
      <c r="N44" s="20" t="s">
        <v>80</v>
      </c>
      <c r="O44" s="20" t="s">
        <v>80</v>
      </c>
      <c r="P44" s="26" t="s">
        <v>80</v>
      </c>
    </row>
    <row r="45" spans="1:16">
      <c r="A45" s="11" t="s">
        <v>154</v>
      </c>
      <c r="B45" s="16">
        <v>98.787878787878796</v>
      </c>
      <c r="C45" s="28" t="s">
        <v>80</v>
      </c>
      <c r="D45" s="25">
        <v>98.787878787878796</v>
      </c>
      <c r="E45" s="16">
        <v>100</v>
      </c>
      <c r="F45" s="28" t="s">
        <v>80</v>
      </c>
      <c r="G45" s="25">
        <v>100</v>
      </c>
      <c r="H45" s="16">
        <v>97.419354838709694</v>
      </c>
      <c r="I45" s="28" t="s">
        <v>80</v>
      </c>
      <c r="J45" s="25">
        <v>97.419354838709694</v>
      </c>
      <c r="K45" s="28" t="s">
        <v>80</v>
      </c>
      <c r="L45" s="28" t="s">
        <v>80</v>
      </c>
      <c r="M45" s="29" t="s">
        <v>80</v>
      </c>
      <c r="N45" s="16">
        <v>100</v>
      </c>
      <c r="O45" s="28" t="s">
        <v>80</v>
      </c>
      <c r="P45" s="25">
        <v>100</v>
      </c>
    </row>
    <row r="46" spans="1:16" ht="30" customHeight="1">
      <c r="A46" t="s">
        <v>155</v>
      </c>
    </row>
    <row r="47" spans="1:16">
      <c r="A47" t="s">
        <v>93</v>
      </c>
    </row>
    <row r="48" spans="1:16">
      <c r="A48" t="s">
        <v>94</v>
      </c>
    </row>
    <row r="49" spans="1:1">
      <c r="A49" t="s">
        <v>95</v>
      </c>
    </row>
    <row r="50" spans="1:1">
      <c r="A50" t="s">
        <v>96</v>
      </c>
    </row>
    <row r="51" spans="1:1">
      <c r="A51" t="s">
        <v>97</v>
      </c>
    </row>
    <row r="52" spans="1:1">
      <c r="A5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160</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161</v>
      </c>
      <c r="B3" s="15">
        <v>26.351799003437701</v>
      </c>
      <c r="C3" s="15">
        <v>29.9202554807589</v>
      </c>
      <c r="D3" s="24">
        <v>23.229911035317599</v>
      </c>
      <c r="E3" s="15">
        <v>28.735467579488599</v>
      </c>
      <c r="F3" s="15">
        <v>34.090448017847699</v>
      </c>
      <c r="G3" s="24">
        <v>24.0230953361045</v>
      </c>
      <c r="H3" s="15">
        <v>23.535772849323401</v>
      </c>
      <c r="I3" s="15">
        <v>25.240000733646198</v>
      </c>
      <c r="J3" s="24">
        <v>22.0313846367278</v>
      </c>
      <c r="K3" s="20" t="s">
        <v>80</v>
      </c>
      <c r="L3" s="20" t="s">
        <v>80</v>
      </c>
      <c r="M3" s="26" t="s">
        <v>80</v>
      </c>
      <c r="N3" s="15">
        <v>36.838052247902802</v>
      </c>
      <c r="O3" s="20" t="s">
        <v>80</v>
      </c>
      <c r="P3" s="26" t="s">
        <v>80</v>
      </c>
    </row>
    <row r="4" spans="1:16">
      <c r="A4" s="9" t="s">
        <v>162</v>
      </c>
      <c r="B4" s="15">
        <v>29.559775144385299</v>
      </c>
      <c r="C4" s="15">
        <v>26.582258710799501</v>
      </c>
      <c r="D4" s="24">
        <v>32.164675270803201</v>
      </c>
      <c r="E4" s="15">
        <v>31.107615029197799</v>
      </c>
      <c r="F4" s="15">
        <v>26.399771293439301</v>
      </c>
      <c r="G4" s="24">
        <v>35.250508248314098</v>
      </c>
      <c r="H4" s="15">
        <v>28.251887705074999</v>
      </c>
      <c r="I4" s="15">
        <v>26.731781147096399</v>
      </c>
      <c r="J4" s="24">
        <v>29.593744864407402</v>
      </c>
      <c r="K4" s="20" t="s">
        <v>80</v>
      </c>
      <c r="L4" s="20" t="s">
        <v>80</v>
      </c>
      <c r="M4" s="26" t="s">
        <v>80</v>
      </c>
      <c r="N4" s="20" t="s">
        <v>80</v>
      </c>
      <c r="O4" s="20" t="s">
        <v>80</v>
      </c>
      <c r="P4" s="26" t="s">
        <v>80</v>
      </c>
    </row>
    <row r="5" spans="1:16">
      <c r="A5" s="9" t="s">
        <v>163</v>
      </c>
      <c r="B5" s="15">
        <v>28.33827397033</v>
      </c>
      <c r="C5" s="15">
        <v>19.4003283482946</v>
      </c>
      <c r="D5" s="24">
        <v>36.157695357273703</v>
      </c>
      <c r="E5" s="15">
        <v>29.324806684412799</v>
      </c>
      <c r="F5" s="15">
        <v>21.023853483540002</v>
      </c>
      <c r="G5" s="24">
        <v>36.6296291590604</v>
      </c>
      <c r="H5" s="15">
        <v>27.113164684318701</v>
      </c>
      <c r="I5" s="15">
        <v>17.832633689703599</v>
      </c>
      <c r="J5" s="24">
        <v>35.305450213361098</v>
      </c>
      <c r="K5" s="20" t="s">
        <v>80</v>
      </c>
      <c r="L5" s="20" t="s">
        <v>80</v>
      </c>
      <c r="M5" s="26" t="s">
        <v>80</v>
      </c>
      <c r="N5" s="15">
        <v>32.385550793893898</v>
      </c>
      <c r="O5" s="20" t="s">
        <v>80</v>
      </c>
      <c r="P5" s="26" t="s">
        <v>80</v>
      </c>
    </row>
    <row r="6" spans="1:16">
      <c r="A6" s="9" t="s">
        <v>164</v>
      </c>
      <c r="B6" s="15">
        <v>47.005490777611598</v>
      </c>
      <c r="C6" s="15">
        <v>49.542657691053002</v>
      </c>
      <c r="D6" s="24">
        <v>44.785833368161803</v>
      </c>
      <c r="E6" s="15">
        <v>55.211931512366199</v>
      </c>
      <c r="F6" s="15">
        <v>55.2255556183202</v>
      </c>
      <c r="G6" s="24">
        <v>55.199942325948498</v>
      </c>
      <c r="H6" s="15">
        <v>38.866724334383498</v>
      </c>
      <c r="I6" s="15">
        <v>44.033858014737703</v>
      </c>
      <c r="J6" s="24">
        <v>34.305494540446702</v>
      </c>
      <c r="K6" s="20" t="s">
        <v>80</v>
      </c>
      <c r="L6" s="20" t="s">
        <v>80</v>
      </c>
      <c r="M6" s="26" t="s">
        <v>80</v>
      </c>
      <c r="N6" s="15">
        <v>45.5254128128106</v>
      </c>
      <c r="O6" s="20" t="s">
        <v>80</v>
      </c>
      <c r="P6" s="26" t="s">
        <v>80</v>
      </c>
    </row>
    <row r="7" spans="1:16">
      <c r="A7" s="9" t="s">
        <v>165</v>
      </c>
      <c r="B7" s="15">
        <v>21.2027289086476</v>
      </c>
      <c r="C7" s="15">
        <v>27.041225695314701</v>
      </c>
      <c r="D7" s="24">
        <v>16.094881023702701</v>
      </c>
      <c r="E7" s="15">
        <v>27.901496506570702</v>
      </c>
      <c r="F7" s="15">
        <v>33.971116445878103</v>
      </c>
      <c r="G7" s="24">
        <v>22.560242909265799</v>
      </c>
      <c r="H7" s="15">
        <v>14.5217196628354</v>
      </c>
      <c r="I7" s="15">
        <v>20.3129786070526</v>
      </c>
      <c r="J7" s="24">
        <v>9.4095502329636496</v>
      </c>
      <c r="K7" s="20" t="s">
        <v>80</v>
      </c>
      <c r="L7" s="20" t="s">
        <v>80</v>
      </c>
      <c r="M7" s="26" t="s">
        <v>80</v>
      </c>
      <c r="N7" s="20" t="s">
        <v>80</v>
      </c>
      <c r="O7" s="20" t="s">
        <v>80</v>
      </c>
      <c r="P7" s="26" t="s">
        <v>80</v>
      </c>
    </row>
    <row r="8" spans="1:16">
      <c r="A8" s="9" t="s">
        <v>166</v>
      </c>
      <c r="B8" s="15">
        <v>2.6837999679199598</v>
      </c>
      <c r="C8" s="15">
        <v>3.6103804362271199</v>
      </c>
      <c r="D8" s="24">
        <v>1.8731748604296199</v>
      </c>
      <c r="E8" s="15">
        <v>2.75831292366767</v>
      </c>
      <c r="F8" s="15">
        <v>3.5382848407077501</v>
      </c>
      <c r="G8" s="24">
        <v>2.0719391722062999</v>
      </c>
      <c r="H8" s="15">
        <v>2.3336222431193501</v>
      </c>
      <c r="I8" s="15">
        <v>3.68354523313702</v>
      </c>
      <c r="J8" s="26" t="s">
        <v>80</v>
      </c>
      <c r="K8" s="20" t="s">
        <v>80</v>
      </c>
      <c r="L8" s="20" t="s">
        <v>80</v>
      </c>
      <c r="M8" s="26" t="s">
        <v>80</v>
      </c>
      <c r="N8" s="20" t="s">
        <v>80</v>
      </c>
      <c r="O8" s="20" t="s">
        <v>80</v>
      </c>
      <c r="P8" s="26" t="s">
        <v>80</v>
      </c>
    </row>
    <row r="9" spans="1:16">
      <c r="A9" s="9" t="s">
        <v>167</v>
      </c>
      <c r="B9" s="15">
        <v>16.2889117806366</v>
      </c>
      <c r="C9" s="15">
        <v>18.668416907352398</v>
      </c>
      <c r="D9" s="24">
        <v>14.207185837673601</v>
      </c>
      <c r="E9" s="15">
        <v>17.014833975347599</v>
      </c>
      <c r="F9" s="15">
        <v>20.271932001474202</v>
      </c>
      <c r="G9" s="24">
        <v>14.148594124618301</v>
      </c>
      <c r="H9" s="15">
        <v>15.694663355481101</v>
      </c>
      <c r="I9" s="15">
        <v>16.923814014130102</v>
      </c>
      <c r="J9" s="24">
        <v>14.6096442806344</v>
      </c>
      <c r="K9" s="20" t="s">
        <v>80</v>
      </c>
      <c r="L9" s="20" t="s">
        <v>80</v>
      </c>
      <c r="M9" s="26" t="s">
        <v>80</v>
      </c>
      <c r="N9" s="20" t="s">
        <v>80</v>
      </c>
      <c r="O9" s="20" t="s">
        <v>80</v>
      </c>
      <c r="P9" s="26" t="s">
        <v>80</v>
      </c>
    </row>
    <row r="10" spans="1:16">
      <c r="A10" s="9" t="s">
        <v>168</v>
      </c>
      <c r="B10" s="15">
        <v>17.263371228203699</v>
      </c>
      <c r="C10" s="15">
        <v>14.655882975856599</v>
      </c>
      <c r="D10" s="24">
        <v>19.544549730379899</v>
      </c>
      <c r="E10" s="15">
        <v>23.559659206713199</v>
      </c>
      <c r="F10" s="15">
        <v>21.053271337814301</v>
      </c>
      <c r="G10" s="24">
        <v>25.765275597008198</v>
      </c>
      <c r="H10" s="15">
        <v>10.821134469218499</v>
      </c>
      <c r="I10" s="15">
        <v>8.0073386356866205</v>
      </c>
      <c r="J10" s="24">
        <v>13.3049814497521</v>
      </c>
      <c r="K10" s="20" t="s">
        <v>80</v>
      </c>
      <c r="L10" s="20" t="s">
        <v>80</v>
      </c>
      <c r="M10" s="26" t="s">
        <v>80</v>
      </c>
      <c r="N10" s="20" t="s">
        <v>80</v>
      </c>
      <c r="O10" s="20" t="s">
        <v>80</v>
      </c>
      <c r="P10" s="26" t="s">
        <v>80</v>
      </c>
    </row>
    <row r="11" spans="1:16">
      <c r="A11" s="9" t="s">
        <v>169</v>
      </c>
      <c r="B11" s="15">
        <v>29.090242138886701</v>
      </c>
      <c r="C11" s="15">
        <v>28.696431242098399</v>
      </c>
      <c r="D11" s="24">
        <v>29.434770230573299</v>
      </c>
      <c r="E11" s="15">
        <v>29.909821412830599</v>
      </c>
      <c r="F11" s="15">
        <v>30.367909712279602</v>
      </c>
      <c r="G11" s="24">
        <v>29.506704611155801</v>
      </c>
      <c r="H11" s="15">
        <v>28.173245707073999</v>
      </c>
      <c r="I11" s="15">
        <v>26.8312664425398</v>
      </c>
      <c r="J11" s="24">
        <v>29.3578629790272</v>
      </c>
      <c r="K11" s="20" t="s">
        <v>80</v>
      </c>
      <c r="L11" s="20" t="s">
        <v>80</v>
      </c>
      <c r="M11" s="26" t="s">
        <v>80</v>
      </c>
      <c r="N11" s="15">
        <v>32.187869932544501</v>
      </c>
      <c r="O11" s="20" t="s">
        <v>80</v>
      </c>
      <c r="P11" s="26" t="s">
        <v>80</v>
      </c>
    </row>
    <row r="12" spans="1:16">
      <c r="A12" s="9" t="s">
        <v>170</v>
      </c>
      <c r="B12" s="15">
        <v>6.5633374182740196</v>
      </c>
      <c r="C12" s="15">
        <v>8.5944003920599492</v>
      </c>
      <c r="D12" s="24">
        <v>4.7864484186031602</v>
      </c>
      <c r="E12" s="15">
        <v>7.4848685457126898</v>
      </c>
      <c r="F12" s="15">
        <v>9.8352835772190694</v>
      </c>
      <c r="G12" s="24">
        <v>5.4165079452587399</v>
      </c>
      <c r="H12" s="15">
        <v>5.41768352403672</v>
      </c>
      <c r="I12" s="15">
        <v>7.3568775137054701</v>
      </c>
      <c r="J12" s="24">
        <v>3.7058815949459101</v>
      </c>
      <c r="K12" s="20" t="s">
        <v>80</v>
      </c>
      <c r="L12" s="20" t="s">
        <v>80</v>
      </c>
      <c r="M12" s="26" t="s">
        <v>80</v>
      </c>
      <c r="N12" s="20" t="s">
        <v>80</v>
      </c>
      <c r="O12" s="20" t="s">
        <v>80</v>
      </c>
      <c r="P12" s="26" t="s">
        <v>80</v>
      </c>
    </row>
    <row r="13" spans="1:16">
      <c r="A13" s="9" t="s">
        <v>171</v>
      </c>
      <c r="B13" s="15">
        <v>5.1341028062490999</v>
      </c>
      <c r="C13" s="15">
        <v>6.6619729184785497</v>
      </c>
      <c r="D13" s="24">
        <v>3.7974354402511499</v>
      </c>
      <c r="E13" s="15">
        <v>1.92448839981779</v>
      </c>
      <c r="F13" s="20" t="s">
        <v>80</v>
      </c>
      <c r="G13" s="26" t="s">
        <v>80</v>
      </c>
      <c r="H13" s="15">
        <v>8.26889703385819</v>
      </c>
      <c r="I13" s="15">
        <v>11.4912645111141</v>
      </c>
      <c r="J13" s="24">
        <v>5.4243879784498299</v>
      </c>
      <c r="K13" s="20" t="s">
        <v>80</v>
      </c>
      <c r="L13" s="20" t="s">
        <v>80</v>
      </c>
      <c r="M13" s="26" t="s">
        <v>80</v>
      </c>
      <c r="N13" s="20" t="s">
        <v>80</v>
      </c>
      <c r="O13" s="20" t="s">
        <v>80</v>
      </c>
      <c r="P13" s="26" t="s">
        <v>80</v>
      </c>
    </row>
    <row r="14" spans="1:16">
      <c r="A14" s="9" t="s">
        <v>172</v>
      </c>
      <c r="B14" s="15">
        <v>32.476217044754399</v>
      </c>
      <c r="C14" s="15">
        <v>37.819227805175601</v>
      </c>
      <c r="D14" s="24">
        <v>27.801848417168902</v>
      </c>
      <c r="E14" s="15">
        <v>33.886829986651001</v>
      </c>
      <c r="F14" s="15">
        <v>38.171915907989501</v>
      </c>
      <c r="G14" s="24">
        <v>30.115962811939301</v>
      </c>
      <c r="H14" s="15">
        <v>30.565411916440901</v>
      </c>
      <c r="I14" s="15">
        <v>37.207847713749999</v>
      </c>
      <c r="J14" s="24">
        <v>24.701875585226301</v>
      </c>
      <c r="K14" s="20" t="s">
        <v>80</v>
      </c>
      <c r="L14" s="20" t="s">
        <v>80</v>
      </c>
      <c r="M14" s="26" t="s">
        <v>80</v>
      </c>
      <c r="N14" s="15">
        <v>40.790279027319301</v>
      </c>
      <c r="O14" s="20" t="s">
        <v>80</v>
      </c>
      <c r="P14" s="26" t="s">
        <v>80</v>
      </c>
    </row>
    <row r="15" spans="1:16">
      <c r="A15" s="9" t="s">
        <v>173</v>
      </c>
      <c r="B15" s="15">
        <v>40.5841402130524</v>
      </c>
      <c r="C15" s="15">
        <v>44.2944616360071</v>
      </c>
      <c r="D15" s="24">
        <v>37.338140750316803</v>
      </c>
      <c r="E15" s="15">
        <v>47.247454807881901</v>
      </c>
      <c r="F15" s="15">
        <v>50.598491263409102</v>
      </c>
      <c r="G15" s="24">
        <v>44.298549324217198</v>
      </c>
      <c r="H15" s="15">
        <v>34.385236154474399</v>
      </c>
      <c r="I15" s="15">
        <v>38.759424994578502</v>
      </c>
      <c r="J15" s="24">
        <v>30.523969600127899</v>
      </c>
      <c r="K15" s="20" t="s">
        <v>80</v>
      </c>
      <c r="L15" s="20" t="s">
        <v>80</v>
      </c>
      <c r="M15" s="26" t="s">
        <v>80</v>
      </c>
      <c r="N15" s="15">
        <v>35.673259555695502</v>
      </c>
      <c r="O15" s="20" t="s">
        <v>80</v>
      </c>
      <c r="P15" s="26" t="s">
        <v>80</v>
      </c>
    </row>
    <row r="16" spans="1:16">
      <c r="A16" s="9" t="s">
        <v>174</v>
      </c>
      <c r="B16" s="15">
        <v>3.2368094499157198</v>
      </c>
      <c r="C16" s="15">
        <v>4.50262850111947</v>
      </c>
      <c r="D16" s="24">
        <v>2.1293992038093701</v>
      </c>
      <c r="E16" s="15">
        <v>4.0929368676376097</v>
      </c>
      <c r="F16" s="15">
        <v>5.1566023621311396</v>
      </c>
      <c r="G16" s="24">
        <v>3.1569133265259102</v>
      </c>
      <c r="H16" s="15">
        <v>2.2024000565142798</v>
      </c>
      <c r="I16" s="15">
        <v>3.6621535895950701</v>
      </c>
      <c r="J16" s="26" t="s">
        <v>80</v>
      </c>
      <c r="K16" s="20" t="s">
        <v>80</v>
      </c>
      <c r="L16" s="20" t="s">
        <v>80</v>
      </c>
      <c r="M16" s="26" t="s">
        <v>80</v>
      </c>
      <c r="N16" s="20" t="s">
        <v>80</v>
      </c>
      <c r="O16" s="20" t="s">
        <v>80</v>
      </c>
      <c r="P16" s="26" t="s">
        <v>80</v>
      </c>
    </row>
    <row r="17" spans="1:16">
      <c r="A17" s="9" t="s">
        <v>175</v>
      </c>
      <c r="B17" s="15">
        <v>64.091070039602002</v>
      </c>
      <c r="C17" s="15">
        <v>65.140862933007597</v>
      </c>
      <c r="D17" s="24">
        <v>63.172651719589098</v>
      </c>
      <c r="E17" s="15">
        <v>65.505852654817403</v>
      </c>
      <c r="F17" s="15">
        <v>65.417020450413304</v>
      </c>
      <c r="G17" s="24">
        <v>65.584024819808704</v>
      </c>
      <c r="H17" s="15">
        <v>63.1190777631857</v>
      </c>
      <c r="I17" s="15">
        <v>65.262766658822997</v>
      </c>
      <c r="J17" s="24">
        <v>61.226760229987697</v>
      </c>
      <c r="K17" s="15">
        <v>55.376561004164401</v>
      </c>
      <c r="L17" s="20" t="s">
        <v>80</v>
      </c>
      <c r="M17" s="26" t="s">
        <v>80</v>
      </c>
      <c r="N17" s="15">
        <v>58.221855385330201</v>
      </c>
      <c r="O17" s="15">
        <v>57.736036426490699</v>
      </c>
      <c r="P17" s="24">
        <v>58.642138307411301</v>
      </c>
    </row>
    <row r="18" spans="1:16">
      <c r="A18" s="9" t="s">
        <v>176</v>
      </c>
      <c r="B18" s="15">
        <v>35.235381275064199</v>
      </c>
      <c r="C18" s="15">
        <v>44.617354460947098</v>
      </c>
      <c r="D18" s="24">
        <v>27.027499410068302</v>
      </c>
      <c r="E18" s="15">
        <v>18.443892387532799</v>
      </c>
      <c r="F18" s="15">
        <v>28.900986350886502</v>
      </c>
      <c r="G18" s="24">
        <v>9.2416702867051992</v>
      </c>
      <c r="H18" s="15">
        <v>52.511820802554098</v>
      </c>
      <c r="I18" s="15">
        <v>60.742726855651703</v>
      </c>
      <c r="J18" s="24">
        <v>45.246080018021097</v>
      </c>
      <c r="K18" s="20" t="s">
        <v>80</v>
      </c>
      <c r="L18" s="20" t="s">
        <v>80</v>
      </c>
      <c r="M18" s="26" t="s">
        <v>80</v>
      </c>
      <c r="N18" s="15">
        <v>32.857501332651303</v>
      </c>
      <c r="O18" s="20" t="s">
        <v>80</v>
      </c>
      <c r="P18" s="26" t="s">
        <v>80</v>
      </c>
    </row>
    <row r="19" spans="1:16">
      <c r="A19" s="9" t="s">
        <v>177</v>
      </c>
      <c r="B19" s="15">
        <v>40.072733493236399</v>
      </c>
      <c r="C19" s="15">
        <v>44.674778425322899</v>
      </c>
      <c r="D19" s="24">
        <v>36.0466037664102</v>
      </c>
      <c r="E19" s="15">
        <v>43.782301278935599</v>
      </c>
      <c r="F19" s="15">
        <v>46.741963853647398</v>
      </c>
      <c r="G19" s="24">
        <v>41.177804039888997</v>
      </c>
      <c r="H19" s="15">
        <v>36.615147233850401</v>
      </c>
      <c r="I19" s="15">
        <v>42.5454752168407</v>
      </c>
      <c r="J19" s="24">
        <v>31.380216156553601</v>
      </c>
      <c r="K19" s="20" t="s">
        <v>80</v>
      </c>
      <c r="L19" s="20" t="s">
        <v>80</v>
      </c>
      <c r="M19" s="26" t="s">
        <v>80</v>
      </c>
      <c r="N19" s="15">
        <v>36.542894226126201</v>
      </c>
      <c r="O19" s="20" t="s">
        <v>80</v>
      </c>
      <c r="P19" s="26" t="s">
        <v>80</v>
      </c>
    </row>
    <row r="20" spans="1:16">
      <c r="A20" s="9" t="s">
        <v>178</v>
      </c>
      <c r="B20" s="15">
        <v>2.535655759095</v>
      </c>
      <c r="C20" s="15">
        <v>3.26604840632606</v>
      </c>
      <c r="D20" s="24">
        <v>1.8966668763986601</v>
      </c>
      <c r="E20" s="15">
        <v>3.5998760959674998</v>
      </c>
      <c r="F20" s="15">
        <v>4.6270382780318604</v>
      </c>
      <c r="G20" s="24">
        <v>2.69597539792924</v>
      </c>
      <c r="H20" s="15">
        <v>1.3347573850469201</v>
      </c>
      <c r="I20" s="20" t="s">
        <v>80</v>
      </c>
      <c r="J20" s="26" t="s">
        <v>80</v>
      </c>
      <c r="K20" s="20" t="s">
        <v>80</v>
      </c>
      <c r="L20" s="20" t="s">
        <v>80</v>
      </c>
      <c r="M20" s="26" t="s">
        <v>80</v>
      </c>
      <c r="N20" s="20" t="s">
        <v>80</v>
      </c>
      <c r="O20" s="20" t="s">
        <v>80</v>
      </c>
      <c r="P20" s="26" t="s">
        <v>80</v>
      </c>
    </row>
    <row r="21" spans="1:16">
      <c r="A21" s="9" t="s">
        <v>179</v>
      </c>
      <c r="B21" s="15">
        <v>13.9903477785644</v>
      </c>
      <c r="C21" s="15">
        <v>12.9035894989747</v>
      </c>
      <c r="D21" s="24">
        <v>14.9411055134193</v>
      </c>
      <c r="E21" s="15">
        <v>10.2866717962841</v>
      </c>
      <c r="F21" s="15">
        <v>12.765030176383201</v>
      </c>
      <c r="G21" s="24">
        <v>8.1057213009511599</v>
      </c>
      <c r="H21" s="15">
        <v>17.9315100813733</v>
      </c>
      <c r="I21" s="15">
        <v>13.188206064712899</v>
      </c>
      <c r="J21" s="24">
        <v>22.118608952987699</v>
      </c>
      <c r="K21" s="20" t="s">
        <v>80</v>
      </c>
      <c r="L21" s="20" t="s">
        <v>80</v>
      </c>
      <c r="M21" s="26" t="s">
        <v>80</v>
      </c>
      <c r="N21" s="20" t="s">
        <v>80</v>
      </c>
      <c r="O21" s="20" t="s">
        <v>80</v>
      </c>
      <c r="P21" s="26" t="s">
        <v>80</v>
      </c>
    </row>
    <row r="22" spans="1:16">
      <c r="A22" s="9" t="s">
        <v>180</v>
      </c>
      <c r="B22" s="15">
        <v>22.830488579168701</v>
      </c>
      <c r="C22" s="15">
        <v>22.120890114948999</v>
      </c>
      <c r="D22" s="24">
        <v>23.451285532059298</v>
      </c>
      <c r="E22" s="15">
        <v>30.7271590029418</v>
      </c>
      <c r="F22" s="15">
        <v>28.3698256586902</v>
      </c>
      <c r="G22" s="24">
        <v>32.801607704991397</v>
      </c>
      <c r="H22" s="15">
        <v>15.1812199737311</v>
      </c>
      <c r="I22" s="15">
        <v>16.113546701338901</v>
      </c>
      <c r="J22" s="24">
        <v>14.358218923106699</v>
      </c>
      <c r="K22" s="20" t="s">
        <v>80</v>
      </c>
      <c r="L22" s="20" t="s">
        <v>80</v>
      </c>
      <c r="M22" s="26" t="s">
        <v>80</v>
      </c>
      <c r="N22" s="20" t="s">
        <v>80</v>
      </c>
      <c r="O22" s="20" t="s">
        <v>80</v>
      </c>
      <c r="P22" s="26" t="s">
        <v>80</v>
      </c>
    </row>
    <row r="23" spans="1:16">
      <c r="A23" s="9" t="s">
        <v>181</v>
      </c>
      <c r="B23" s="15">
        <v>21.989431730957701</v>
      </c>
      <c r="C23" s="15">
        <v>21.4031124139937</v>
      </c>
      <c r="D23" s="24">
        <v>22.502377099001102</v>
      </c>
      <c r="E23" s="15">
        <v>14.852100387124599</v>
      </c>
      <c r="F23" s="15">
        <v>15.966089836286001</v>
      </c>
      <c r="G23" s="24">
        <v>13.871791864978</v>
      </c>
      <c r="H23" s="15">
        <v>29.2537948257045</v>
      </c>
      <c r="I23" s="15">
        <v>26.956724923360699</v>
      </c>
      <c r="J23" s="24">
        <v>31.281507736861101</v>
      </c>
      <c r="K23" s="20" t="s">
        <v>80</v>
      </c>
      <c r="L23" s="20" t="s">
        <v>80</v>
      </c>
      <c r="M23" s="26" t="s">
        <v>80</v>
      </c>
      <c r="N23" s="20" t="s">
        <v>80</v>
      </c>
      <c r="O23" s="20" t="s">
        <v>80</v>
      </c>
      <c r="P23" s="26" t="s">
        <v>80</v>
      </c>
    </row>
    <row r="24" spans="1:16">
      <c r="A24" s="9" t="s">
        <v>182</v>
      </c>
      <c r="B24" s="15">
        <v>65.364696468787002</v>
      </c>
      <c r="C24" s="15">
        <v>69.118599812741195</v>
      </c>
      <c r="D24" s="24">
        <v>62.080569071561897</v>
      </c>
      <c r="E24" s="15">
        <v>77.831577190991098</v>
      </c>
      <c r="F24" s="15">
        <v>80.333781170753198</v>
      </c>
      <c r="G24" s="24">
        <v>75.629642614899595</v>
      </c>
      <c r="H24" s="15">
        <v>53.720535687572799</v>
      </c>
      <c r="I24" s="15">
        <v>58.613169010698698</v>
      </c>
      <c r="J24" s="24">
        <v>49.401618031329697</v>
      </c>
      <c r="K24" s="20" t="s">
        <v>80</v>
      </c>
      <c r="L24" s="20" t="s">
        <v>80</v>
      </c>
      <c r="M24" s="26" t="s">
        <v>80</v>
      </c>
      <c r="N24" s="15">
        <v>55.532120759636499</v>
      </c>
      <c r="O24" s="15">
        <v>59.7249978551841</v>
      </c>
      <c r="P24" s="26" t="s">
        <v>80</v>
      </c>
    </row>
    <row r="25" spans="1:16">
      <c r="A25" s="9" t="s">
        <v>183</v>
      </c>
      <c r="B25" s="15">
        <v>1.8586410404453</v>
      </c>
      <c r="C25" s="15">
        <v>2.2929011479760502</v>
      </c>
      <c r="D25" s="24">
        <v>1.47872568674805</v>
      </c>
      <c r="E25" s="15">
        <v>2.4533709626165598</v>
      </c>
      <c r="F25" s="15">
        <v>2.9293632169953798</v>
      </c>
      <c r="G25" s="26" t="s">
        <v>80</v>
      </c>
      <c r="H25" s="20" t="s">
        <v>80</v>
      </c>
      <c r="I25" s="20" t="s">
        <v>80</v>
      </c>
      <c r="J25" s="26" t="s">
        <v>80</v>
      </c>
      <c r="K25" s="20" t="s">
        <v>80</v>
      </c>
      <c r="L25" s="20" t="s">
        <v>80</v>
      </c>
      <c r="M25" s="26" t="s">
        <v>80</v>
      </c>
      <c r="N25" s="20" t="s">
        <v>80</v>
      </c>
      <c r="O25" s="20" t="s">
        <v>80</v>
      </c>
      <c r="P25" s="26" t="s">
        <v>80</v>
      </c>
    </row>
    <row r="26" spans="1:16">
      <c r="A26" s="9" t="s">
        <v>184</v>
      </c>
      <c r="B26" s="15">
        <v>34.966819092154203</v>
      </c>
      <c r="C26" s="15">
        <v>36.687138833368202</v>
      </c>
      <c r="D26" s="24">
        <v>33.4617858836653</v>
      </c>
      <c r="E26" s="15">
        <v>40.4739820109628</v>
      </c>
      <c r="F26" s="15">
        <v>41.570715841955703</v>
      </c>
      <c r="G26" s="24">
        <v>39.508858398833503</v>
      </c>
      <c r="H26" s="15">
        <v>30.00469403568</v>
      </c>
      <c r="I26" s="15">
        <v>32.042353837702898</v>
      </c>
      <c r="J26" s="24">
        <v>28.205972505747098</v>
      </c>
      <c r="K26" s="20" t="s">
        <v>80</v>
      </c>
      <c r="L26" s="20" t="s">
        <v>80</v>
      </c>
      <c r="M26" s="26" t="s">
        <v>80</v>
      </c>
      <c r="N26" s="15">
        <v>30.109651094694701</v>
      </c>
      <c r="O26" s="20" t="s">
        <v>80</v>
      </c>
      <c r="P26" s="26" t="s">
        <v>80</v>
      </c>
    </row>
    <row r="27" spans="1:16">
      <c r="A27" s="9" t="s">
        <v>185</v>
      </c>
      <c r="B27" s="15">
        <v>16.465455528756198</v>
      </c>
      <c r="C27" s="15">
        <v>20.5580897299436</v>
      </c>
      <c r="D27" s="24">
        <v>12.884987180100699</v>
      </c>
      <c r="E27" s="15">
        <v>6.7053226364712604</v>
      </c>
      <c r="F27" s="15">
        <v>7.1356641654623996</v>
      </c>
      <c r="G27" s="24">
        <v>6.3266229381741796</v>
      </c>
      <c r="H27" s="15">
        <v>26.443799834907299</v>
      </c>
      <c r="I27" s="15">
        <v>34.341189901503903</v>
      </c>
      <c r="J27" s="24">
        <v>19.472466578510399</v>
      </c>
      <c r="K27" s="20" t="s">
        <v>80</v>
      </c>
      <c r="L27" s="20" t="s">
        <v>80</v>
      </c>
      <c r="M27" s="26" t="s">
        <v>80</v>
      </c>
      <c r="N27" s="20" t="s">
        <v>80</v>
      </c>
      <c r="O27" s="20" t="s">
        <v>80</v>
      </c>
      <c r="P27" s="26" t="s">
        <v>80</v>
      </c>
    </row>
    <row r="28" spans="1:16">
      <c r="A28" s="9" t="s">
        <v>186</v>
      </c>
      <c r="B28" s="15">
        <v>18.833311541385498</v>
      </c>
      <c r="C28" s="15">
        <v>24.189986661949199</v>
      </c>
      <c r="D28" s="24">
        <v>14.1469885571217</v>
      </c>
      <c r="E28" s="15">
        <v>10.065912063703401</v>
      </c>
      <c r="F28" s="15">
        <v>14.1118995403521</v>
      </c>
      <c r="G28" s="24">
        <v>6.5054510496046296</v>
      </c>
      <c r="H28" s="15">
        <v>27.498430852093399</v>
      </c>
      <c r="I28" s="15">
        <v>34.565775105930797</v>
      </c>
      <c r="J28" s="24">
        <v>21.259811306178602</v>
      </c>
      <c r="K28" s="20" t="s">
        <v>80</v>
      </c>
      <c r="L28" s="20" t="s">
        <v>80</v>
      </c>
      <c r="M28" s="26" t="s">
        <v>80</v>
      </c>
      <c r="N28" s="20" t="s">
        <v>80</v>
      </c>
      <c r="O28" s="20" t="s">
        <v>80</v>
      </c>
      <c r="P28" s="26" t="s">
        <v>80</v>
      </c>
    </row>
    <row r="29" spans="1:16">
      <c r="A29" s="9" t="s">
        <v>187</v>
      </c>
      <c r="B29" s="15">
        <v>2.0934244503346902</v>
      </c>
      <c r="C29" s="15">
        <v>2.5177559717133202</v>
      </c>
      <c r="D29" s="24">
        <v>1.7221951865045</v>
      </c>
      <c r="E29" s="15">
        <v>2.96130642388143</v>
      </c>
      <c r="F29" s="15">
        <v>3.4122177427126199</v>
      </c>
      <c r="G29" s="24">
        <v>2.5645053510209399</v>
      </c>
      <c r="H29" s="15">
        <v>1.0711048593729899</v>
      </c>
      <c r="I29" s="20" t="s">
        <v>80</v>
      </c>
      <c r="J29" s="26" t="s">
        <v>80</v>
      </c>
      <c r="K29" s="20" t="s">
        <v>80</v>
      </c>
      <c r="L29" s="20" t="s">
        <v>80</v>
      </c>
      <c r="M29" s="26" t="s">
        <v>80</v>
      </c>
      <c r="N29" s="20" t="s">
        <v>80</v>
      </c>
      <c r="O29" s="20" t="s">
        <v>80</v>
      </c>
      <c r="P29" s="26" t="s">
        <v>80</v>
      </c>
    </row>
    <row r="30" spans="1:16">
      <c r="A30" s="9" t="s">
        <v>188</v>
      </c>
      <c r="B30" s="15">
        <v>3.9671569629441201</v>
      </c>
      <c r="C30" s="15">
        <v>4.1934235997983897</v>
      </c>
      <c r="D30" s="24">
        <v>3.7692060853948002</v>
      </c>
      <c r="E30" s="15">
        <v>5.3604943218451302</v>
      </c>
      <c r="F30" s="15">
        <v>5.4190326612279502</v>
      </c>
      <c r="G30" s="24">
        <v>5.3089806984329204</v>
      </c>
      <c r="H30" s="15">
        <v>2.4279818908423998</v>
      </c>
      <c r="I30" s="15">
        <v>2.7551451155504498</v>
      </c>
      <c r="J30" s="24">
        <v>2.1391821925314201</v>
      </c>
      <c r="K30" s="20" t="s">
        <v>80</v>
      </c>
      <c r="L30" s="20" t="s">
        <v>80</v>
      </c>
      <c r="M30" s="26" t="s">
        <v>80</v>
      </c>
      <c r="N30" s="20" t="s">
        <v>80</v>
      </c>
      <c r="O30" s="20" t="s">
        <v>80</v>
      </c>
      <c r="P30" s="26" t="s">
        <v>80</v>
      </c>
    </row>
    <row r="31" spans="1:16">
      <c r="A31" s="9" t="s">
        <v>189</v>
      </c>
      <c r="B31" s="15">
        <v>9.2423781601411097</v>
      </c>
      <c r="C31" s="15">
        <v>12.3153254800798</v>
      </c>
      <c r="D31" s="24">
        <v>6.5539896858098503</v>
      </c>
      <c r="E31" s="15">
        <v>11.8665200621952</v>
      </c>
      <c r="F31" s="15">
        <v>15.802648263164899</v>
      </c>
      <c r="G31" s="24">
        <v>8.4027349944135103</v>
      </c>
      <c r="H31" s="15">
        <v>6.2885927922889504</v>
      </c>
      <c r="I31" s="15">
        <v>8.4194396794677004</v>
      </c>
      <c r="J31" s="24">
        <v>4.4076113992449004</v>
      </c>
      <c r="K31" s="20" t="s">
        <v>80</v>
      </c>
      <c r="L31" s="20" t="s">
        <v>80</v>
      </c>
      <c r="M31" s="26" t="s">
        <v>80</v>
      </c>
      <c r="N31" s="20" t="s">
        <v>80</v>
      </c>
      <c r="O31" s="20" t="s">
        <v>80</v>
      </c>
      <c r="P31" s="26" t="s">
        <v>80</v>
      </c>
    </row>
    <row r="32" spans="1:16">
      <c r="A32" s="9" t="s">
        <v>190</v>
      </c>
      <c r="B32" s="15">
        <v>1.36508418128091</v>
      </c>
      <c r="C32" s="15">
        <v>1.3523168075590599</v>
      </c>
      <c r="D32" s="26" t="s">
        <v>80</v>
      </c>
      <c r="E32" s="15">
        <v>1.52896623689207</v>
      </c>
      <c r="F32" s="20" t="s">
        <v>80</v>
      </c>
      <c r="G32" s="26" t="s">
        <v>80</v>
      </c>
      <c r="H32" s="20" t="s">
        <v>80</v>
      </c>
      <c r="I32" s="20" t="s">
        <v>80</v>
      </c>
      <c r="J32" s="26" t="s">
        <v>80</v>
      </c>
      <c r="K32" s="20" t="s">
        <v>80</v>
      </c>
      <c r="L32" s="20" t="s">
        <v>80</v>
      </c>
      <c r="M32" s="26" t="s">
        <v>80</v>
      </c>
      <c r="N32" s="20" t="s">
        <v>80</v>
      </c>
      <c r="O32" s="20" t="s">
        <v>80</v>
      </c>
      <c r="P32" s="26" t="s">
        <v>80</v>
      </c>
    </row>
    <row r="33" spans="1:16">
      <c r="A33" s="9" t="s">
        <v>191</v>
      </c>
      <c r="B33" s="15">
        <v>13.3869967785929</v>
      </c>
      <c r="C33" s="15">
        <v>15.587685137879999</v>
      </c>
      <c r="D33" s="24">
        <v>11.461709878191099</v>
      </c>
      <c r="E33" s="15">
        <v>12.301886845712801</v>
      </c>
      <c r="F33" s="15">
        <v>14.8242031944096</v>
      </c>
      <c r="G33" s="24">
        <v>10.0822534245541</v>
      </c>
      <c r="H33" s="15">
        <v>14.376388908375</v>
      </c>
      <c r="I33" s="15">
        <v>16.261836037006901</v>
      </c>
      <c r="J33" s="24">
        <v>12.7120314231591</v>
      </c>
      <c r="K33" s="20" t="s">
        <v>80</v>
      </c>
      <c r="L33" s="20" t="s">
        <v>80</v>
      </c>
      <c r="M33" s="26" t="s">
        <v>80</v>
      </c>
      <c r="N33" s="20" t="s">
        <v>80</v>
      </c>
      <c r="O33" s="20" t="s">
        <v>80</v>
      </c>
      <c r="P33" s="26" t="s">
        <v>80</v>
      </c>
    </row>
    <row r="34" spans="1:16">
      <c r="A34" s="9" t="s">
        <v>192</v>
      </c>
      <c r="B34" s="15">
        <v>27.656793256458901</v>
      </c>
      <c r="C34" s="15">
        <v>26.158950529664601</v>
      </c>
      <c r="D34" s="24">
        <v>28.967190963880402</v>
      </c>
      <c r="E34" s="15">
        <v>38.613905203765597</v>
      </c>
      <c r="F34" s="15">
        <v>36.688067940347402</v>
      </c>
      <c r="G34" s="24">
        <v>40.308638204169903</v>
      </c>
      <c r="H34" s="15">
        <v>16.777098788323901</v>
      </c>
      <c r="I34" s="15">
        <v>15.814703252597599</v>
      </c>
      <c r="J34" s="24">
        <v>17.626642744927199</v>
      </c>
      <c r="K34" s="20" t="s">
        <v>80</v>
      </c>
      <c r="L34" s="20" t="s">
        <v>80</v>
      </c>
      <c r="M34" s="26" t="s">
        <v>80</v>
      </c>
      <c r="N34" s="20" t="s">
        <v>80</v>
      </c>
      <c r="O34" s="20" t="s">
        <v>80</v>
      </c>
      <c r="P34" s="26" t="s">
        <v>80</v>
      </c>
    </row>
    <row r="35" spans="1:16">
      <c r="A35" s="9" t="s">
        <v>193</v>
      </c>
      <c r="B35" s="15">
        <v>24.6752877099144</v>
      </c>
      <c r="C35" s="15">
        <v>23.601567509802901</v>
      </c>
      <c r="D35" s="24">
        <v>25.6146389939104</v>
      </c>
      <c r="E35" s="15">
        <v>32.8077015744528</v>
      </c>
      <c r="F35" s="15">
        <v>29.583721692501801</v>
      </c>
      <c r="G35" s="24">
        <v>35.6447975235073</v>
      </c>
      <c r="H35" s="15">
        <v>16.713235133291601</v>
      </c>
      <c r="I35" s="15">
        <v>17.717141111678099</v>
      </c>
      <c r="J35" s="24">
        <v>15.8270482950572</v>
      </c>
      <c r="K35" s="20" t="s">
        <v>80</v>
      </c>
      <c r="L35" s="20" t="s">
        <v>80</v>
      </c>
      <c r="M35" s="26" t="s">
        <v>80</v>
      </c>
      <c r="N35" s="20" t="s">
        <v>80</v>
      </c>
      <c r="O35" s="20" t="s">
        <v>80</v>
      </c>
      <c r="P35" s="26" t="s">
        <v>80</v>
      </c>
    </row>
    <row r="36" spans="1:16">
      <c r="A36" s="9" t="s">
        <v>194</v>
      </c>
      <c r="B36" s="15">
        <v>28.277452658283501</v>
      </c>
      <c r="C36" s="15">
        <v>31.101641592062599</v>
      </c>
      <c r="D36" s="24">
        <v>25.806692118510501</v>
      </c>
      <c r="E36" s="15">
        <v>14.950419704183499</v>
      </c>
      <c r="F36" s="15">
        <v>22.2794760201736</v>
      </c>
      <c r="G36" s="24">
        <v>8.50086457485531</v>
      </c>
      <c r="H36" s="15">
        <v>41.825485438281</v>
      </c>
      <c r="I36" s="15">
        <v>40.063822139039701</v>
      </c>
      <c r="J36" s="24">
        <v>43.380574124671298</v>
      </c>
      <c r="K36" s="20" t="s">
        <v>80</v>
      </c>
      <c r="L36" s="20" t="s">
        <v>80</v>
      </c>
      <c r="M36" s="26" t="s">
        <v>80</v>
      </c>
      <c r="N36" s="15">
        <v>31.310549498708301</v>
      </c>
      <c r="O36" s="20" t="s">
        <v>80</v>
      </c>
      <c r="P36" s="26" t="s">
        <v>80</v>
      </c>
    </row>
    <row r="37" spans="1:16">
      <c r="A37" s="9" t="s">
        <v>195</v>
      </c>
      <c r="B37" s="15">
        <v>32.881540428308497</v>
      </c>
      <c r="C37" s="15">
        <v>29.852231145544501</v>
      </c>
      <c r="D37" s="24">
        <v>35.5317518745399</v>
      </c>
      <c r="E37" s="15">
        <v>30.7353547220835</v>
      </c>
      <c r="F37" s="15">
        <v>28.440467004429902</v>
      </c>
      <c r="G37" s="24">
        <v>32.754851395663998</v>
      </c>
      <c r="H37" s="15">
        <v>35.150263532837798</v>
      </c>
      <c r="I37" s="15">
        <v>31.1051432007526</v>
      </c>
      <c r="J37" s="24">
        <v>38.721048521218798</v>
      </c>
      <c r="K37" s="20" t="s">
        <v>80</v>
      </c>
      <c r="L37" s="20" t="s">
        <v>80</v>
      </c>
      <c r="M37" s="26" t="s">
        <v>80</v>
      </c>
      <c r="N37" s="15">
        <v>33.452991659841501</v>
      </c>
      <c r="O37" s="20" t="s">
        <v>80</v>
      </c>
      <c r="P37" s="26" t="s">
        <v>80</v>
      </c>
    </row>
    <row r="38" spans="1:16">
      <c r="A38" s="9" t="s">
        <v>196</v>
      </c>
      <c r="B38" s="15">
        <v>24.020439910571401</v>
      </c>
      <c r="C38" s="15">
        <v>30.379374067121901</v>
      </c>
      <c r="D38" s="24">
        <v>18.457283918739201</v>
      </c>
      <c r="E38" s="15">
        <v>30.878183864308699</v>
      </c>
      <c r="F38" s="15">
        <v>37.105372861417202</v>
      </c>
      <c r="G38" s="24">
        <v>25.398269806345699</v>
      </c>
      <c r="H38" s="15">
        <v>16.418039819151101</v>
      </c>
      <c r="I38" s="15">
        <v>22.333691674455</v>
      </c>
      <c r="J38" s="24">
        <v>11.1960639303598</v>
      </c>
      <c r="K38" s="20" t="s">
        <v>80</v>
      </c>
      <c r="L38" s="20" t="s">
        <v>80</v>
      </c>
      <c r="M38" s="26" t="s">
        <v>80</v>
      </c>
      <c r="N38" s="15">
        <v>36.613772195850899</v>
      </c>
      <c r="O38" s="20" t="s">
        <v>80</v>
      </c>
      <c r="P38" s="26" t="s">
        <v>80</v>
      </c>
    </row>
    <row r="39" spans="1:16">
      <c r="A39" s="9" t="s">
        <v>197</v>
      </c>
      <c r="B39" s="15">
        <v>43.564478611668797</v>
      </c>
      <c r="C39" s="15">
        <v>36.457470838535002</v>
      </c>
      <c r="D39" s="24">
        <v>49.782091800253298</v>
      </c>
      <c r="E39" s="15">
        <v>52.290441063294899</v>
      </c>
      <c r="F39" s="15">
        <v>45.109230526470199</v>
      </c>
      <c r="G39" s="24">
        <v>58.609892198022202</v>
      </c>
      <c r="H39" s="15">
        <v>35.310532832472298</v>
      </c>
      <c r="I39" s="15">
        <v>28.054408321134201</v>
      </c>
      <c r="J39" s="24">
        <v>41.715796051317902</v>
      </c>
      <c r="K39" s="20" t="s">
        <v>80</v>
      </c>
      <c r="L39" s="20" t="s">
        <v>80</v>
      </c>
      <c r="M39" s="26" t="s">
        <v>80</v>
      </c>
      <c r="N39" s="15">
        <v>35.3589105764447</v>
      </c>
      <c r="O39" s="20" t="s">
        <v>80</v>
      </c>
      <c r="P39" s="26" t="s">
        <v>80</v>
      </c>
    </row>
    <row r="40" spans="1:16">
      <c r="A40" s="9" t="s">
        <v>198</v>
      </c>
      <c r="B40" s="15">
        <v>15.5772818790409</v>
      </c>
      <c r="C40" s="15">
        <v>17.649472187810598</v>
      </c>
      <c r="D40" s="24">
        <v>13.764412355840401</v>
      </c>
      <c r="E40" s="15">
        <v>7.8881315207644098</v>
      </c>
      <c r="F40" s="15">
        <v>9.7757039488064699</v>
      </c>
      <c r="G40" s="24">
        <v>6.2270715001589299</v>
      </c>
      <c r="H40" s="15">
        <v>22.7827797545194</v>
      </c>
      <c r="I40" s="15">
        <v>25.352418299311999</v>
      </c>
      <c r="J40" s="24">
        <v>20.514459905408501</v>
      </c>
      <c r="K40" s="20" t="s">
        <v>80</v>
      </c>
      <c r="L40" s="20" t="s">
        <v>80</v>
      </c>
      <c r="M40" s="26" t="s">
        <v>80</v>
      </c>
      <c r="N40" s="20" t="s">
        <v>80</v>
      </c>
      <c r="O40" s="20" t="s">
        <v>80</v>
      </c>
      <c r="P40" s="26" t="s">
        <v>80</v>
      </c>
    </row>
    <row r="41" spans="1:16">
      <c r="A41" s="9" t="s">
        <v>199</v>
      </c>
      <c r="B41" s="15">
        <v>34.953479383279301</v>
      </c>
      <c r="C41" s="15">
        <v>33.918368509833002</v>
      </c>
      <c r="D41" s="24">
        <v>35.859053040130597</v>
      </c>
      <c r="E41" s="15">
        <v>36.944144591932698</v>
      </c>
      <c r="F41" s="15">
        <v>37.094798665288302</v>
      </c>
      <c r="G41" s="24">
        <v>36.811569303973101</v>
      </c>
      <c r="H41" s="15">
        <v>33.289331843990503</v>
      </c>
      <c r="I41" s="15">
        <v>31.0871816441799</v>
      </c>
      <c r="J41" s="24">
        <v>35.2332554433141</v>
      </c>
      <c r="K41" s="20" t="s">
        <v>80</v>
      </c>
      <c r="L41" s="20" t="s">
        <v>80</v>
      </c>
      <c r="M41" s="26" t="s">
        <v>80</v>
      </c>
      <c r="N41" s="15">
        <v>31.9558978973606</v>
      </c>
      <c r="O41" s="20" t="s">
        <v>80</v>
      </c>
      <c r="P41" s="26" t="s">
        <v>80</v>
      </c>
    </row>
    <row r="42" spans="1:16">
      <c r="A42" s="9" t="s">
        <v>200</v>
      </c>
      <c r="B42" s="15">
        <v>11.084914459289401</v>
      </c>
      <c r="C42" s="15">
        <v>13.3626763942047</v>
      </c>
      <c r="D42" s="24">
        <v>9.0921992267943104</v>
      </c>
      <c r="E42" s="15">
        <v>12.035436984175</v>
      </c>
      <c r="F42" s="15">
        <v>13.884237052828199</v>
      </c>
      <c r="G42" s="24">
        <v>10.4084965635004</v>
      </c>
      <c r="H42" s="15">
        <v>9.7362258304773395</v>
      </c>
      <c r="I42" s="15">
        <v>12.5216300548785</v>
      </c>
      <c r="J42" s="24">
        <v>7.2774412271679196</v>
      </c>
      <c r="K42" s="20" t="s">
        <v>80</v>
      </c>
      <c r="L42" s="20" t="s">
        <v>80</v>
      </c>
      <c r="M42" s="26" t="s">
        <v>80</v>
      </c>
      <c r="N42" s="20" t="s">
        <v>80</v>
      </c>
      <c r="O42" s="20" t="s">
        <v>80</v>
      </c>
      <c r="P42" s="26" t="s">
        <v>80</v>
      </c>
    </row>
    <row r="43" spans="1:16">
      <c r="A43" s="9" t="s">
        <v>201</v>
      </c>
      <c r="B43" s="15">
        <v>41.449924950268397</v>
      </c>
      <c r="C43" s="15">
        <v>40.147213708730803</v>
      </c>
      <c r="D43" s="24">
        <v>42.589610575338398</v>
      </c>
      <c r="E43" s="15">
        <v>54.476003893769402</v>
      </c>
      <c r="F43" s="15">
        <v>52.346011747585898</v>
      </c>
      <c r="G43" s="24">
        <v>56.350392789086598</v>
      </c>
      <c r="H43" s="15">
        <v>29.138658800854301</v>
      </c>
      <c r="I43" s="15">
        <v>28.220911264100501</v>
      </c>
      <c r="J43" s="24">
        <v>29.948790232883901</v>
      </c>
      <c r="K43" s="20" t="s">
        <v>80</v>
      </c>
      <c r="L43" s="20" t="s">
        <v>80</v>
      </c>
      <c r="M43" s="26" t="s">
        <v>80</v>
      </c>
      <c r="N43" s="15">
        <v>36.728075378302101</v>
      </c>
      <c r="O43" s="20" t="s">
        <v>80</v>
      </c>
      <c r="P43" s="26" t="s">
        <v>80</v>
      </c>
    </row>
    <row r="44" spans="1:16">
      <c r="A44" s="9" t="s">
        <v>202</v>
      </c>
      <c r="B44" s="15">
        <v>75.308506130443604</v>
      </c>
      <c r="C44" s="15">
        <v>75.056243774812998</v>
      </c>
      <c r="D44" s="24">
        <v>75.529199536082103</v>
      </c>
      <c r="E44" s="15">
        <v>76.822080563634202</v>
      </c>
      <c r="F44" s="15">
        <v>76.188925719996206</v>
      </c>
      <c r="G44" s="24">
        <v>77.379255579540995</v>
      </c>
      <c r="H44" s="15">
        <v>74.092199474003806</v>
      </c>
      <c r="I44" s="15">
        <v>74.152205359019007</v>
      </c>
      <c r="J44" s="24">
        <v>74.039229946316993</v>
      </c>
      <c r="K44" s="15">
        <v>73.380544562330002</v>
      </c>
      <c r="L44" s="20" t="s">
        <v>80</v>
      </c>
      <c r="M44" s="24">
        <v>74.551401559484006</v>
      </c>
      <c r="N44" s="15">
        <v>69.207984825337206</v>
      </c>
      <c r="O44" s="15">
        <v>71.077248823513102</v>
      </c>
      <c r="P44" s="24">
        <v>67.590880920683404</v>
      </c>
    </row>
    <row r="45" spans="1:16">
      <c r="A45" s="9" t="s">
        <v>203</v>
      </c>
      <c r="B45" s="15">
        <v>9.9311683192350007</v>
      </c>
      <c r="C45" s="15">
        <v>12.329738909562399</v>
      </c>
      <c r="D45" s="24">
        <v>7.8327628281721999</v>
      </c>
      <c r="E45" s="15">
        <v>11.1385498638085</v>
      </c>
      <c r="F45" s="15">
        <v>13.4843512229545</v>
      </c>
      <c r="G45" s="24">
        <v>9.0742492859487704</v>
      </c>
      <c r="H45" s="15">
        <v>8.5719412613712596</v>
      </c>
      <c r="I45" s="15">
        <v>11.042447100596</v>
      </c>
      <c r="J45" s="24">
        <v>6.3911297056705196</v>
      </c>
      <c r="K45" s="20" t="s">
        <v>80</v>
      </c>
      <c r="L45" s="20" t="s">
        <v>80</v>
      </c>
      <c r="M45" s="26" t="s">
        <v>80</v>
      </c>
      <c r="N45" s="20" t="s">
        <v>80</v>
      </c>
      <c r="O45" s="20" t="s">
        <v>80</v>
      </c>
      <c r="P45" s="26" t="s">
        <v>80</v>
      </c>
    </row>
    <row r="46" spans="1:16">
      <c r="A46" s="9" t="s">
        <v>204</v>
      </c>
      <c r="B46" s="15">
        <v>25.317546191614401</v>
      </c>
      <c r="C46" s="15">
        <v>27.309243532753399</v>
      </c>
      <c r="D46" s="24">
        <v>23.5750964784248</v>
      </c>
      <c r="E46" s="15">
        <v>23.810457988227</v>
      </c>
      <c r="F46" s="15">
        <v>27.2658424686642</v>
      </c>
      <c r="G46" s="24">
        <v>20.7697264480718</v>
      </c>
      <c r="H46" s="15">
        <v>26.541608834016699</v>
      </c>
      <c r="I46" s="15">
        <v>27.270110761525501</v>
      </c>
      <c r="J46" s="24">
        <v>25.898531858995199</v>
      </c>
      <c r="K46" s="20" t="s">
        <v>80</v>
      </c>
      <c r="L46" s="20" t="s">
        <v>80</v>
      </c>
      <c r="M46" s="26" t="s">
        <v>80</v>
      </c>
      <c r="N46" s="15">
        <v>28.267838253547499</v>
      </c>
      <c r="O46" s="20" t="s">
        <v>80</v>
      </c>
      <c r="P46" s="26" t="s">
        <v>80</v>
      </c>
    </row>
    <row r="47" spans="1:16">
      <c r="A47" s="9" t="s">
        <v>205</v>
      </c>
      <c r="B47" s="15">
        <v>7.9309345514854801</v>
      </c>
      <c r="C47" s="15">
        <v>8.1557286935002793</v>
      </c>
      <c r="D47" s="24">
        <v>7.7342718958751497</v>
      </c>
      <c r="E47" s="15">
        <v>9.3629625796765801</v>
      </c>
      <c r="F47" s="15">
        <v>9.1986177523485697</v>
      </c>
      <c r="G47" s="24">
        <v>9.5075857041789007</v>
      </c>
      <c r="H47" s="15">
        <v>6.2856661884538196</v>
      </c>
      <c r="I47" s="15">
        <v>6.9310273122124899</v>
      </c>
      <c r="J47" s="24">
        <v>5.7159808333548101</v>
      </c>
      <c r="K47" s="20" t="s">
        <v>80</v>
      </c>
      <c r="L47" s="20" t="s">
        <v>80</v>
      </c>
      <c r="M47" s="26" t="s">
        <v>80</v>
      </c>
      <c r="N47" s="20" t="s">
        <v>80</v>
      </c>
      <c r="O47" s="20" t="s">
        <v>80</v>
      </c>
      <c r="P47" s="26" t="s">
        <v>80</v>
      </c>
    </row>
    <row r="48" spans="1:16">
      <c r="A48" s="9" t="s">
        <v>206</v>
      </c>
      <c r="B48" s="15">
        <v>8.6542787614279106</v>
      </c>
      <c r="C48" s="15">
        <v>8.8803932143375803</v>
      </c>
      <c r="D48" s="24">
        <v>8.4564610230183295</v>
      </c>
      <c r="E48" s="15">
        <v>10.286948290224201</v>
      </c>
      <c r="F48" s="15">
        <v>10.0683226820617</v>
      </c>
      <c r="G48" s="24">
        <v>10.4793383949981</v>
      </c>
      <c r="H48" s="15">
        <v>6.9784195926328696</v>
      </c>
      <c r="I48" s="15">
        <v>7.51226741776268</v>
      </c>
      <c r="J48" s="24">
        <v>6.5071713617871003</v>
      </c>
      <c r="K48" s="20" t="s">
        <v>80</v>
      </c>
      <c r="L48" s="20" t="s">
        <v>80</v>
      </c>
      <c r="M48" s="26" t="s">
        <v>80</v>
      </c>
      <c r="N48" s="20" t="s">
        <v>80</v>
      </c>
      <c r="O48" s="20" t="s">
        <v>80</v>
      </c>
      <c r="P48" s="26" t="s">
        <v>80</v>
      </c>
    </row>
    <row r="49" spans="1:16">
      <c r="A49" s="9" t="s">
        <v>207</v>
      </c>
      <c r="B49" s="15">
        <v>23.689600470749699</v>
      </c>
      <c r="C49" s="15">
        <v>24.6477293916044</v>
      </c>
      <c r="D49" s="24">
        <v>22.8513749889667</v>
      </c>
      <c r="E49" s="15">
        <v>24.7807657047045</v>
      </c>
      <c r="F49" s="15">
        <v>26.2770062966602</v>
      </c>
      <c r="G49" s="24">
        <v>23.464076929438399</v>
      </c>
      <c r="H49" s="15">
        <v>22.8290687050362</v>
      </c>
      <c r="I49" s="15">
        <v>23.0678357280363</v>
      </c>
      <c r="J49" s="24">
        <v>22.618299770750902</v>
      </c>
      <c r="K49" s="20" t="s">
        <v>80</v>
      </c>
      <c r="L49" s="20" t="s">
        <v>80</v>
      </c>
      <c r="M49" s="26" t="s">
        <v>80</v>
      </c>
      <c r="N49" s="20" t="s">
        <v>80</v>
      </c>
      <c r="O49" s="20" t="s">
        <v>80</v>
      </c>
      <c r="P49" s="26" t="s">
        <v>80</v>
      </c>
    </row>
    <row r="50" spans="1:16">
      <c r="A50" s="9" t="s">
        <v>208</v>
      </c>
      <c r="B50" s="15">
        <v>66.956267912781399</v>
      </c>
      <c r="C50" s="15">
        <v>77.0275222258349</v>
      </c>
      <c r="D50" s="24">
        <v>58.145363852827501</v>
      </c>
      <c r="E50" s="15">
        <v>66.073254794215998</v>
      </c>
      <c r="F50" s="15">
        <v>75.330888251184305</v>
      </c>
      <c r="G50" s="24">
        <v>57.926555577624697</v>
      </c>
      <c r="H50" s="15">
        <v>68.351925461626706</v>
      </c>
      <c r="I50" s="15">
        <v>79.589903054476906</v>
      </c>
      <c r="J50" s="24">
        <v>58.431725716264097</v>
      </c>
      <c r="K50" s="15">
        <v>57.166740226698202</v>
      </c>
      <c r="L50" s="20" t="s">
        <v>80</v>
      </c>
      <c r="M50" s="26" t="s">
        <v>80</v>
      </c>
      <c r="N50" s="15">
        <v>60.465693761673002</v>
      </c>
      <c r="O50" s="15">
        <v>58.685521047533904</v>
      </c>
      <c r="P50" s="24">
        <v>62.005724623981301</v>
      </c>
    </row>
    <row r="51" spans="1:16">
      <c r="A51" s="9" t="s">
        <v>209</v>
      </c>
      <c r="B51" s="15">
        <v>35.059152960235799</v>
      </c>
      <c r="C51" s="15">
        <v>32.276118610023801</v>
      </c>
      <c r="D51" s="24">
        <v>37.493909137874098</v>
      </c>
      <c r="E51" s="15">
        <v>39.992491083612599</v>
      </c>
      <c r="F51" s="15">
        <v>36.4975784864248</v>
      </c>
      <c r="G51" s="24">
        <v>43.068007288689202</v>
      </c>
      <c r="H51" s="15">
        <v>30.110002067766501</v>
      </c>
      <c r="I51" s="15">
        <v>27.6130746883135</v>
      </c>
      <c r="J51" s="24">
        <v>32.314136944276498</v>
      </c>
      <c r="K51" s="20" t="s">
        <v>80</v>
      </c>
      <c r="L51" s="20" t="s">
        <v>80</v>
      </c>
      <c r="M51" s="26" t="s">
        <v>80</v>
      </c>
      <c r="N51" s="15">
        <v>36.854817168838601</v>
      </c>
      <c r="O51" s="20" t="s">
        <v>80</v>
      </c>
      <c r="P51" s="26" t="s">
        <v>80</v>
      </c>
    </row>
    <row r="52" spans="1:16">
      <c r="A52" s="9" t="s">
        <v>210</v>
      </c>
      <c r="B52" s="15">
        <v>20.1719582451395</v>
      </c>
      <c r="C52" s="15">
        <v>19.776961627951401</v>
      </c>
      <c r="D52" s="24">
        <v>20.517523672232301</v>
      </c>
      <c r="E52" s="15">
        <v>24.616998372871901</v>
      </c>
      <c r="F52" s="15">
        <v>25.4636569136361</v>
      </c>
      <c r="G52" s="24">
        <v>23.8719405238195</v>
      </c>
      <c r="H52" s="15">
        <v>15.245550422018001</v>
      </c>
      <c r="I52" s="15">
        <v>13.7141914621154</v>
      </c>
      <c r="J52" s="24">
        <v>16.597340514013599</v>
      </c>
      <c r="K52" s="20" t="s">
        <v>80</v>
      </c>
      <c r="L52" s="20" t="s">
        <v>80</v>
      </c>
      <c r="M52" s="26" t="s">
        <v>80</v>
      </c>
      <c r="N52" s="20" t="s">
        <v>80</v>
      </c>
      <c r="O52" s="20" t="s">
        <v>80</v>
      </c>
      <c r="P52" s="26" t="s">
        <v>80</v>
      </c>
    </row>
    <row r="53" spans="1:16">
      <c r="A53" s="9" t="s">
        <v>211</v>
      </c>
      <c r="B53" s="15">
        <v>38.252470969737203</v>
      </c>
      <c r="C53" s="15">
        <v>35.897751186136098</v>
      </c>
      <c r="D53" s="24">
        <v>40.312513289837597</v>
      </c>
      <c r="E53" s="15">
        <v>41.673498502647398</v>
      </c>
      <c r="F53" s="15">
        <v>39.630681452198601</v>
      </c>
      <c r="G53" s="24">
        <v>43.471173485340103</v>
      </c>
      <c r="H53" s="15">
        <v>35.019199156533702</v>
      </c>
      <c r="I53" s="15">
        <v>32.328710149087399</v>
      </c>
      <c r="J53" s="24">
        <v>37.394198407604399</v>
      </c>
      <c r="K53" s="20" t="s">
        <v>80</v>
      </c>
      <c r="L53" s="20" t="s">
        <v>80</v>
      </c>
      <c r="M53" s="26" t="s">
        <v>80</v>
      </c>
      <c r="N53" s="15">
        <v>35.4646816425468</v>
      </c>
      <c r="O53" s="20" t="s">
        <v>80</v>
      </c>
      <c r="P53" s="26" t="s">
        <v>80</v>
      </c>
    </row>
    <row r="54" spans="1:16">
      <c r="A54" s="9" t="s">
        <v>212</v>
      </c>
      <c r="B54" s="15">
        <v>41.0618710884455</v>
      </c>
      <c r="C54" s="15">
        <v>49.603597307987201</v>
      </c>
      <c r="D54" s="24">
        <v>33.589084890481303</v>
      </c>
      <c r="E54" s="15">
        <v>40.633676829684902</v>
      </c>
      <c r="F54" s="15">
        <v>49.757984359097001</v>
      </c>
      <c r="G54" s="24">
        <v>32.604304166863699</v>
      </c>
      <c r="H54" s="15">
        <v>41.7247693433238</v>
      </c>
      <c r="I54" s="15">
        <v>49.843308294458801</v>
      </c>
      <c r="J54" s="24">
        <v>34.558219368441797</v>
      </c>
      <c r="K54" s="20" t="s">
        <v>80</v>
      </c>
      <c r="L54" s="20" t="s">
        <v>80</v>
      </c>
      <c r="M54" s="26" t="s">
        <v>80</v>
      </c>
      <c r="N54" s="15">
        <v>42.686227710548501</v>
      </c>
      <c r="O54" s="20" t="s">
        <v>80</v>
      </c>
      <c r="P54" s="26" t="s">
        <v>80</v>
      </c>
    </row>
    <row r="55" spans="1:16">
      <c r="A55" s="9" t="s">
        <v>213</v>
      </c>
      <c r="B55" s="15">
        <v>6.4717155662800296</v>
      </c>
      <c r="C55" s="15">
        <v>7.8523575402513801</v>
      </c>
      <c r="D55" s="24">
        <v>5.2638517197638999</v>
      </c>
      <c r="E55" s="15">
        <v>7.3091403912378698</v>
      </c>
      <c r="F55" s="15">
        <v>8.9904310767324702</v>
      </c>
      <c r="G55" s="24">
        <v>5.8296078979664498</v>
      </c>
      <c r="H55" s="15">
        <v>5.5211611067331399</v>
      </c>
      <c r="I55" s="15">
        <v>6.6397329356971202</v>
      </c>
      <c r="J55" s="24">
        <v>4.53375426407153</v>
      </c>
      <c r="K55" s="20" t="s">
        <v>80</v>
      </c>
      <c r="L55" s="20" t="s">
        <v>80</v>
      </c>
      <c r="M55" s="26" t="s">
        <v>80</v>
      </c>
      <c r="N55" s="20" t="s">
        <v>80</v>
      </c>
      <c r="O55" s="20" t="s">
        <v>80</v>
      </c>
      <c r="P55" s="26" t="s">
        <v>80</v>
      </c>
    </row>
    <row r="56" spans="1:16">
      <c r="A56" s="9" t="s">
        <v>214</v>
      </c>
      <c r="B56" s="15">
        <v>14.0617337977848</v>
      </c>
      <c r="C56" s="15">
        <v>14.0342597279367</v>
      </c>
      <c r="D56" s="24">
        <v>14.0857696711769</v>
      </c>
      <c r="E56" s="15">
        <v>14.296310643690401</v>
      </c>
      <c r="F56" s="15">
        <v>15.607909339576601</v>
      </c>
      <c r="G56" s="24">
        <v>13.142106373460299</v>
      </c>
      <c r="H56" s="15">
        <v>13.725633387998499</v>
      </c>
      <c r="I56" s="15">
        <v>12.2037835211288</v>
      </c>
      <c r="J56" s="24">
        <v>15.069029433867501</v>
      </c>
      <c r="K56" s="20" t="s">
        <v>80</v>
      </c>
      <c r="L56" s="20" t="s">
        <v>80</v>
      </c>
      <c r="M56" s="26" t="s">
        <v>80</v>
      </c>
      <c r="N56" s="20" t="s">
        <v>80</v>
      </c>
      <c r="O56" s="20" t="s">
        <v>80</v>
      </c>
      <c r="P56" s="26" t="s">
        <v>80</v>
      </c>
    </row>
    <row r="57" spans="1:16">
      <c r="A57" s="9" t="s">
        <v>215</v>
      </c>
      <c r="B57" s="15">
        <v>12.0594681446794</v>
      </c>
      <c r="C57" s="15">
        <v>16.367475567407901</v>
      </c>
      <c r="D57" s="24">
        <v>8.2905790955732996</v>
      </c>
      <c r="E57" s="15">
        <v>12.454722062443301</v>
      </c>
      <c r="F57" s="15">
        <v>16.2143062347456</v>
      </c>
      <c r="G57" s="24">
        <v>9.1462953923260404</v>
      </c>
      <c r="H57" s="15">
        <v>11.8220473239163</v>
      </c>
      <c r="I57" s="15">
        <v>16.874055454246701</v>
      </c>
      <c r="J57" s="24">
        <v>7.3624433289805902</v>
      </c>
      <c r="K57" s="20" t="s">
        <v>80</v>
      </c>
      <c r="L57" s="20" t="s">
        <v>80</v>
      </c>
      <c r="M57" s="26" t="s">
        <v>80</v>
      </c>
      <c r="N57" s="20" t="s">
        <v>80</v>
      </c>
      <c r="O57" s="20" t="s">
        <v>80</v>
      </c>
      <c r="P57" s="26" t="s">
        <v>80</v>
      </c>
    </row>
    <row r="58" spans="1:16">
      <c r="A58" s="9" t="s">
        <v>216</v>
      </c>
      <c r="B58" s="15">
        <v>26.1743363731585</v>
      </c>
      <c r="C58" s="15">
        <v>19.721451241589701</v>
      </c>
      <c r="D58" s="24">
        <v>31.819686002594899</v>
      </c>
      <c r="E58" s="15">
        <v>35.8029753842806</v>
      </c>
      <c r="F58" s="15">
        <v>26.365401363232401</v>
      </c>
      <c r="G58" s="24">
        <v>44.108021943012503</v>
      </c>
      <c r="H58" s="15">
        <v>16.2871157136912</v>
      </c>
      <c r="I58" s="15">
        <v>12.584392081153601</v>
      </c>
      <c r="J58" s="24">
        <v>19.5556538232542</v>
      </c>
      <c r="K58" s="20" t="s">
        <v>80</v>
      </c>
      <c r="L58" s="20" t="s">
        <v>80</v>
      </c>
      <c r="M58" s="26" t="s">
        <v>80</v>
      </c>
      <c r="N58" s="15">
        <v>30.621076267121101</v>
      </c>
      <c r="O58" s="20" t="s">
        <v>80</v>
      </c>
      <c r="P58" s="26" t="s">
        <v>80</v>
      </c>
    </row>
    <row r="59" spans="1:16">
      <c r="A59" s="9" t="s">
        <v>217</v>
      </c>
      <c r="B59" s="15">
        <v>2.6140931710055502</v>
      </c>
      <c r="C59" s="15">
        <v>2.21155863639515</v>
      </c>
      <c r="D59" s="24">
        <v>2.9662531954697799</v>
      </c>
      <c r="E59" s="15">
        <v>3.06714559347231</v>
      </c>
      <c r="F59" s="20" t="s">
        <v>80</v>
      </c>
      <c r="G59" s="24">
        <v>3.8737503900077299</v>
      </c>
      <c r="H59" s="15">
        <v>2.1200319126334701</v>
      </c>
      <c r="I59" s="15">
        <v>2.4014273355795401</v>
      </c>
      <c r="J59" s="26" t="s">
        <v>80</v>
      </c>
      <c r="K59" s="20" t="s">
        <v>80</v>
      </c>
      <c r="L59" s="20" t="s">
        <v>80</v>
      </c>
      <c r="M59" s="26" t="s">
        <v>80</v>
      </c>
      <c r="N59" s="20" t="s">
        <v>80</v>
      </c>
      <c r="O59" s="20" t="s">
        <v>80</v>
      </c>
      <c r="P59" s="26" t="s">
        <v>80</v>
      </c>
    </row>
    <row r="60" spans="1:16">
      <c r="A60" s="9" t="s">
        <v>218</v>
      </c>
      <c r="B60" s="15">
        <v>1.2007621640031101</v>
      </c>
      <c r="C60" s="20" t="s">
        <v>80</v>
      </c>
      <c r="D60" s="24">
        <v>1.56539210727432</v>
      </c>
      <c r="E60" s="15">
        <v>1.7733657135080501</v>
      </c>
      <c r="F60" s="20" t="s">
        <v>80</v>
      </c>
      <c r="G60" s="26" t="s">
        <v>80</v>
      </c>
      <c r="H60" s="20" t="s">
        <v>80</v>
      </c>
      <c r="I60" s="20" t="s">
        <v>80</v>
      </c>
      <c r="J60" s="26" t="s">
        <v>80</v>
      </c>
      <c r="K60" s="20" t="s">
        <v>80</v>
      </c>
      <c r="L60" s="20" t="s">
        <v>80</v>
      </c>
      <c r="M60" s="26" t="s">
        <v>80</v>
      </c>
      <c r="N60" s="20" t="s">
        <v>80</v>
      </c>
      <c r="O60" s="20" t="s">
        <v>80</v>
      </c>
      <c r="P60" s="26" t="s">
        <v>80</v>
      </c>
    </row>
    <row r="61" spans="1:16">
      <c r="A61" s="9" t="s">
        <v>219</v>
      </c>
      <c r="B61" s="15">
        <v>1.43785367500937</v>
      </c>
      <c r="C61" s="15">
        <v>1.1203281180328499</v>
      </c>
      <c r="D61" s="24">
        <v>1.7156430279678601</v>
      </c>
      <c r="E61" s="15">
        <v>1.6479208381822801</v>
      </c>
      <c r="F61" s="20" t="s">
        <v>80</v>
      </c>
      <c r="G61" s="26" t="s">
        <v>80</v>
      </c>
      <c r="H61" s="20" t="s">
        <v>80</v>
      </c>
      <c r="I61" s="20" t="s">
        <v>80</v>
      </c>
      <c r="J61" s="26" t="s">
        <v>80</v>
      </c>
      <c r="K61" s="20" t="s">
        <v>80</v>
      </c>
      <c r="L61" s="20" t="s">
        <v>80</v>
      </c>
      <c r="M61" s="26" t="s">
        <v>80</v>
      </c>
      <c r="N61" s="20" t="s">
        <v>80</v>
      </c>
      <c r="O61" s="20" t="s">
        <v>80</v>
      </c>
      <c r="P61" s="26" t="s">
        <v>80</v>
      </c>
    </row>
    <row r="62" spans="1:16">
      <c r="A62" s="9" t="s">
        <v>220</v>
      </c>
      <c r="B62" s="15">
        <v>3.8218096675139801</v>
      </c>
      <c r="C62" s="15">
        <v>4.0454935422965796</v>
      </c>
      <c r="D62" s="24">
        <v>3.6261183366026302</v>
      </c>
      <c r="E62" s="15">
        <v>4.3416264385177499</v>
      </c>
      <c r="F62" s="15">
        <v>4.56957359028653</v>
      </c>
      <c r="G62" s="24">
        <v>4.1410333937217203</v>
      </c>
      <c r="H62" s="15">
        <v>3.1425307611106801</v>
      </c>
      <c r="I62" s="15">
        <v>3.41678800019988</v>
      </c>
      <c r="J62" s="24">
        <v>2.90043323325055</v>
      </c>
      <c r="K62" s="20" t="s">
        <v>80</v>
      </c>
      <c r="L62" s="20" t="s">
        <v>80</v>
      </c>
      <c r="M62" s="26" t="s">
        <v>80</v>
      </c>
      <c r="N62" s="20" t="s">
        <v>80</v>
      </c>
      <c r="O62" s="20" t="s">
        <v>80</v>
      </c>
      <c r="P62" s="26" t="s">
        <v>80</v>
      </c>
    </row>
    <row r="63" spans="1:16">
      <c r="A63" s="9" t="s">
        <v>221</v>
      </c>
      <c r="B63" s="15">
        <v>11.5503100702072</v>
      </c>
      <c r="C63" s="15">
        <v>14.6608280757426</v>
      </c>
      <c r="D63" s="24">
        <v>8.8290526308026607</v>
      </c>
      <c r="E63" s="15">
        <v>15.86534042345</v>
      </c>
      <c r="F63" s="15">
        <v>21.524329422090901</v>
      </c>
      <c r="G63" s="24">
        <v>10.885441245520701</v>
      </c>
      <c r="H63" s="15">
        <v>6.7205552389591503</v>
      </c>
      <c r="I63" s="15">
        <v>7.03803728953209</v>
      </c>
      <c r="J63" s="24">
        <v>6.44030148945403</v>
      </c>
      <c r="K63" s="20" t="s">
        <v>80</v>
      </c>
      <c r="L63" s="20" t="s">
        <v>80</v>
      </c>
      <c r="M63" s="26" t="s">
        <v>80</v>
      </c>
      <c r="N63" s="20" t="s">
        <v>80</v>
      </c>
      <c r="O63" s="20" t="s">
        <v>80</v>
      </c>
      <c r="P63" s="26" t="s">
        <v>80</v>
      </c>
    </row>
    <row r="64" spans="1:16">
      <c r="A64" s="11" t="s">
        <v>222</v>
      </c>
      <c r="B64" s="16">
        <v>10.9977387179852</v>
      </c>
      <c r="C64" s="16">
        <v>13.5212308281705</v>
      </c>
      <c r="D64" s="25">
        <v>8.7900448014414305</v>
      </c>
      <c r="E64" s="16">
        <v>10.664501879467201</v>
      </c>
      <c r="F64" s="16">
        <v>13.2478894823477</v>
      </c>
      <c r="G64" s="25">
        <v>8.3911258748580604</v>
      </c>
      <c r="H64" s="16">
        <v>11.0323538597117</v>
      </c>
      <c r="I64" s="16">
        <v>13.4205271666544</v>
      </c>
      <c r="J64" s="25">
        <v>8.9242204312834907</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71"/>
  <sheetViews>
    <sheetView zoomScale="55" workbookViewId="0"/>
  </sheetViews>
  <sheetFormatPr defaultColWidth="10.90625" defaultRowHeight="15"/>
  <cols>
    <col min="1" max="1" width="51.6796875" customWidth="1"/>
    <col min="2" max="44" width="13.6796875" customWidth="1"/>
  </cols>
  <sheetData>
    <row r="1" spans="1:45" ht="39.9" customHeight="1">
      <c r="A1" s="10" t="s">
        <v>223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c r="A3" s="9" t="s">
        <v>161</v>
      </c>
      <c r="B3" s="36">
        <v>21.217485631714499</v>
      </c>
      <c r="C3" s="32">
        <v>22.286434371547401</v>
      </c>
      <c r="D3" s="32">
        <v>26.351799003437701</v>
      </c>
      <c r="E3" s="32">
        <v>29.9202554807589</v>
      </c>
      <c r="F3" s="15">
        <v>35.294117647058798</v>
      </c>
      <c r="G3" s="20" t="s">
        <v>80</v>
      </c>
      <c r="H3" s="15">
        <v>22.346368715083798</v>
      </c>
      <c r="I3" s="15">
        <v>26.7326732673267</v>
      </c>
      <c r="J3" s="15">
        <v>21.428571428571399</v>
      </c>
      <c r="K3" s="15">
        <v>24.324324324324301</v>
      </c>
      <c r="L3" s="15">
        <v>20.5607476635514</v>
      </c>
      <c r="M3" s="15">
        <v>14.285714285714301</v>
      </c>
      <c r="N3" s="15">
        <v>19.4444444444444</v>
      </c>
      <c r="O3" s="15">
        <v>20.9677419354839</v>
      </c>
      <c r="P3" s="15">
        <v>48.760330578512402</v>
      </c>
      <c r="Q3" s="15">
        <v>47.058823529411796</v>
      </c>
      <c r="R3" s="15">
        <v>29.787234042553202</v>
      </c>
      <c r="S3" s="15">
        <v>32.6086956521739</v>
      </c>
      <c r="T3" s="15">
        <v>62.790697674418603</v>
      </c>
      <c r="U3" s="15">
        <v>23.214285714285701</v>
      </c>
      <c r="V3" s="15">
        <v>36.842105263157897</v>
      </c>
      <c r="W3" s="15">
        <v>45.652173913043498</v>
      </c>
      <c r="X3" s="15">
        <v>36.036036036036002</v>
      </c>
      <c r="Y3" s="15">
        <v>23.484848484848499</v>
      </c>
      <c r="Z3" s="15">
        <v>20.689655172413801</v>
      </c>
      <c r="AA3" s="15">
        <v>23.913043478260899</v>
      </c>
      <c r="AB3" s="20" t="s">
        <v>80</v>
      </c>
      <c r="AC3" s="15">
        <v>14.285714285714301</v>
      </c>
      <c r="AD3" s="15">
        <v>47.826086956521699</v>
      </c>
      <c r="AE3" s="15">
        <v>30.303030303030301</v>
      </c>
      <c r="AF3" s="15">
        <v>36.363636363636402</v>
      </c>
      <c r="AG3" s="15">
        <v>33.3333333333333</v>
      </c>
      <c r="AH3" s="15">
        <v>19.354838709677399</v>
      </c>
      <c r="AI3" s="15">
        <v>14.285714285714301</v>
      </c>
      <c r="AJ3" s="32">
        <v>23.229911035317599</v>
      </c>
      <c r="AK3" s="15">
        <v>19.082840236686401</v>
      </c>
      <c r="AL3" s="15">
        <v>20.261437908496699</v>
      </c>
      <c r="AM3" s="15">
        <v>18.181818181818201</v>
      </c>
      <c r="AN3" s="15">
        <v>46.715328467153299</v>
      </c>
      <c r="AO3" s="15">
        <v>26.047904191616801</v>
      </c>
      <c r="AP3" s="15">
        <v>25.799573560767598</v>
      </c>
      <c r="AQ3" s="15">
        <v>22.794117647058801</v>
      </c>
      <c r="AR3" s="24">
        <v>31.515151515151501</v>
      </c>
      <c r="AS3" s="38"/>
    </row>
    <row r="4" spans="1:45">
      <c r="A4" s="9" t="s">
        <v>162</v>
      </c>
      <c r="B4" s="36">
        <v>26.533706300681299</v>
      </c>
      <c r="C4" s="32">
        <v>27.310554912596199</v>
      </c>
      <c r="D4" s="32">
        <v>29.559775144385299</v>
      </c>
      <c r="E4" s="32">
        <v>26.582258710799501</v>
      </c>
      <c r="F4" s="15">
        <v>25.490196078431399</v>
      </c>
      <c r="G4" s="20" t="s">
        <v>80</v>
      </c>
      <c r="H4" s="15">
        <v>25.139664804469302</v>
      </c>
      <c r="I4" s="15">
        <v>29.702970297029701</v>
      </c>
      <c r="J4" s="15">
        <v>21.428571428571399</v>
      </c>
      <c r="K4" s="20" t="s">
        <v>80</v>
      </c>
      <c r="L4" s="15">
        <v>22.429906542056099</v>
      </c>
      <c r="M4" s="15">
        <v>28.571428571428601</v>
      </c>
      <c r="N4" s="15">
        <v>19.4444444444444</v>
      </c>
      <c r="O4" s="15">
        <v>11.290322580645199</v>
      </c>
      <c r="P4" s="15">
        <v>44.6280991735537</v>
      </c>
      <c r="Q4" s="15">
        <v>29.411764705882401</v>
      </c>
      <c r="R4" s="15">
        <v>34.042553191489397</v>
      </c>
      <c r="S4" s="15">
        <v>10.869565217391299</v>
      </c>
      <c r="T4" s="15">
        <v>30.232558139534898</v>
      </c>
      <c r="U4" s="15">
        <v>30.3571428571429</v>
      </c>
      <c r="V4" s="15">
        <v>42.105263157894697</v>
      </c>
      <c r="W4" s="15">
        <v>28.260869565217401</v>
      </c>
      <c r="X4" s="15">
        <v>44.1441441441441</v>
      </c>
      <c r="Y4" s="15">
        <v>28.030303030302999</v>
      </c>
      <c r="Z4" s="15">
        <v>17.241379310344801</v>
      </c>
      <c r="AA4" s="15">
        <v>19.565217391304301</v>
      </c>
      <c r="AB4" s="20" t="s">
        <v>80</v>
      </c>
      <c r="AC4" s="15">
        <v>14.285714285714301</v>
      </c>
      <c r="AD4" s="15">
        <v>10.869565217391299</v>
      </c>
      <c r="AE4" s="15">
        <v>18.181818181818201</v>
      </c>
      <c r="AF4" s="15">
        <v>25</v>
      </c>
      <c r="AG4" s="20" t="s">
        <v>80</v>
      </c>
      <c r="AH4" s="15">
        <v>30.1075268817204</v>
      </c>
      <c r="AI4" s="15">
        <v>17.8571428571429</v>
      </c>
      <c r="AJ4" s="32">
        <v>32.164675270803201</v>
      </c>
      <c r="AK4" s="15">
        <v>21.7455621301775</v>
      </c>
      <c r="AL4" s="15">
        <v>27.015250544662301</v>
      </c>
      <c r="AM4" s="15">
        <v>33.838383838383798</v>
      </c>
      <c r="AN4" s="15">
        <v>46.715328467153299</v>
      </c>
      <c r="AO4" s="15">
        <v>38.023952095808397</v>
      </c>
      <c r="AP4" s="15">
        <v>32.622601279317699</v>
      </c>
      <c r="AQ4" s="15">
        <v>44.852941176470601</v>
      </c>
      <c r="AR4" s="24">
        <v>40</v>
      </c>
      <c r="AS4" s="38"/>
    </row>
    <row r="5" spans="1:45">
      <c r="A5" s="9" t="s">
        <v>163</v>
      </c>
      <c r="B5" s="36">
        <v>29.899315277971098</v>
      </c>
      <c r="C5" s="32">
        <v>28.8249327386117</v>
      </c>
      <c r="D5" s="32">
        <v>28.33827397033</v>
      </c>
      <c r="E5" s="32">
        <v>19.4003283482946</v>
      </c>
      <c r="F5" s="15">
        <v>23.529411764705898</v>
      </c>
      <c r="G5" s="20" t="s">
        <v>80</v>
      </c>
      <c r="H5" s="15">
        <v>12.849162011173201</v>
      </c>
      <c r="I5" s="15">
        <v>21.782178217821802</v>
      </c>
      <c r="J5" s="15">
        <v>15.714285714285699</v>
      </c>
      <c r="K5" s="20" t="s">
        <v>80</v>
      </c>
      <c r="L5" s="15">
        <v>18.691588785046701</v>
      </c>
      <c r="M5" s="15">
        <v>21.428571428571399</v>
      </c>
      <c r="N5" s="15">
        <v>21.5277777777778</v>
      </c>
      <c r="O5" s="15">
        <v>5.6451612903225801</v>
      </c>
      <c r="P5" s="15">
        <v>23.1404958677686</v>
      </c>
      <c r="Q5" s="15">
        <v>26.470588235294102</v>
      </c>
      <c r="R5" s="15">
        <v>36.170212765957501</v>
      </c>
      <c r="S5" s="15">
        <v>17.3913043478261</v>
      </c>
      <c r="T5" s="15">
        <v>23.255813953488399</v>
      </c>
      <c r="U5" s="15">
        <v>19.6428571428571</v>
      </c>
      <c r="V5" s="15">
        <v>21.052631578947398</v>
      </c>
      <c r="W5" s="20" t="s">
        <v>80</v>
      </c>
      <c r="X5" s="15">
        <v>34.234234234234201</v>
      </c>
      <c r="Y5" s="15">
        <v>17.424242424242401</v>
      </c>
      <c r="Z5" s="20" t="s">
        <v>80</v>
      </c>
      <c r="AA5" s="15">
        <v>10.869565217391299</v>
      </c>
      <c r="AB5" s="20" t="s">
        <v>80</v>
      </c>
      <c r="AC5" s="20" t="s">
        <v>80</v>
      </c>
      <c r="AD5" s="15">
        <v>17.3913043478261</v>
      </c>
      <c r="AE5" s="15">
        <v>15.1515151515152</v>
      </c>
      <c r="AF5" s="15">
        <v>20.454545454545499</v>
      </c>
      <c r="AG5" s="20" t="s">
        <v>80</v>
      </c>
      <c r="AH5" s="15">
        <v>26.881720430107499</v>
      </c>
      <c r="AI5" s="15">
        <v>16.071428571428601</v>
      </c>
      <c r="AJ5" s="32">
        <v>36.157695357273703</v>
      </c>
      <c r="AK5" s="15">
        <v>35.059171597633103</v>
      </c>
      <c r="AL5" s="15">
        <v>17.864923747276698</v>
      </c>
      <c r="AM5" s="15">
        <v>24.2424242424242</v>
      </c>
      <c r="AN5" s="15">
        <v>56.204379562043798</v>
      </c>
      <c r="AO5" s="15">
        <v>36.826347305389199</v>
      </c>
      <c r="AP5" s="15">
        <v>50.319829424307002</v>
      </c>
      <c r="AQ5" s="15">
        <v>33.823529411764703</v>
      </c>
      <c r="AR5" s="24">
        <v>38.787878787878803</v>
      </c>
      <c r="AS5" s="38"/>
    </row>
    <row r="6" spans="1:45">
      <c r="A6" s="9" t="s">
        <v>164</v>
      </c>
      <c r="B6" s="36">
        <v>49.690768888244598</v>
      </c>
      <c r="C6" s="32">
        <v>47.865414928880298</v>
      </c>
      <c r="D6" s="32">
        <v>47.005490777611598</v>
      </c>
      <c r="E6" s="32">
        <v>49.542657691053002</v>
      </c>
      <c r="F6" s="15">
        <v>60.7843137254902</v>
      </c>
      <c r="G6" s="15">
        <v>54.545454545454497</v>
      </c>
      <c r="H6" s="15">
        <v>37.430167597765397</v>
      </c>
      <c r="I6" s="15">
        <v>43.564356435643603</v>
      </c>
      <c r="J6" s="15">
        <v>51.428571428571402</v>
      </c>
      <c r="K6" s="15">
        <v>32.4324324324324</v>
      </c>
      <c r="L6" s="15">
        <v>56.074766355140198</v>
      </c>
      <c r="M6" s="15">
        <v>50</v>
      </c>
      <c r="N6" s="15">
        <v>61.1111111111111</v>
      </c>
      <c r="O6" s="15">
        <v>50</v>
      </c>
      <c r="P6" s="15">
        <v>28.925619834710702</v>
      </c>
      <c r="Q6" s="15">
        <v>61.764705882352899</v>
      </c>
      <c r="R6" s="15">
        <v>55.319148936170201</v>
      </c>
      <c r="S6" s="15">
        <v>34.7826086956522</v>
      </c>
      <c r="T6" s="15">
        <v>58.139534883720899</v>
      </c>
      <c r="U6" s="15">
        <v>55.357142857142897</v>
      </c>
      <c r="V6" s="15">
        <v>73.684210526315795</v>
      </c>
      <c r="W6" s="15">
        <v>52.173913043478301</v>
      </c>
      <c r="X6" s="15">
        <v>64.864864864864899</v>
      </c>
      <c r="Y6" s="15">
        <v>53.030303030303003</v>
      </c>
      <c r="Z6" s="15">
        <v>44.827586206896598</v>
      </c>
      <c r="AA6" s="15">
        <v>39.130434782608702</v>
      </c>
      <c r="AB6" s="20" t="s">
        <v>80</v>
      </c>
      <c r="AC6" s="15">
        <v>35.714285714285701</v>
      </c>
      <c r="AD6" s="15">
        <v>32.6086956521739</v>
      </c>
      <c r="AE6" s="15">
        <v>33.3333333333333</v>
      </c>
      <c r="AF6" s="15">
        <v>43.181818181818201</v>
      </c>
      <c r="AG6" s="15">
        <v>40</v>
      </c>
      <c r="AH6" s="15">
        <v>58.064516129032299</v>
      </c>
      <c r="AI6" s="15">
        <v>48.214285714285701</v>
      </c>
      <c r="AJ6" s="32">
        <v>44.785833368161803</v>
      </c>
      <c r="AK6" s="15">
        <v>35.207100591715999</v>
      </c>
      <c r="AL6" s="15">
        <v>47.276688453158997</v>
      </c>
      <c r="AM6" s="15">
        <v>48.484848484848499</v>
      </c>
      <c r="AN6" s="15">
        <v>65.693430656934297</v>
      </c>
      <c r="AO6" s="15">
        <v>49.401197604790397</v>
      </c>
      <c r="AP6" s="15">
        <v>46.695095948827301</v>
      </c>
      <c r="AQ6" s="15">
        <v>53.676470588235297</v>
      </c>
      <c r="AR6" s="24">
        <v>47.272727272727302</v>
      </c>
      <c r="AS6" s="38"/>
    </row>
    <row r="7" spans="1:45">
      <c r="A7" s="9" t="s">
        <v>165</v>
      </c>
      <c r="B7" s="36">
        <v>22.491410851983201</v>
      </c>
      <c r="C7" s="32">
        <v>22.5838320654596</v>
      </c>
      <c r="D7" s="32">
        <v>21.2027289086476</v>
      </c>
      <c r="E7" s="32">
        <v>27.041225695314701</v>
      </c>
      <c r="F7" s="15">
        <v>9.8039215686274499</v>
      </c>
      <c r="G7" s="15">
        <v>22.727272727272702</v>
      </c>
      <c r="H7" s="15">
        <v>15.083798882681601</v>
      </c>
      <c r="I7" s="15">
        <v>24.752475247524799</v>
      </c>
      <c r="J7" s="15">
        <v>28.571428571428601</v>
      </c>
      <c r="K7" s="15">
        <v>16.2162162162162</v>
      </c>
      <c r="L7" s="15">
        <v>28.037383177570099</v>
      </c>
      <c r="M7" s="15">
        <v>16.6666666666667</v>
      </c>
      <c r="N7" s="15">
        <v>36.1111111111111</v>
      </c>
      <c r="O7" s="15">
        <v>33.064516129032299</v>
      </c>
      <c r="P7" s="15">
        <v>29.752066115702501</v>
      </c>
      <c r="Q7" s="15">
        <v>44.117647058823501</v>
      </c>
      <c r="R7" s="15">
        <v>27.659574468085101</v>
      </c>
      <c r="S7" s="15">
        <v>21.739130434782599</v>
      </c>
      <c r="T7" s="15">
        <v>25.581395348837201</v>
      </c>
      <c r="U7" s="15">
        <v>37.5</v>
      </c>
      <c r="V7" s="15">
        <v>39.473684210526301</v>
      </c>
      <c r="W7" s="15">
        <v>28.260869565217401</v>
      </c>
      <c r="X7" s="15">
        <v>29.729729729729701</v>
      </c>
      <c r="Y7" s="15">
        <v>24.2424242424242</v>
      </c>
      <c r="Z7" s="15">
        <v>48.275862068965502</v>
      </c>
      <c r="AA7" s="15">
        <v>23.913043478260899</v>
      </c>
      <c r="AB7" s="20" t="s">
        <v>80</v>
      </c>
      <c r="AC7" s="15">
        <v>26.1904761904762</v>
      </c>
      <c r="AD7" s="15">
        <v>26.086956521739101</v>
      </c>
      <c r="AE7" s="15">
        <v>24.2424242424242</v>
      </c>
      <c r="AF7" s="15">
        <v>34.090909090909101</v>
      </c>
      <c r="AG7" s="20" t="s">
        <v>80</v>
      </c>
      <c r="AH7" s="15">
        <v>19.354838709677399</v>
      </c>
      <c r="AI7" s="15">
        <v>25</v>
      </c>
      <c r="AJ7" s="32">
        <v>16.094881023702701</v>
      </c>
      <c r="AK7" s="15">
        <v>15.8284023668639</v>
      </c>
      <c r="AL7" s="15">
        <v>18.082788671024002</v>
      </c>
      <c r="AM7" s="15">
        <v>13.636363636363599</v>
      </c>
      <c r="AN7" s="15">
        <v>22.6277372262774</v>
      </c>
      <c r="AO7" s="15">
        <v>20.6586826347305</v>
      </c>
      <c r="AP7" s="15">
        <v>13.6460554371002</v>
      </c>
      <c r="AQ7" s="15">
        <v>16.911764705882401</v>
      </c>
      <c r="AR7" s="24">
        <v>24.545454545454501</v>
      </c>
      <c r="AS7" s="38"/>
    </row>
    <row r="8" spans="1:45">
      <c r="A8" s="9" t="s">
        <v>166</v>
      </c>
      <c r="B8" s="36">
        <v>2.1136856943529101</v>
      </c>
      <c r="C8" s="32">
        <v>1.6358085040268</v>
      </c>
      <c r="D8" s="32">
        <v>2.6837999679199598</v>
      </c>
      <c r="E8" s="32">
        <v>3.6103804362271199</v>
      </c>
      <c r="F8" s="20" t="s">
        <v>80</v>
      </c>
      <c r="G8" s="20" t="s">
        <v>80</v>
      </c>
      <c r="H8" s="20" t="s">
        <v>80</v>
      </c>
      <c r="I8" s="20" t="s">
        <v>80</v>
      </c>
      <c r="J8" s="15">
        <v>11.4285714285714</v>
      </c>
      <c r="K8" s="20" t="s">
        <v>80</v>
      </c>
      <c r="L8" s="20" t="s">
        <v>80</v>
      </c>
      <c r="M8" s="20" t="s">
        <v>80</v>
      </c>
      <c r="N8" s="20" t="s">
        <v>80</v>
      </c>
      <c r="O8" s="20" t="s">
        <v>80</v>
      </c>
      <c r="P8" s="15">
        <v>13.223140495867799</v>
      </c>
      <c r="Q8" s="20" t="s">
        <v>80</v>
      </c>
      <c r="R8" s="20" t="s">
        <v>80</v>
      </c>
      <c r="S8" s="20" t="s">
        <v>80</v>
      </c>
      <c r="T8" s="20" t="s">
        <v>80</v>
      </c>
      <c r="U8" s="20" t="s">
        <v>80</v>
      </c>
      <c r="V8" s="20" t="s">
        <v>80</v>
      </c>
      <c r="W8" s="20" t="s">
        <v>80</v>
      </c>
      <c r="X8" s="20" t="s">
        <v>80</v>
      </c>
      <c r="Y8" s="15">
        <v>9.8484848484848495</v>
      </c>
      <c r="Z8" s="20" t="s">
        <v>80</v>
      </c>
      <c r="AA8" s="20" t="s">
        <v>80</v>
      </c>
      <c r="AB8" s="20" t="s">
        <v>80</v>
      </c>
      <c r="AC8" s="20" t="s">
        <v>80</v>
      </c>
      <c r="AD8" s="20" t="s">
        <v>80</v>
      </c>
      <c r="AE8" s="20" t="s">
        <v>80</v>
      </c>
      <c r="AF8" s="20" t="s">
        <v>80</v>
      </c>
      <c r="AG8" s="20" t="s">
        <v>80</v>
      </c>
      <c r="AH8" s="15">
        <v>6.4516129032258096</v>
      </c>
      <c r="AI8" s="20" t="s">
        <v>80</v>
      </c>
      <c r="AJ8" s="32">
        <v>1.8731748604296199</v>
      </c>
      <c r="AK8" s="15">
        <v>1.1834319526627199</v>
      </c>
      <c r="AL8" s="15">
        <v>1.3071895424836599</v>
      </c>
      <c r="AM8" s="15">
        <v>4.5454545454545503</v>
      </c>
      <c r="AN8" s="15">
        <v>5.10948905109489</v>
      </c>
      <c r="AO8" s="15">
        <v>2.9940119760478998</v>
      </c>
      <c r="AP8" s="15">
        <v>2.1321961620469101</v>
      </c>
      <c r="AQ8" s="20" t="s">
        <v>80</v>
      </c>
      <c r="AR8" s="26" t="s">
        <v>80</v>
      </c>
      <c r="AS8" s="38"/>
    </row>
    <row r="9" spans="1:45">
      <c r="A9" s="9" t="s">
        <v>167</v>
      </c>
      <c r="B9" s="36">
        <v>15.2798288185312</v>
      </c>
      <c r="C9" s="32">
        <v>14.647177031035801</v>
      </c>
      <c r="D9" s="32">
        <v>16.2889117806366</v>
      </c>
      <c r="E9" s="32">
        <v>18.668416907352398</v>
      </c>
      <c r="F9" s="20" t="s">
        <v>80</v>
      </c>
      <c r="G9" s="20" t="s">
        <v>80</v>
      </c>
      <c r="H9" s="15">
        <v>9.4972067039106101</v>
      </c>
      <c r="I9" s="15">
        <v>22.7722772277228</v>
      </c>
      <c r="J9" s="15">
        <v>34.285714285714299</v>
      </c>
      <c r="K9" s="15">
        <v>27.027027027027</v>
      </c>
      <c r="L9" s="15">
        <v>17.757009345794401</v>
      </c>
      <c r="M9" s="15">
        <v>8.3333333333333304</v>
      </c>
      <c r="N9" s="15">
        <v>19.4444444444444</v>
      </c>
      <c r="O9" s="15">
        <v>21.7741935483871</v>
      </c>
      <c r="P9" s="15">
        <v>10.7438016528926</v>
      </c>
      <c r="Q9" s="15">
        <v>17.647058823529399</v>
      </c>
      <c r="R9" s="15">
        <v>14.893617021276601</v>
      </c>
      <c r="S9" s="15">
        <v>13.0434782608696</v>
      </c>
      <c r="T9" s="15">
        <v>18.604651162790699</v>
      </c>
      <c r="U9" s="15">
        <v>28.571428571428601</v>
      </c>
      <c r="V9" s="15">
        <v>15.789473684210501</v>
      </c>
      <c r="W9" s="15">
        <v>23.913043478260899</v>
      </c>
      <c r="X9" s="15">
        <v>29.729729729729701</v>
      </c>
      <c r="Y9" s="15">
        <v>23.484848484848499</v>
      </c>
      <c r="Z9" s="20" t="s">
        <v>80</v>
      </c>
      <c r="AA9" s="15">
        <v>21.739130434782599</v>
      </c>
      <c r="AB9" s="20" t="s">
        <v>80</v>
      </c>
      <c r="AC9" s="15">
        <v>11.9047619047619</v>
      </c>
      <c r="AD9" s="15">
        <v>15.2173913043478</v>
      </c>
      <c r="AE9" s="15">
        <v>24.2424242424242</v>
      </c>
      <c r="AF9" s="15">
        <v>20.454545454545499</v>
      </c>
      <c r="AG9" s="15">
        <v>46.6666666666667</v>
      </c>
      <c r="AH9" s="15">
        <v>22.580645161290299</v>
      </c>
      <c r="AI9" s="15">
        <v>14.285714285714301</v>
      </c>
      <c r="AJ9" s="32">
        <v>14.207185837673601</v>
      </c>
      <c r="AK9" s="15">
        <v>13.905325443787</v>
      </c>
      <c r="AL9" s="15">
        <v>13.7254901960784</v>
      </c>
      <c r="AM9" s="15">
        <v>10.6060606060606</v>
      </c>
      <c r="AN9" s="15">
        <v>24.817518248175201</v>
      </c>
      <c r="AO9" s="15">
        <v>18.263473053892199</v>
      </c>
      <c r="AP9" s="15">
        <v>13.8592750533049</v>
      </c>
      <c r="AQ9" s="15">
        <v>13.235294117647101</v>
      </c>
      <c r="AR9" s="24">
        <v>19.090909090909101</v>
      </c>
      <c r="AS9" s="38"/>
    </row>
    <row r="10" spans="1:45">
      <c r="A10" s="9" t="s">
        <v>168</v>
      </c>
      <c r="B10" s="36">
        <v>18.488186301768401</v>
      </c>
      <c r="C10" s="32">
        <v>18.1548826663157</v>
      </c>
      <c r="D10" s="32">
        <v>17.263371228203699</v>
      </c>
      <c r="E10" s="32">
        <v>14.655882975856599</v>
      </c>
      <c r="F10" s="15">
        <v>11.764705882352899</v>
      </c>
      <c r="G10" s="15">
        <v>22.727272727272702</v>
      </c>
      <c r="H10" s="15">
        <v>10.055865921787699</v>
      </c>
      <c r="I10" s="15">
        <v>18.8118811881188</v>
      </c>
      <c r="J10" s="15">
        <v>12.8571428571429</v>
      </c>
      <c r="K10" s="20" t="s">
        <v>80</v>
      </c>
      <c r="L10" s="15">
        <v>14.953271028037401</v>
      </c>
      <c r="M10" s="15">
        <v>19.047619047619001</v>
      </c>
      <c r="N10" s="15">
        <v>12.5</v>
      </c>
      <c r="O10" s="15">
        <v>8.0645161290322598</v>
      </c>
      <c r="P10" s="15">
        <v>10.7438016528926</v>
      </c>
      <c r="Q10" s="15">
        <v>14.705882352941201</v>
      </c>
      <c r="R10" s="20" t="s">
        <v>80</v>
      </c>
      <c r="S10" s="20" t="s">
        <v>80</v>
      </c>
      <c r="T10" s="15">
        <v>16.2790697674419</v>
      </c>
      <c r="U10" s="15">
        <v>23.214285714285701</v>
      </c>
      <c r="V10" s="15">
        <v>13.157894736842101</v>
      </c>
      <c r="W10" s="15">
        <v>19.565217391304301</v>
      </c>
      <c r="X10" s="15">
        <v>17.1171171171171</v>
      </c>
      <c r="Y10" s="15">
        <v>20.454545454545499</v>
      </c>
      <c r="Z10" s="15">
        <v>17.241379310344801</v>
      </c>
      <c r="AA10" s="15">
        <v>15.2173913043478</v>
      </c>
      <c r="AB10" s="20" t="s">
        <v>80</v>
      </c>
      <c r="AC10" s="20" t="s">
        <v>80</v>
      </c>
      <c r="AD10" s="20" t="s">
        <v>80</v>
      </c>
      <c r="AE10" s="20" t="s">
        <v>80</v>
      </c>
      <c r="AF10" s="20" t="s">
        <v>80</v>
      </c>
      <c r="AG10" s="20" t="s">
        <v>80</v>
      </c>
      <c r="AH10" s="15">
        <v>11.8279569892473</v>
      </c>
      <c r="AI10" s="15">
        <v>19.6428571428571</v>
      </c>
      <c r="AJ10" s="32">
        <v>19.544549730379899</v>
      </c>
      <c r="AK10" s="15">
        <v>18.639053254437901</v>
      </c>
      <c r="AL10" s="15">
        <v>20.261437908496699</v>
      </c>
      <c r="AM10" s="15">
        <v>17.171717171717201</v>
      </c>
      <c r="AN10" s="15">
        <v>29.197080291970799</v>
      </c>
      <c r="AO10" s="15">
        <v>22.1556886227545</v>
      </c>
      <c r="AP10" s="15">
        <v>26.439232409381699</v>
      </c>
      <c r="AQ10" s="15">
        <v>16.176470588235301</v>
      </c>
      <c r="AR10" s="24">
        <v>15.454545454545499</v>
      </c>
      <c r="AS10" s="38"/>
    </row>
    <row r="11" spans="1:45">
      <c r="A11" s="9" t="s">
        <v>169</v>
      </c>
      <c r="B11" s="36">
        <v>20.745590360779499</v>
      </c>
      <c r="C11" s="32">
        <v>20.257252706663198</v>
      </c>
      <c r="D11" s="32">
        <v>29.090242138886701</v>
      </c>
      <c r="E11" s="32">
        <v>28.696431242098399</v>
      </c>
      <c r="F11" s="15">
        <v>33.3333333333333</v>
      </c>
      <c r="G11" s="15">
        <v>22.727272727272702</v>
      </c>
      <c r="H11" s="15">
        <v>30.167597765363102</v>
      </c>
      <c r="I11" s="15">
        <v>25.742574257425701</v>
      </c>
      <c r="J11" s="15">
        <v>27.1428571428571</v>
      </c>
      <c r="K11" s="15">
        <v>18.918918918918902</v>
      </c>
      <c r="L11" s="15">
        <v>20.5607476635514</v>
      </c>
      <c r="M11" s="15">
        <v>29.761904761904798</v>
      </c>
      <c r="N11" s="15">
        <v>29.1666666666667</v>
      </c>
      <c r="O11" s="15">
        <v>33.870967741935502</v>
      </c>
      <c r="P11" s="15">
        <v>14.876033057851201</v>
      </c>
      <c r="Q11" s="15">
        <v>23.529411764705898</v>
      </c>
      <c r="R11" s="15">
        <v>42.553191489361701</v>
      </c>
      <c r="S11" s="15">
        <v>54.347826086956502</v>
      </c>
      <c r="T11" s="15">
        <v>20.930232558139501</v>
      </c>
      <c r="U11" s="15">
        <v>28.571428571428601</v>
      </c>
      <c r="V11" s="15">
        <v>26.315789473684202</v>
      </c>
      <c r="W11" s="15">
        <v>15.2173913043478</v>
      </c>
      <c r="X11" s="15">
        <v>22.5225225225225</v>
      </c>
      <c r="Y11" s="15">
        <v>21.2121212121212</v>
      </c>
      <c r="Z11" s="15">
        <v>17.241379310344801</v>
      </c>
      <c r="AA11" s="15">
        <v>32.6086956521739</v>
      </c>
      <c r="AB11" s="20" t="s">
        <v>80</v>
      </c>
      <c r="AC11" s="15">
        <v>33.3333333333333</v>
      </c>
      <c r="AD11" s="15">
        <v>19.565217391304301</v>
      </c>
      <c r="AE11" s="15">
        <v>39.393939393939398</v>
      </c>
      <c r="AF11" s="15">
        <v>40.909090909090899</v>
      </c>
      <c r="AG11" s="15">
        <v>33.3333333333333</v>
      </c>
      <c r="AH11" s="15">
        <v>34.408602150537597</v>
      </c>
      <c r="AI11" s="15">
        <v>30.3571428571429</v>
      </c>
      <c r="AJ11" s="32">
        <v>29.434770230573299</v>
      </c>
      <c r="AK11" s="15">
        <v>20.857988165680499</v>
      </c>
      <c r="AL11" s="15">
        <v>25.925925925925899</v>
      </c>
      <c r="AM11" s="15">
        <v>30.808080808080799</v>
      </c>
      <c r="AN11" s="15">
        <v>50.364963503649598</v>
      </c>
      <c r="AO11" s="15">
        <v>27.544910179640699</v>
      </c>
      <c r="AP11" s="15">
        <v>25.586353944562902</v>
      </c>
      <c r="AQ11" s="15">
        <v>30.147058823529399</v>
      </c>
      <c r="AR11" s="24">
        <v>43.3333333333333</v>
      </c>
      <c r="AS11" s="38"/>
    </row>
    <row r="12" spans="1:45">
      <c r="A12" s="9" t="s">
        <v>170</v>
      </c>
      <c r="B12" s="36">
        <v>8.1130620297486509</v>
      </c>
      <c r="C12" s="32">
        <v>6.5288449645193598</v>
      </c>
      <c r="D12" s="32">
        <v>6.5633374182740196</v>
      </c>
      <c r="E12" s="32">
        <v>8.5944003920599492</v>
      </c>
      <c r="F12" s="20" t="s">
        <v>80</v>
      </c>
      <c r="G12" s="20" t="s">
        <v>80</v>
      </c>
      <c r="H12" s="15">
        <v>3.3519553072625698</v>
      </c>
      <c r="I12" s="15">
        <v>10.891089108910901</v>
      </c>
      <c r="J12" s="20" t="s">
        <v>80</v>
      </c>
      <c r="K12" s="20" t="s">
        <v>80</v>
      </c>
      <c r="L12" s="20" t="s">
        <v>80</v>
      </c>
      <c r="M12" s="15">
        <v>5.9523809523809499</v>
      </c>
      <c r="N12" s="15">
        <v>4.1666666666666696</v>
      </c>
      <c r="O12" s="15">
        <v>5.6451612903225801</v>
      </c>
      <c r="P12" s="15">
        <v>40.495867768594998</v>
      </c>
      <c r="Q12" s="20" t="s">
        <v>80</v>
      </c>
      <c r="R12" s="15">
        <v>10.6382978723404</v>
      </c>
      <c r="S12" s="20" t="s">
        <v>80</v>
      </c>
      <c r="T12" s="20" t="s">
        <v>80</v>
      </c>
      <c r="U12" s="20" t="s">
        <v>80</v>
      </c>
      <c r="V12" s="20" t="s">
        <v>80</v>
      </c>
      <c r="W12" s="15">
        <v>13.0434782608696</v>
      </c>
      <c r="X12" s="15">
        <v>20.720720720720699</v>
      </c>
      <c r="Y12" s="15">
        <v>21.2121212121212</v>
      </c>
      <c r="Z12" s="20" t="s">
        <v>80</v>
      </c>
      <c r="AA12" s="20" t="s">
        <v>80</v>
      </c>
      <c r="AB12" s="20" t="s">
        <v>80</v>
      </c>
      <c r="AC12" s="20" t="s">
        <v>80</v>
      </c>
      <c r="AD12" s="20" t="s">
        <v>80</v>
      </c>
      <c r="AE12" s="20" t="s">
        <v>80</v>
      </c>
      <c r="AF12" s="20" t="s">
        <v>80</v>
      </c>
      <c r="AG12" s="20" t="s">
        <v>80</v>
      </c>
      <c r="AH12" s="15">
        <v>15.0537634408602</v>
      </c>
      <c r="AI12" s="20" t="s">
        <v>80</v>
      </c>
      <c r="AJ12" s="32">
        <v>4.7864484186031602</v>
      </c>
      <c r="AK12" s="15">
        <v>3.9940828402366901</v>
      </c>
      <c r="AL12" s="15">
        <v>4.7930283224400902</v>
      </c>
      <c r="AM12" s="15">
        <v>5.0505050505050502</v>
      </c>
      <c r="AN12" s="15">
        <v>11.6788321167883</v>
      </c>
      <c r="AO12" s="15">
        <v>6.2874251497006002</v>
      </c>
      <c r="AP12" s="15">
        <v>5.5437100213219601</v>
      </c>
      <c r="AQ12" s="15">
        <v>3.6764705882352899</v>
      </c>
      <c r="AR12" s="24">
        <v>4.2424242424242404</v>
      </c>
      <c r="AS12" s="38"/>
    </row>
    <row r="13" spans="1:45">
      <c r="A13" s="9" t="s">
        <v>171</v>
      </c>
      <c r="B13" s="36">
        <v>5.9726095368724703</v>
      </c>
      <c r="C13" s="32">
        <v>4.9850666864461104</v>
      </c>
      <c r="D13" s="32">
        <v>5.1341028062490999</v>
      </c>
      <c r="E13" s="32">
        <v>6.6619729184785497</v>
      </c>
      <c r="F13" s="20" t="s">
        <v>80</v>
      </c>
      <c r="G13" s="20" t="s">
        <v>80</v>
      </c>
      <c r="H13" s="15">
        <v>5.0279329608938497</v>
      </c>
      <c r="I13" s="15">
        <v>8.9108910891089099</v>
      </c>
      <c r="J13" s="15">
        <v>8.5714285714285694</v>
      </c>
      <c r="K13" s="20" t="s">
        <v>80</v>
      </c>
      <c r="L13" s="15">
        <v>7.4766355140186898</v>
      </c>
      <c r="M13" s="20" t="s">
        <v>80</v>
      </c>
      <c r="N13" s="15">
        <v>8.3333333333333304</v>
      </c>
      <c r="O13" s="15">
        <v>9.67741935483871</v>
      </c>
      <c r="P13" s="20" t="s">
        <v>80</v>
      </c>
      <c r="Q13" s="20" t="s">
        <v>80</v>
      </c>
      <c r="R13" s="20" t="s">
        <v>80</v>
      </c>
      <c r="S13" s="20" t="s">
        <v>80</v>
      </c>
      <c r="T13" s="20" t="s">
        <v>80</v>
      </c>
      <c r="U13" s="15">
        <v>10.714285714285699</v>
      </c>
      <c r="V13" s="15">
        <v>13.157894736842101</v>
      </c>
      <c r="W13" s="20" t="s">
        <v>80</v>
      </c>
      <c r="X13" s="15">
        <v>9.0090090090090094</v>
      </c>
      <c r="Y13" s="15">
        <v>8.3333333333333304</v>
      </c>
      <c r="Z13" s="20" t="s">
        <v>80</v>
      </c>
      <c r="AA13" s="20" t="s">
        <v>80</v>
      </c>
      <c r="AB13" s="20" t="s">
        <v>80</v>
      </c>
      <c r="AC13" s="20" t="s">
        <v>80</v>
      </c>
      <c r="AD13" s="20" t="s">
        <v>80</v>
      </c>
      <c r="AE13" s="20" t="s">
        <v>80</v>
      </c>
      <c r="AF13" s="20" t="s">
        <v>80</v>
      </c>
      <c r="AG13" s="20" t="s">
        <v>80</v>
      </c>
      <c r="AH13" s="20" t="s">
        <v>80</v>
      </c>
      <c r="AI13" s="15">
        <v>8.9285714285714306</v>
      </c>
      <c r="AJ13" s="32">
        <v>3.7974354402511499</v>
      </c>
      <c r="AK13" s="15">
        <v>2.5147928994082802</v>
      </c>
      <c r="AL13" s="15">
        <v>3.2679738562091498</v>
      </c>
      <c r="AM13" s="15">
        <v>4.0404040404040398</v>
      </c>
      <c r="AN13" s="15">
        <v>3.6496350364963499</v>
      </c>
      <c r="AO13" s="15">
        <v>5.9880239520958103</v>
      </c>
      <c r="AP13" s="15">
        <v>4.4776119402985097</v>
      </c>
      <c r="AQ13" s="20" t="s">
        <v>80</v>
      </c>
      <c r="AR13" s="24">
        <v>3.9393939393939399</v>
      </c>
      <c r="AS13" s="38"/>
    </row>
    <row r="14" spans="1:45">
      <c r="A14" s="9" t="s">
        <v>172</v>
      </c>
      <c r="B14" s="36">
        <v>29.814034739107701</v>
      </c>
      <c r="C14" s="32">
        <v>30.044468339938</v>
      </c>
      <c r="D14" s="32">
        <v>32.476217044754399</v>
      </c>
      <c r="E14" s="32">
        <v>37.819227805175601</v>
      </c>
      <c r="F14" s="15">
        <v>62.745098039215698</v>
      </c>
      <c r="G14" s="15">
        <v>40.909090909090899</v>
      </c>
      <c r="H14" s="15">
        <v>34.636871508379897</v>
      </c>
      <c r="I14" s="15">
        <v>56.435643564356397</v>
      </c>
      <c r="J14" s="15">
        <v>45.714285714285701</v>
      </c>
      <c r="K14" s="15">
        <v>32.4324324324324</v>
      </c>
      <c r="L14" s="15">
        <v>20.5607476635514</v>
      </c>
      <c r="M14" s="15">
        <v>29.761904761904798</v>
      </c>
      <c r="N14" s="15">
        <v>30.5555555555556</v>
      </c>
      <c r="O14" s="15">
        <v>40.322580645161302</v>
      </c>
      <c r="P14" s="15">
        <v>52.066115702479301</v>
      </c>
      <c r="Q14" s="15">
        <v>64.705882352941202</v>
      </c>
      <c r="R14" s="15">
        <v>55.319148936170201</v>
      </c>
      <c r="S14" s="15">
        <v>54.347826086956502</v>
      </c>
      <c r="T14" s="15">
        <v>48.837209302325597</v>
      </c>
      <c r="U14" s="15">
        <v>32.142857142857103</v>
      </c>
      <c r="V14" s="15">
        <v>39.473684210526301</v>
      </c>
      <c r="W14" s="15">
        <v>41.304347826087003</v>
      </c>
      <c r="X14" s="15">
        <v>38.738738738738697</v>
      </c>
      <c r="Y14" s="15">
        <v>28.7878787878788</v>
      </c>
      <c r="Z14" s="15">
        <v>17.241379310344801</v>
      </c>
      <c r="AA14" s="15">
        <v>58.695652173912997</v>
      </c>
      <c r="AB14" s="20" t="s">
        <v>80</v>
      </c>
      <c r="AC14" s="15">
        <v>26.1904761904762</v>
      </c>
      <c r="AD14" s="15">
        <v>28.260869565217401</v>
      </c>
      <c r="AE14" s="15">
        <v>30.303030303030301</v>
      </c>
      <c r="AF14" s="15">
        <v>61.363636363636402</v>
      </c>
      <c r="AG14" s="20" t="s">
        <v>80</v>
      </c>
      <c r="AH14" s="15">
        <v>37.634408602150501</v>
      </c>
      <c r="AI14" s="15">
        <v>32.142857142857103</v>
      </c>
      <c r="AJ14" s="32">
        <v>27.801848417168902</v>
      </c>
      <c r="AK14" s="15">
        <v>26.923076923076898</v>
      </c>
      <c r="AL14" s="15">
        <v>24.6187363834423</v>
      </c>
      <c r="AM14" s="15">
        <v>25.252525252525299</v>
      </c>
      <c r="AN14" s="15">
        <v>45.985401459854003</v>
      </c>
      <c r="AO14" s="15">
        <v>31.437125748503</v>
      </c>
      <c r="AP14" s="15">
        <v>27.0788912579957</v>
      </c>
      <c r="AQ14" s="15">
        <v>34.558823529411796</v>
      </c>
      <c r="AR14" s="24">
        <v>30.303030303030301</v>
      </c>
      <c r="AS14" s="38"/>
    </row>
    <row r="15" spans="1:45">
      <c r="A15" s="9" t="s">
        <v>173</v>
      </c>
      <c r="B15" s="36">
        <v>30.695360370803499</v>
      </c>
      <c r="C15" s="32">
        <v>34.489291940069499</v>
      </c>
      <c r="D15" s="32">
        <v>40.5841402130524</v>
      </c>
      <c r="E15" s="32">
        <v>44.2944616360071</v>
      </c>
      <c r="F15" s="15">
        <v>80.392156862745097</v>
      </c>
      <c r="G15" s="15">
        <v>45.454545454545503</v>
      </c>
      <c r="H15" s="15">
        <v>54.189944134078203</v>
      </c>
      <c r="I15" s="15">
        <v>49.504950495049499</v>
      </c>
      <c r="J15" s="15">
        <v>52.857142857142897</v>
      </c>
      <c r="K15" s="15">
        <v>75.675675675675706</v>
      </c>
      <c r="L15" s="15">
        <v>25.233644859813101</v>
      </c>
      <c r="M15" s="15">
        <v>36.904761904761898</v>
      </c>
      <c r="N15" s="15">
        <v>31.25</v>
      </c>
      <c r="O15" s="15">
        <v>30.645161290322601</v>
      </c>
      <c r="P15" s="15">
        <v>42.148760330578497</v>
      </c>
      <c r="Q15" s="15">
        <v>67.647058823529406</v>
      </c>
      <c r="R15" s="15">
        <v>46.808510638297903</v>
      </c>
      <c r="S15" s="15">
        <v>67.391304347826093</v>
      </c>
      <c r="T15" s="15">
        <v>39.534883720930203</v>
      </c>
      <c r="U15" s="15">
        <v>46.428571428571402</v>
      </c>
      <c r="V15" s="15">
        <v>55.2631578947368</v>
      </c>
      <c r="W15" s="15">
        <v>36.956521739130402</v>
      </c>
      <c r="X15" s="15">
        <v>62.162162162162197</v>
      </c>
      <c r="Y15" s="15">
        <v>25</v>
      </c>
      <c r="Z15" s="15">
        <v>24.137931034482801</v>
      </c>
      <c r="AA15" s="15">
        <v>23.913043478260899</v>
      </c>
      <c r="AB15" s="20" t="s">
        <v>80</v>
      </c>
      <c r="AC15" s="15">
        <v>61.904761904761898</v>
      </c>
      <c r="AD15" s="15">
        <v>21.739130434782599</v>
      </c>
      <c r="AE15" s="15">
        <v>39.393939393939398</v>
      </c>
      <c r="AF15" s="15">
        <v>43.181818181818201</v>
      </c>
      <c r="AG15" s="15">
        <v>46.6666666666667</v>
      </c>
      <c r="AH15" s="15">
        <v>47.311827956989198</v>
      </c>
      <c r="AI15" s="15">
        <v>35.714285714285701</v>
      </c>
      <c r="AJ15" s="32">
        <v>37.338140750316803</v>
      </c>
      <c r="AK15" s="15">
        <v>28.698224852071</v>
      </c>
      <c r="AL15" s="15">
        <v>34.858387799564298</v>
      </c>
      <c r="AM15" s="15">
        <v>35.353535353535399</v>
      </c>
      <c r="AN15" s="15">
        <v>56.204379562043798</v>
      </c>
      <c r="AO15" s="15">
        <v>52.694610778443099</v>
      </c>
      <c r="AP15" s="15">
        <v>39.8720682302772</v>
      </c>
      <c r="AQ15" s="15">
        <v>39.705882352941202</v>
      </c>
      <c r="AR15" s="24">
        <v>42.727272727272698</v>
      </c>
      <c r="AS15" s="38"/>
    </row>
    <row r="16" spans="1:45">
      <c r="A16" s="9" t="s">
        <v>174</v>
      </c>
      <c r="B16" s="36">
        <v>2.2770707556957102</v>
      </c>
      <c r="C16" s="32">
        <v>2.8456044704146701</v>
      </c>
      <c r="D16" s="32">
        <v>3.2368094499157198</v>
      </c>
      <c r="E16" s="32">
        <v>4.50262850111947</v>
      </c>
      <c r="F16" s="20" t="s">
        <v>80</v>
      </c>
      <c r="G16" s="20" t="s">
        <v>80</v>
      </c>
      <c r="H16" s="20" t="s">
        <v>80</v>
      </c>
      <c r="I16" s="15">
        <v>5.9405940594059397</v>
      </c>
      <c r="J16" s="20" t="s">
        <v>80</v>
      </c>
      <c r="K16" s="20" t="s">
        <v>80</v>
      </c>
      <c r="L16" s="20" t="s">
        <v>80</v>
      </c>
      <c r="M16" s="20" t="s">
        <v>80</v>
      </c>
      <c r="N16" s="20" t="s">
        <v>80</v>
      </c>
      <c r="O16" s="15">
        <v>5.6451612903225801</v>
      </c>
      <c r="P16" s="15">
        <v>4.1322314049586799</v>
      </c>
      <c r="Q16" s="20" t="s">
        <v>80</v>
      </c>
      <c r="R16" s="20" t="s">
        <v>80</v>
      </c>
      <c r="S16" s="20" t="s">
        <v>80</v>
      </c>
      <c r="T16" s="15">
        <v>11.6279069767442</v>
      </c>
      <c r="U16" s="20" t="s">
        <v>80</v>
      </c>
      <c r="V16" s="20" t="s">
        <v>80</v>
      </c>
      <c r="W16" s="20" t="s">
        <v>80</v>
      </c>
      <c r="X16" s="15">
        <v>21.6216216216216</v>
      </c>
      <c r="Y16" s="15">
        <v>6.0606060606060597</v>
      </c>
      <c r="Z16" s="20" t="s">
        <v>80</v>
      </c>
      <c r="AA16" s="15">
        <v>10.869565217391299</v>
      </c>
      <c r="AB16" s="20" t="s">
        <v>80</v>
      </c>
      <c r="AC16" s="20" t="s">
        <v>80</v>
      </c>
      <c r="AD16" s="20" t="s">
        <v>80</v>
      </c>
      <c r="AE16" s="20" t="s">
        <v>80</v>
      </c>
      <c r="AF16" s="20" t="s">
        <v>80</v>
      </c>
      <c r="AG16" s="20" t="s">
        <v>80</v>
      </c>
      <c r="AH16" s="15">
        <v>6.4516129032258096</v>
      </c>
      <c r="AI16" s="20" t="s">
        <v>80</v>
      </c>
      <c r="AJ16" s="32">
        <v>2.1293992038093701</v>
      </c>
      <c r="AK16" s="15">
        <v>1.0355029585798801</v>
      </c>
      <c r="AL16" s="20" t="s">
        <v>80</v>
      </c>
      <c r="AM16" s="15">
        <v>3.0303030303030298</v>
      </c>
      <c r="AN16" s="15">
        <v>4.3795620437956204</v>
      </c>
      <c r="AO16" s="15">
        <v>2.6946107784431099</v>
      </c>
      <c r="AP16" s="15">
        <v>2.5586353944562901</v>
      </c>
      <c r="AQ16" s="20" t="s">
        <v>80</v>
      </c>
      <c r="AR16" s="24">
        <v>1.8181818181818199</v>
      </c>
      <c r="AS16" s="38"/>
    </row>
    <row r="17" spans="1:45">
      <c r="A17" s="9" t="s">
        <v>175</v>
      </c>
      <c r="B17" s="36">
        <v>58.634008539294001</v>
      </c>
      <c r="C17" s="32">
        <v>61.846946436538701</v>
      </c>
      <c r="D17" s="32">
        <v>64.091070039602002</v>
      </c>
      <c r="E17" s="32">
        <v>65.140862933007597</v>
      </c>
      <c r="F17" s="15">
        <v>80.392156862745097</v>
      </c>
      <c r="G17" s="15">
        <v>68.181818181818201</v>
      </c>
      <c r="H17" s="15">
        <v>42.458100558659197</v>
      </c>
      <c r="I17" s="15">
        <v>60.396039603960403</v>
      </c>
      <c r="J17" s="15">
        <v>67.142857142857196</v>
      </c>
      <c r="K17" s="15">
        <v>78.3783783783784</v>
      </c>
      <c r="L17" s="15">
        <v>64.485981308411198</v>
      </c>
      <c r="M17" s="15">
        <v>47.619047619047599</v>
      </c>
      <c r="N17" s="15">
        <v>61.1111111111111</v>
      </c>
      <c r="O17" s="15">
        <v>72.580645161290306</v>
      </c>
      <c r="P17" s="15">
        <v>66.942148760330596</v>
      </c>
      <c r="Q17" s="15">
        <v>82.352941176470594</v>
      </c>
      <c r="R17" s="15">
        <v>72.340425531914903</v>
      </c>
      <c r="S17" s="15">
        <v>63.043478260869598</v>
      </c>
      <c r="T17" s="15">
        <v>83.720930232558104</v>
      </c>
      <c r="U17" s="15">
        <v>67.857142857142804</v>
      </c>
      <c r="V17" s="15">
        <v>73.684210526315795</v>
      </c>
      <c r="W17" s="15">
        <v>58.695652173912997</v>
      </c>
      <c r="X17" s="15">
        <v>75.675675675675706</v>
      </c>
      <c r="Y17" s="15">
        <v>56.818181818181799</v>
      </c>
      <c r="Z17" s="15">
        <v>93.103448275862107</v>
      </c>
      <c r="AA17" s="15">
        <v>80.434782608695599</v>
      </c>
      <c r="AB17" s="15">
        <v>72.727272727272705</v>
      </c>
      <c r="AC17" s="15">
        <v>61.904761904761898</v>
      </c>
      <c r="AD17" s="15">
        <v>69.565217391304301</v>
      </c>
      <c r="AE17" s="15">
        <v>78.787878787878796</v>
      </c>
      <c r="AF17" s="15">
        <v>79.545454545454504</v>
      </c>
      <c r="AG17" s="15">
        <v>86.6666666666667</v>
      </c>
      <c r="AH17" s="15">
        <v>76.344086021505404</v>
      </c>
      <c r="AI17" s="15">
        <v>82.142857142857096</v>
      </c>
      <c r="AJ17" s="32">
        <v>63.172651719589098</v>
      </c>
      <c r="AK17" s="15">
        <v>57.692307692307701</v>
      </c>
      <c r="AL17" s="15">
        <v>55.991285403050099</v>
      </c>
      <c r="AM17" s="15">
        <v>59.595959595959599</v>
      </c>
      <c r="AN17" s="15">
        <v>81.751824817518198</v>
      </c>
      <c r="AO17" s="15">
        <v>63.772455089820397</v>
      </c>
      <c r="AP17" s="15">
        <v>58.208955223880601</v>
      </c>
      <c r="AQ17" s="15">
        <v>74.264705882352899</v>
      </c>
      <c r="AR17" s="24">
        <v>80.303030303030297</v>
      </c>
      <c r="AS17" s="38"/>
    </row>
    <row r="18" spans="1:45">
      <c r="A18" s="9" t="s">
        <v>176</v>
      </c>
      <c r="B18" s="36">
        <v>38.110463785732698</v>
      </c>
      <c r="C18" s="32">
        <v>36.338113442537001</v>
      </c>
      <c r="D18" s="32">
        <v>35.235381275064199</v>
      </c>
      <c r="E18" s="32">
        <v>44.617354460947098</v>
      </c>
      <c r="F18" s="15">
        <v>54.901960784313701</v>
      </c>
      <c r="G18" s="15">
        <v>50</v>
      </c>
      <c r="H18" s="15">
        <v>33.519553072625698</v>
      </c>
      <c r="I18" s="15">
        <v>35.643564356435597</v>
      </c>
      <c r="J18" s="15">
        <v>51.428571428571402</v>
      </c>
      <c r="K18" s="15">
        <v>54.054054054054099</v>
      </c>
      <c r="L18" s="15">
        <v>37.383177570093501</v>
      </c>
      <c r="M18" s="15">
        <v>55.952380952380999</v>
      </c>
      <c r="N18" s="15">
        <v>52.0833333333333</v>
      </c>
      <c r="O18" s="15">
        <v>39.5161290322581</v>
      </c>
      <c r="P18" s="15">
        <v>56.198347107438003</v>
      </c>
      <c r="Q18" s="15">
        <v>55.882352941176499</v>
      </c>
      <c r="R18" s="15">
        <v>46.808510638297903</v>
      </c>
      <c r="S18" s="15">
        <v>32.6086956521739</v>
      </c>
      <c r="T18" s="15">
        <v>32.558139534883701</v>
      </c>
      <c r="U18" s="15">
        <v>46.428571428571402</v>
      </c>
      <c r="V18" s="15">
        <v>52.631578947368403</v>
      </c>
      <c r="W18" s="15">
        <v>34.7826086956522</v>
      </c>
      <c r="X18" s="15">
        <v>48.648648648648603</v>
      </c>
      <c r="Y18" s="15">
        <v>38.636363636363598</v>
      </c>
      <c r="Z18" s="15">
        <v>34.482758620689701</v>
      </c>
      <c r="AA18" s="15">
        <v>41.304347826087003</v>
      </c>
      <c r="AB18" s="15">
        <v>45.454545454545503</v>
      </c>
      <c r="AC18" s="15">
        <v>40.476190476190503</v>
      </c>
      <c r="AD18" s="15">
        <v>21.739130434782599</v>
      </c>
      <c r="AE18" s="15">
        <v>45.454545454545503</v>
      </c>
      <c r="AF18" s="15">
        <v>40.909090909090899</v>
      </c>
      <c r="AG18" s="15">
        <v>40</v>
      </c>
      <c r="AH18" s="15">
        <v>34.408602150537597</v>
      </c>
      <c r="AI18" s="15">
        <v>37.5</v>
      </c>
      <c r="AJ18" s="32">
        <v>27.027499410068302</v>
      </c>
      <c r="AK18" s="15">
        <v>22.485207100591701</v>
      </c>
      <c r="AL18" s="15">
        <v>23.093681917211299</v>
      </c>
      <c r="AM18" s="15">
        <v>36.8686868686869</v>
      </c>
      <c r="AN18" s="15">
        <v>35.036496350364999</v>
      </c>
      <c r="AO18" s="15">
        <v>33.532934131736504</v>
      </c>
      <c r="AP18" s="15">
        <v>24.0938166311301</v>
      </c>
      <c r="AQ18" s="15">
        <v>17.647058823529399</v>
      </c>
      <c r="AR18" s="24">
        <v>29.090909090909101</v>
      </c>
      <c r="AS18" s="38"/>
    </row>
    <row r="19" spans="1:45">
      <c r="A19" s="9" t="s">
        <v>177</v>
      </c>
      <c r="B19" s="36">
        <v>39.874566855450901</v>
      </c>
      <c r="C19" s="32">
        <v>39.818951070321802</v>
      </c>
      <c r="D19" s="32">
        <v>40.072733493236399</v>
      </c>
      <c r="E19" s="32">
        <v>44.674778425322899</v>
      </c>
      <c r="F19" s="15">
        <v>47.058823529411796</v>
      </c>
      <c r="G19" s="15">
        <v>45.454545454545503</v>
      </c>
      <c r="H19" s="15">
        <v>36.871508379888297</v>
      </c>
      <c r="I19" s="15">
        <v>50.495049504950501</v>
      </c>
      <c r="J19" s="15">
        <v>45.714285714285701</v>
      </c>
      <c r="K19" s="15">
        <v>24.324324324324301</v>
      </c>
      <c r="L19" s="15">
        <v>43.925233644859802</v>
      </c>
      <c r="M19" s="15">
        <v>41.6666666666667</v>
      </c>
      <c r="N19" s="15">
        <v>50</v>
      </c>
      <c r="O19" s="15">
        <v>31.451612903225801</v>
      </c>
      <c r="P19" s="15">
        <v>36.363636363636402</v>
      </c>
      <c r="Q19" s="15">
        <v>79.411764705882305</v>
      </c>
      <c r="R19" s="15">
        <v>55.319148936170201</v>
      </c>
      <c r="S19" s="15">
        <v>30.434782608695699</v>
      </c>
      <c r="T19" s="15">
        <v>48.837209302325597</v>
      </c>
      <c r="U19" s="15">
        <v>58.928571428571402</v>
      </c>
      <c r="V19" s="15">
        <v>47.368421052631597</v>
      </c>
      <c r="W19" s="15">
        <v>36.956521739130402</v>
      </c>
      <c r="X19" s="15">
        <v>59.459459459459502</v>
      </c>
      <c r="Y19" s="15">
        <v>48.484848484848499</v>
      </c>
      <c r="Z19" s="15">
        <v>34.482758620689701</v>
      </c>
      <c r="AA19" s="15">
        <v>56.521739130434803</v>
      </c>
      <c r="AB19" s="15">
        <v>22.727272727272702</v>
      </c>
      <c r="AC19" s="15">
        <v>35.714285714285701</v>
      </c>
      <c r="AD19" s="20" t="s">
        <v>80</v>
      </c>
      <c r="AE19" s="15">
        <v>30.303030303030301</v>
      </c>
      <c r="AF19" s="15">
        <v>40.909090909090899</v>
      </c>
      <c r="AG19" s="15">
        <v>46.6666666666667</v>
      </c>
      <c r="AH19" s="15">
        <v>38.709677419354797</v>
      </c>
      <c r="AI19" s="15">
        <v>50</v>
      </c>
      <c r="AJ19" s="32">
        <v>36.0466037664102</v>
      </c>
      <c r="AK19" s="15">
        <v>35.059171597633103</v>
      </c>
      <c r="AL19" s="15">
        <v>40.958605664487997</v>
      </c>
      <c r="AM19" s="15">
        <v>34.343434343434303</v>
      </c>
      <c r="AN19" s="15">
        <v>41.605839416058402</v>
      </c>
      <c r="AO19" s="15">
        <v>41.916167664670702</v>
      </c>
      <c r="AP19" s="15">
        <v>41.364605543709999</v>
      </c>
      <c r="AQ19" s="15">
        <v>41.176470588235297</v>
      </c>
      <c r="AR19" s="24">
        <v>45.151515151515198</v>
      </c>
      <c r="AS19" s="38"/>
    </row>
    <row r="20" spans="1:45">
      <c r="A20" s="9" t="s">
        <v>178</v>
      </c>
      <c r="B20" s="36">
        <v>3.8033916003541299</v>
      </c>
      <c r="C20" s="32">
        <v>3.28869045326981</v>
      </c>
      <c r="D20" s="32">
        <v>2.535655759095</v>
      </c>
      <c r="E20" s="32">
        <v>3.26604840632606</v>
      </c>
      <c r="F20" s="20" t="s">
        <v>80</v>
      </c>
      <c r="G20" s="20" t="s">
        <v>80</v>
      </c>
      <c r="H20" s="20" t="s">
        <v>80</v>
      </c>
      <c r="I20" s="20" t="s">
        <v>80</v>
      </c>
      <c r="J20" s="20" t="s">
        <v>80</v>
      </c>
      <c r="K20" s="20" t="s">
        <v>80</v>
      </c>
      <c r="L20" s="20" t="s">
        <v>80</v>
      </c>
      <c r="M20" s="20" t="s">
        <v>80</v>
      </c>
      <c r="N20" s="15">
        <v>3.4722222222222201</v>
      </c>
      <c r="O20" s="20" t="s">
        <v>80</v>
      </c>
      <c r="P20" s="20" t="s">
        <v>80</v>
      </c>
      <c r="Q20" s="20" t="s">
        <v>80</v>
      </c>
      <c r="R20" s="20" t="s">
        <v>80</v>
      </c>
      <c r="S20" s="20" t="s">
        <v>80</v>
      </c>
      <c r="T20" s="20" t="s">
        <v>80</v>
      </c>
      <c r="U20" s="20" t="s">
        <v>80</v>
      </c>
      <c r="V20" s="20" t="s">
        <v>80</v>
      </c>
      <c r="W20" s="20" t="s">
        <v>80</v>
      </c>
      <c r="X20" s="20" t="s">
        <v>80</v>
      </c>
      <c r="Y20" s="15">
        <v>3.7878787878787898</v>
      </c>
      <c r="Z20" s="20" t="s">
        <v>80</v>
      </c>
      <c r="AA20" s="20" t="s">
        <v>80</v>
      </c>
      <c r="AB20" s="20" t="s">
        <v>80</v>
      </c>
      <c r="AC20" s="20" t="s">
        <v>80</v>
      </c>
      <c r="AD20" s="20" t="s">
        <v>80</v>
      </c>
      <c r="AE20" s="20" t="s">
        <v>80</v>
      </c>
      <c r="AF20" s="20" t="s">
        <v>80</v>
      </c>
      <c r="AG20" s="20" t="s">
        <v>80</v>
      </c>
      <c r="AH20" s="20" t="s">
        <v>80</v>
      </c>
      <c r="AI20" s="20" t="s">
        <v>80</v>
      </c>
      <c r="AJ20" s="32">
        <v>1.8966668763986601</v>
      </c>
      <c r="AK20" s="15">
        <v>1.4792899408283999</v>
      </c>
      <c r="AL20" s="15">
        <v>1.52505446623094</v>
      </c>
      <c r="AM20" s="15">
        <v>2.52525252525253</v>
      </c>
      <c r="AN20" s="15">
        <v>4.3795620437956204</v>
      </c>
      <c r="AO20" s="15">
        <v>1.79640718562874</v>
      </c>
      <c r="AP20" s="15">
        <v>2.3454157782516001</v>
      </c>
      <c r="AQ20" s="20" t="s">
        <v>80</v>
      </c>
      <c r="AR20" s="26" t="s">
        <v>80</v>
      </c>
      <c r="AS20" s="38"/>
    </row>
    <row r="21" spans="1:45">
      <c r="A21" s="9" t="s">
        <v>179</v>
      </c>
      <c r="B21" s="36">
        <v>12.1003665596907</v>
      </c>
      <c r="C21" s="32">
        <v>11.8449351642236</v>
      </c>
      <c r="D21" s="32">
        <v>13.9903477785644</v>
      </c>
      <c r="E21" s="32">
        <v>12.9035894989747</v>
      </c>
      <c r="F21" s="15">
        <v>49.019607843137301</v>
      </c>
      <c r="G21" s="20" t="s">
        <v>80</v>
      </c>
      <c r="H21" s="15">
        <v>6.7039106145251397</v>
      </c>
      <c r="I21" s="15">
        <v>5.9405940594059397</v>
      </c>
      <c r="J21" s="15">
        <v>10</v>
      </c>
      <c r="K21" s="20" t="s">
        <v>80</v>
      </c>
      <c r="L21" s="20" t="s">
        <v>80</v>
      </c>
      <c r="M21" s="15">
        <v>5.9523809523809499</v>
      </c>
      <c r="N21" s="15">
        <v>9.0277777777777803</v>
      </c>
      <c r="O21" s="15">
        <v>12.0967741935484</v>
      </c>
      <c r="P21" s="15">
        <v>23.1404958677686</v>
      </c>
      <c r="Q21" s="20" t="s">
        <v>80</v>
      </c>
      <c r="R21" s="20" t="s">
        <v>80</v>
      </c>
      <c r="S21" s="20" t="s">
        <v>80</v>
      </c>
      <c r="T21" s="20" t="s">
        <v>80</v>
      </c>
      <c r="U21" s="15">
        <v>12.5</v>
      </c>
      <c r="V21" s="15">
        <v>13.157894736842101</v>
      </c>
      <c r="W21" s="20" t="s">
        <v>80</v>
      </c>
      <c r="X21" s="15">
        <v>18.018018018018001</v>
      </c>
      <c r="Y21" s="15">
        <v>9.0909090909090899</v>
      </c>
      <c r="Z21" s="15">
        <v>20.689655172413801</v>
      </c>
      <c r="AA21" s="15">
        <v>21.739130434782599</v>
      </c>
      <c r="AB21" s="20" t="s">
        <v>80</v>
      </c>
      <c r="AC21" s="20" t="s">
        <v>80</v>
      </c>
      <c r="AD21" s="20" t="s">
        <v>80</v>
      </c>
      <c r="AE21" s="15">
        <v>21.2121212121212</v>
      </c>
      <c r="AF21" s="15">
        <v>22.727272727272702</v>
      </c>
      <c r="AG21" s="15">
        <v>33.3333333333333</v>
      </c>
      <c r="AH21" s="15">
        <v>8.6021505376344098</v>
      </c>
      <c r="AI21" s="15">
        <v>37.5</v>
      </c>
      <c r="AJ21" s="32">
        <v>14.9411055134193</v>
      </c>
      <c r="AK21" s="15">
        <v>14.9408284023669</v>
      </c>
      <c r="AL21" s="15">
        <v>13.7254901960784</v>
      </c>
      <c r="AM21" s="15">
        <v>15.6565656565657</v>
      </c>
      <c r="AN21" s="15">
        <v>19.7080291970803</v>
      </c>
      <c r="AO21" s="15">
        <v>16.766467065868301</v>
      </c>
      <c r="AP21" s="15">
        <v>12.3667377398721</v>
      </c>
      <c r="AQ21" s="15">
        <v>9.5588235294117592</v>
      </c>
      <c r="AR21" s="24">
        <v>14.2424242424242</v>
      </c>
      <c r="AS21" s="38"/>
    </row>
    <row r="22" spans="1:45">
      <c r="A22" s="9" t="s">
        <v>180</v>
      </c>
      <c r="B22" s="36">
        <v>15.225174874297901</v>
      </c>
      <c r="C22" s="32">
        <v>16.387817779793401</v>
      </c>
      <c r="D22" s="32">
        <v>22.830488579168701</v>
      </c>
      <c r="E22" s="32">
        <v>22.120890114948999</v>
      </c>
      <c r="F22" s="15">
        <v>27.4509803921569</v>
      </c>
      <c r="G22" s="15">
        <v>27.272727272727298</v>
      </c>
      <c r="H22" s="15">
        <v>18.435754189944099</v>
      </c>
      <c r="I22" s="15">
        <v>23.762376237623801</v>
      </c>
      <c r="J22" s="15">
        <v>22.8571428571429</v>
      </c>
      <c r="K22" s="15">
        <v>27.027027027027</v>
      </c>
      <c r="L22" s="15">
        <v>22.429906542056099</v>
      </c>
      <c r="M22" s="15">
        <v>10.714285714285699</v>
      </c>
      <c r="N22" s="15">
        <v>24.3055555555556</v>
      </c>
      <c r="O22" s="15">
        <v>20.9677419354839</v>
      </c>
      <c r="P22" s="15">
        <v>18.181818181818201</v>
      </c>
      <c r="Q22" s="15">
        <v>35.294117647058798</v>
      </c>
      <c r="R22" s="15">
        <v>23.404255319148898</v>
      </c>
      <c r="S22" s="15">
        <v>28.260869565217401</v>
      </c>
      <c r="T22" s="15">
        <v>18.604651162790699</v>
      </c>
      <c r="U22" s="15">
        <v>26.785714285714299</v>
      </c>
      <c r="V22" s="15">
        <v>28.947368421052602</v>
      </c>
      <c r="W22" s="15">
        <v>21.739130434782599</v>
      </c>
      <c r="X22" s="15">
        <v>29.729729729729701</v>
      </c>
      <c r="Y22" s="15">
        <v>18.181818181818201</v>
      </c>
      <c r="Z22" s="15">
        <v>31.034482758620701</v>
      </c>
      <c r="AA22" s="15">
        <v>32.6086956521739</v>
      </c>
      <c r="AB22" s="20" t="s">
        <v>80</v>
      </c>
      <c r="AC22" s="15">
        <v>19.047619047619001</v>
      </c>
      <c r="AD22" s="15">
        <v>19.565217391304301</v>
      </c>
      <c r="AE22" s="15">
        <v>15.1515151515152</v>
      </c>
      <c r="AF22" s="15">
        <v>27.272727272727298</v>
      </c>
      <c r="AG22" s="20" t="s">
        <v>80</v>
      </c>
      <c r="AH22" s="15">
        <v>19.354838709677399</v>
      </c>
      <c r="AI22" s="15">
        <v>23.214285714285701</v>
      </c>
      <c r="AJ22" s="32">
        <v>23.451285532059298</v>
      </c>
      <c r="AK22" s="15">
        <v>21.153846153846199</v>
      </c>
      <c r="AL22" s="15">
        <v>25.2723311546841</v>
      </c>
      <c r="AM22" s="15">
        <v>30.808080808080799</v>
      </c>
      <c r="AN22" s="15">
        <v>22.6277372262774</v>
      </c>
      <c r="AO22" s="15">
        <v>22.754491017964099</v>
      </c>
      <c r="AP22" s="15">
        <v>24.0938166311301</v>
      </c>
      <c r="AQ22" s="15">
        <v>28.676470588235301</v>
      </c>
      <c r="AR22" s="24">
        <v>21.818181818181799</v>
      </c>
      <c r="AS22" s="38"/>
    </row>
    <row r="23" spans="1:45">
      <c r="A23" s="9" t="s">
        <v>181</v>
      </c>
      <c r="B23" s="36">
        <v>24.639004850458001</v>
      </c>
      <c r="C23" s="32">
        <v>25.060820451014401</v>
      </c>
      <c r="D23" s="32">
        <v>21.989431730957701</v>
      </c>
      <c r="E23" s="32">
        <v>21.4031124139937</v>
      </c>
      <c r="F23" s="15">
        <v>66.6666666666667</v>
      </c>
      <c r="G23" s="20" t="s">
        <v>80</v>
      </c>
      <c r="H23" s="15">
        <v>13.407821229050301</v>
      </c>
      <c r="I23" s="15">
        <v>20.7920792079208</v>
      </c>
      <c r="J23" s="15">
        <v>25.714285714285701</v>
      </c>
      <c r="K23" s="15">
        <v>21.6216216216216</v>
      </c>
      <c r="L23" s="15">
        <v>10.2803738317757</v>
      </c>
      <c r="M23" s="15">
        <v>14.285714285714301</v>
      </c>
      <c r="N23" s="15">
        <v>16.6666666666667</v>
      </c>
      <c r="O23" s="15">
        <v>21.7741935483871</v>
      </c>
      <c r="P23" s="15">
        <v>28.925619834710702</v>
      </c>
      <c r="Q23" s="15">
        <v>32.352941176470601</v>
      </c>
      <c r="R23" s="15">
        <v>21.2765957446809</v>
      </c>
      <c r="S23" s="15">
        <v>10.869565217391299</v>
      </c>
      <c r="T23" s="15">
        <v>13.953488372093</v>
      </c>
      <c r="U23" s="15">
        <v>16.071428571428601</v>
      </c>
      <c r="V23" s="15">
        <v>23.684210526315798</v>
      </c>
      <c r="W23" s="20" t="s">
        <v>80</v>
      </c>
      <c r="X23" s="15">
        <v>25.225225225225198</v>
      </c>
      <c r="Y23" s="15">
        <v>25</v>
      </c>
      <c r="Z23" s="15">
        <v>27.586206896551701</v>
      </c>
      <c r="AA23" s="20" t="s">
        <v>80</v>
      </c>
      <c r="AB23" s="20" t="s">
        <v>80</v>
      </c>
      <c r="AC23" s="15">
        <v>23.8095238095238</v>
      </c>
      <c r="AD23" s="15">
        <v>15.2173913043478</v>
      </c>
      <c r="AE23" s="20" t="s">
        <v>80</v>
      </c>
      <c r="AF23" s="15">
        <v>11.363636363636401</v>
      </c>
      <c r="AG23" s="20" t="s">
        <v>80</v>
      </c>
      <c r="AH23" s="15">
        <v>20.430107526881699</v>
      </c>
      <c r="AI23" s="15">
        <v>19.6428571428571</v>
      </c>
      <c r="AJ23" s="32">
        <v>22.502377099001102</v>
      </c>
      <c r="AK23" s="15">
        <v>17.307692307692299</v>
      </c>
      <c r="AL23" s="15">
        <v>17.864923747276698</v>
      </c>
      <c r="AM23" s="15">
        <v>22.727272727272702</v>
      </c>
      <c r="AN23" s="15">
        <v>27.737226277372301</v>
      </c>
      <c r="AO23" s="15">
        <v>22.754491017964099</v>
      </c>
      <c r="AP23" s="15">
        <v>19.616204690831601</v>
      </c>
      <c r="AQ23" s="15">
        <v>26.470588235294102</v>
      </c>
      <c r="AR23" s="24">
        <v>29.090909090909101</v>
      </c>
      <c r="AS23" s="38"/>
    </row>
    <row r="24" spans="1:45">
      <c r="A24" s="9" t="s">
        <v>182</v>
      </c>
      <c r="B24" s="36">
        <v>64.290106979300305</v>
      </c>
      <c r="C24" s="32">
        <v>64.147493138509304</v>
      </c>
      <c r="D24" s="32">
        <v>65.364696468787002</v>
      </c>
      <c r="E24" s="32">
        <v>69.118599812741195</v>
      </c>
      <c r="F24" s="15">
        <v>78.431372549019599</v>
      </c>
      <c r="G24" s="15">
        <v>63.636363636363598</v>
      </c>
      <c r="H24" s="15">
        <v>69.832402234636902</v>
      </c>
      <c r="I24" s="15">
        <v>57.425742574257399</v>
      </c>
      <c r="J24" s="15">
        <v>68.571428571428598</v>
      </c>
      <c r="K24" s="15">
        <v>62.162162162162197</v>
      </c>
      <c r="L24" s="15">
        <v>69.158878504672899</v>
      </c>
      <c r="M24" s="15">
        <v>75</v>
      </c>
      <c r="N24" s="15">
        <v>74.3055555555556</v>
      </c>
      <c r="O24" s="15">
        <v>77.419354838709694</v>
      </c>
      <c r="P24" s="15">
        <v>74.380165289256198</v>
      </c>
      <c r="Q24" s="15">
        <v>76.470588235294102</v>
      </c>
      <c r="R24" s="15">
        <v>65.957446808510596</v>
      </c>
      <c r="S24" s="15">
        <v>58.695652173912997</v>
      </c>
      <c r="T24" s="15">
        <v>69.767441860465098</v>
      </c>
      <c r="U24" s="15">
        <v>80.357142857142804</v>
      </c>
      <c r="V24" s="15">
        <v>71.052631578947398</v>
      </c>
      <c r="W24" s="15">
        <v>65.2173913043478</v>
      </c>
      <c r="X24" s="15">
        <v>72.072072072072103</v>
      </c>
      <c r="Y24" s="15">
        <v>62.878787878787897</v>
      </c>
      <c r="Z24" s="15">
        <v>75.862068965517295</v>
      </c>
      <c r="AA24" s="15">
        <v>73.913043478260903</v>
      </c>
      <c r="AB24" s="15">
        <v>31.818181818181799</v>
      </c>
      <c r="AC24" s="15">
        <v>66.6666666666667</v>
      </c>
      <c r="AD24" s="15">
        <v>50</v>
      </c>
      <c r="AE24" s="15">
        <v>72.727272727272705</v>
      </c>
      <c r="AF24" s="15">
        <v>86.363636363636402</v>
      </c>
      <c r="AG24" s="15">
        <v>80</v>
      </c>
      <c r="AH24" s="15">
        <v>63.440860215053803</v>
      </c>
      <c r="AI24" s="15">
        <v>71.428571428571402</v>
      </c>
      <c r="AJ24" s="32">
        <v>62.080569071561897</v>
      </c>
      <c r="AK24" s="15">
        <v>54.142011834319497</v>
      </c>
      <c r="AL24" s="15">
        <v>61.2200435729847</v>
      </c>
      <c r="AM24" s="15">
        <v>68.181818181818201</v>
      </c>
      <c r="AN24" s="15">
        <v>76.6423357664234</v>
      </c>
      <c r="AO24" s="15">
        <v>65.868263473053901</v>
      </c>
      <c r="AP24" s="15">
        <v>59.061833688699402</v>
      </c>
      <c r="AQ24" s="15">
        <v>70.588235294117595</v>
      </c>
      <c r="AR24" s="24">
        <v>68.181818181818201</v>
      </c>
      <c r="AS24" s="38"/>
    </row>
    <row r="25" spans="1:45">
      <c r="A25" s="9" t="s">
        <v>183</v>
      </c>
      <c r="B25" s="36">
        <v>2.2834625439291401</v>
      </c>
      <c r="C25" s="32">
        <v>2.0007170920420299</v>
      </c>
      <c r="D25" s="32">
        <v>1.8586410404453</v>
      </c>
      <c r="E25" s="32">
        <v>2.2929011479760502</v>
      </c>
      <c r="F25" s="20" t="s">
        <v>80</v>
      </c>
      <c r="G25" s="20" t="s">
        <v>80</v>
      </c>
      <c r="H25" s="20" t="s">
        <v>80</v>
      </c>
      <c r="I25" s="15">
        <v>4.9504950495049496</v>
      </c>
      <c r="J25" s="20" t="s">
        <v>80</v>
      </c>
      <c r="K25" s="20" t="s">
        <v>80</v>
      </c>
      <c r="L25" s="20" t="s">
        <v>80</v>
      </c>
      <c r="M25" s="20" t="s">
        <v>80</v>
      </c>
      <c r="N25" s="20" t="s">
        <v>80</v>
      </c>
      <c r="O25" s="20" t="s">
        <v>80</v>
      </c>
      <c r="P25" s="20" t="s">
        <v>80</v>
      </c>
      <c r="Q25" s="20" t="s">
        <v>80</v>
      </c>
      <c r="R25" s="20" t="s">
        <v>80</v>
      </c>
      <c r="S25" s="20" t="s">
        <v>80</v>
      </c>
      <c r="T25" s="20" t="s">
        <v>80</v>
      </c>
      <c r="U25" s="20" t="s">
        <v>80</v>
      </c>
      <c r="V25" s="20" t="s">
        <v>80</v>
      </c>
      <c r="W25" s="20" t="s">
        <v>80</v>
      </c>
      <c r="X25" s="20" t="s">
        <v>80</v>
      </c>
      <c r="Y25" s="15">
        <v>3.7878787878787898</v>
      </c>
      <c r="Z25" s="20" t="s">
        <v>80</v>
      </c>
      <c r="AA25" s="20" t="s">
        <v>80</v>
      </c>
      <c r="AB25" s="20" t="s">
        <v>80</v>
      </c>
      <c r="AC25" s="20" t="s">
        <v>80</v>
      </c>
      <c r="AD25" s="20" t="s">
        <v>80</v>
      </c>
      <c r="AE25" s="20" t="s">
        <v>80</v>
      </c>
      <c r="AF25" s="20" t="s">
        <v>80</v>
      </c>
      <c r="AG25" s="20" t="s">
        <v>80</v>
      </c>
      <c r="AH25" s="20" t="s">
        <v>80</v>
      </c>
      <c r="AI25" s="20" t="s">
        <v>80</v>
      </c>
      <c r="AJ25" s="32">
        <v>1.47872568674805</v>
      </c>
      <c r="AK25" s="20" t="s">
        <v>80</v>
      </c>
      <c r="AL25" s="20" t="s">
        <v>80</v>
      </c>
      <c r="AM25" s="20" t="s">
        <v>80</v>
      </c>
      <c r="AN25" s="20" t="s">
        <v>80</v>
      </c>
      <c r="AO25" s="20" t="s">
        <v>80</v>
      </c>
      <c r="AP25" s="15">
        <v>2.98507462686567</v>
      </c>
      <c r="AQ25" s="20" t="s">
        <v>80</v>
      </c>
      <c r="AR25" s="26" t="s">
        <v>80</v>
      </c>
      <c r="AS25" s="38"/>
    </row>
    <row r="26" spans="1:45">
      <c r="A26" s="9" t="s">
        <v>184</v>
      </c>
      <c r="B26" s="36">
        <v>30.478778849706501</v>
      </c>
      <c r="C26" s="32">
        <v>31.0577847516738</v>
      </c>
      <c r="D26" s="32">
        <v>34.966819092154203</v>
      </c>
      <c r="E26" s="32">
        <v>36.687138833368202</v>
      </c>
      <c r="F26" s="15">
        <v>41.176470588235297</v>
      </c>
      <c r="G26" s="15">
        <v>27.272727272727298</v>
      </c>
      <c r="H26" s="15">
        <v>18.435754189944099</v>
      </c>
      <c r="I26" s="15">
        <v>24.752475247524799</v>
      </c>
      <c r="J26" s="15">
        <v>57.142857142857103</v>
      </c>
      <c r="K26" s="15">
        <v>37.837837837837803</v>
      </c>
      <c r="L26" s="15">
        <v>45.7943925233645</v>
      </c>
      <c r="M26" s="15">
        <v>26.1904761904762</v>
      </c>
      <c r="N26" s="15">
        <v>42.3611111111111</v>
      </c>
      <c r="O26" s="15">
        <v>43.548387096774199</v>
      </c>
      <c r="P26" s="15">
        <v>24.793388429752099</v>
      </c>
      <c r="Q26" s="15">
        <v>73.529411764705898</v>
      </c>
      <c r="R26" s="15">
        <v>25.531914893617</v>
      </c>
      <c r="S26" s="15">
        <v>32.6086956521739</v>
      </c>
      <c r="T26" s="15">
        <v>44.1860465116279</v>
      </c>
      <c r="U26" s="15">
        <v>35.714285714285701</v>
      </c>
      <c r="V26" s="15">
        <v>42.105263157894697</v>
      </c>
      <c r="W26" s="15">
        <v>36.956521739130402</v>
      </c>
      <c r="X26" s="15">
        <v>62.162162162162197</v>
      </c>
      <c r="Y26" s="15">
        <v>34.848484848484802</v>
      </c>
      <c r="Z26" s="15">
        <v>31.034482758620701</v>
      </c>
      <c r="AA26" s="15">
        <v>41.304347826087003</v>
      </c>
      <c r="AB26" s="20" t="s">
        <v>80</v>
      </c>
      <c r="AC26" s="15">
        <v>40.476190476190503</v>
      </c>
      <c r="AD26" s="15">
        <v>21.739130434782599</v>
      </c>
      <c r="AE26" s="15">
        <v>36.363636363636402</v>
      </c>
      <c r="AF26" s="15">
        <v>40.909090909090899</v>
      </c>
      <c r="AG26" s="15">
        <v>66.6666666666667</v>
      </c>
      <c r="AH26" s="15">
        <v>29.0322580645161</v>
      </c>
      <c r="AI26" s="15">
        <v>44.642857142857103</v>
      </c>
      <c r="AJ26" s="32">
        <v>33.4617858836653</v>
      </c>
      <c r="AK26" s="15">
        <v>28.2544378698225</v>
      </c>
      <c r="AL26" s="15">
        <v>31.590413943355099</v>
      </c>
      <c r="AM26" s="15">
        <v>32.828282828282802</v>
      </c>
      <c r="AN26" s="15">
        <v>56.204379562043798</v>
      </c>
      <c r="AO26" s="15">
        <v>37.724550898203603</v>
      </c>
      <c r="AP26" s="15">
        <v>35.394456289978699</v>
      </c>
      <c r="AQ26" s="15">
        <v>34.558823529411796</v>
      </c>
      <c r="AR26" s="24">
        <v>32.424242424242401</v>
      </c>
      <c r="AS26" s="38"/>
    </row>
    <row r="27" spans="1:45">
      <c r="A27" s="9" t="s">
        <v>185</v>
      </c>
      <c r="B27" s="36">
        <v>19.413708247396499</v>
      </c>
      <c r="C27" s="32">
        <v>18.118465021806202</v>
      </c>
      <c r="D27" s="32">
        <v>16.465455528756198</v>
      </c>
      <c r="E27" s="32">
        <v>20.5580897299436</v>
      </c>
      <c r="F27" s="15">
        <v>31.372549019607799</v>
      </c>
      <c r="G27" s="20" t="s">
        <v>80</v>
      </c>
      <c r="H27" s="15">
        <v>17.877094972066999</v>
      </c>
      <c r="I27" s="15">
        <v>23.762376237623801</v>
      </c>
      <c r="J27" s="15">
        <v>24.285714285714299</v>
      </c>
      <c r="K27" s="15">
        <v>35.135135135135101</v>
      </c>
      <c r="L27" s="15">
        <v>13.0841121495327</v>
      </c>
      <c r="M27" s="15">
        <v>10.714285714285699</v>
      </c>
      <c r="N27" s="15">
        <v>17.3611111111111</v>
      </c>
      <c r="O27" s="15">
        <v>16.129032258064498</v>
      </c>
      <c r="P27" s="15">
        <v>14.049586776859501</v>
      </c>
      <c r="Q27" s="20" t="s">
        <v>80</v>
      </c>
      <c r="R27" s="15">
        <v>17.021276595744698</v>
      </c>
      <c r="S27" s="15">
        <v>26.086956521739101</v>
      </c>
      <c r="T27" s="15">
        <v>16.2790697674419</v>
      </c>
      <c r="U27" s="15">
        <v>25</v>
      </c>
      <c r="V27" s="15">
        <v>34.210526315789501</v>
      </c>
      <c r="W27" s="15">
        <v>17.3913043478261</v>
      </c>
      <c r="X27" s="15">
        <v>34.234234234234201</v>
      </c>
      <c r="Y27" s="15">
        <v>18.181818181818201</v>
      </c>
      <c r="Z27" s="15">
        <v>27.586206896551701</v>
      </c>
      <c r="AA27" s="15">
        <v>23.913043478260899</v>
      </c>
      <c r="AB27" s="20" t="s">
        <v>80</v>
      </c>
      <c r="AC27" s="15">
        <v>14.285714285714301</v>
      </c>
      <c r="AD27" s="20" t="s">
        <v>80</v>
      </c>
      <c r="AE27" s="20" t="s">
        <v>80</v>
      </c>
      <c r="AF27" s="15">
        <v>20.454545454545499</v>
      </c>
      <c r="AG27" s="20" t="s">
        <v>80</v>
      </c>
      <c r="AH27" s="15">
        <v>27.9569892473118</v>
      </c>
      <c r="AI27" s="15">
        <v>16.071428571428601</v>
      </c>
      <c r="AJ27" s="32">
        <v>12.884987180100699</v>
      </c>
      <c r="AK27" s="15">
        <v>10.6508875739645</v>
      </c>
      <c r="AL27" s="15">
        <v>12.8540305010893</v>
      </c>
      <c r="AM27" s="15">
        <v>10.1010101010101</v>
      </c>
      <c r="AN27" s="15">
        <v>18.978102189781001</v>
      </c>
      <c r="AO27" s="15">
        <v>15.868263473053901</v>
      </c>
      <c r="AP27" s="15">
        <v>17.6972281449893</v>
      </c>
      <c r="AQ27" s="15">
        <v>11.764705882352899</v>
      </c>
      <c r="AR27" s="24">
        <v>12.7272727272727</v>
      </c>
      <c r="AS27" s="38"/>
    </row>
    <row r="28" spans="1:45">
      <c r="A28" s="9" t="s">
        <v>186</v>
      </c>
      <c r="B28" s="36">
        <v>16.6712787974203</v>
      </c>
      <c r="C28" s="32">
        <v>16.428954964728199</v>
      </c>
      <c r="D28" s="32">
        <v>18.833311541385498</v>
      </c>
      <c r="E28" s="32">
        <v>24.189986661949199</v>
      </c>
      <c r="F28" s="15">
        <v>33.3333333333333</v>
      </c>
      <c r="G28" s="15">
        <v>36.363636363636402</v>
      </c>
      <c r="H28" s="15">
        <v>13.966480446927401</v>
      </c>
      <c r="I28" s="15">
        <v>21.782178217821802</v>
      </c>
      <c r="J28" s="15">
        <v>28.571428571428601</v>
      </c>
      <c r="K28" s="15">
        <v>27.027027027027</v>
      </c>
      <c r="L28" s="15">
        <v>20.5607476635514</v>
      </c>
      <c r="M28" s="15">
        <v>8.3333333333333304</v>
      </c>
      <c r="N28" s="15">
        <v>15.2777777777778</v>
      </c>
      <c r="O28" s="15">
        <v>25.806451612903199</v>
      </c>
      <c r="P28" s="15">
        <v>19.834710743801701</v>
      </c>
      <c r="Q28" s="15">
        <v>47.058823529411796</v>
      </c>
      <c r="R28" s="15">
        <v>40.425531914893597</v>
      </c>
      <c r="S28" s="15">
        <v>26.086956521739101</v>
      </c>
      <c r="T28" s="15">
        <v>32.558139534883701</v>
      </c>
      <c r="U28" s="15">
        <v>23.214285714285701</v>
      </c>
      <c r="V28" s="15">
        <v>23.684210526315798</v>
      </c>
      <c r="W28" s="15">
        <v>39.130434782608702</v>
      </c>
      <c r="X28" s="15">
        <v>31.531531531531499</v>
      </c>
      <c r="Y28" s="15">
        <v>20.454545454545499</v>
      </c>
      <c r="Z28" s="15">
        <v>34.482758620689701</v>
      </c>
      <c r="AA28" s="15">
        <v>36.956521739130402</v>
      </c>
      <c r="AB28" s="15">
        <v>36.363636363636402</v>
      </c>
      <c r="AC28" s="15">
        <v>19.047619047619001</v>
      </c>
      <c r="AD28" s="15">
        <v>19.565217391304301</v>
      </c>
      <c r="AE28" s="15">
        <v>21.2121212121212</v>
      </c>
      <c r="AF28" s="15">
        <v>38.636363636363598</v>
      </c>
      <c r="AG28" s="15">
        <v>40</v>
      </c>
      <c r="AH28" s="15">
        <v>25.806451612903199</v>
      </c>
      <c r="AI28" s="15">
        <v>30.3571428571429</v>
      </c>
      <c r="AJ28" s="32">
        <v>14.1469885571217</v>
      </c>
      <c r="AK28" s="15">
        <v>14.4970414201183</v>
      </c>
      <c r="AL28" s="15">
        <v>13.071895424836599</v>
      </c>
      <c r="AM28" s="15">
        <v>19.191919191919201</v>
      </c>
      <c r="AN28" s="15">
        <v>23.3576642335766</v>
      </c>
      <c r="AO28" s="15">
        <v>14.9700598802395</v>
      </c>
      <c r="AP28" s="15">
        <v>13.6460554371002</v>
      </c>
      <c r="AQ28" s="15">
        <v>16.176470588235301</v>
      </c>
      <c r="AR28" s="24">
        <v>16.6666666666667</v>
      </c>
      <c r="AS28" s="38"/>
    </row>
    <row r="29" spans="1:45">
      <c r="A29" s="9" t="s">
        <v>187</v>
      </c>
      <c r="B29" s="36">
        <v>2.7685570728450699</v>
      </c>
      <c r="C29" s="32">
        <v>2.2941349550922601</v>
      </c>
      <c r="D29" s="32">
        <v>2.0934244503346902</v>
      </c>
      <c r="E29" s="32">
        <v>2.5177559717133202</v>
      </c>
      <c r="F29" s="20" t="s">
        <v>80</v>
      </c>
      <c r="G29" s="20" t="s">
        <v>80</v>
      </c>
      <c r="H29" s="20" t="s">
        <v>80</v>
      </c>
      <c r="I29" s="20" t="s">
        <v>80</v>
      </c>
      <c r="J29" s="20" t="s">
        <v>80</v>
      </c>
      <c r="K29" s="20" t="s">
        <v>80</v>
      </c>
      <c r="L29" s="15">
        <v>5.6074766355140202</v>
      </c>
      <c r="M29" s="20" t="s">
        <v>80</v>
      </c>
      <c r="N29" s="20" t="s">
        <v>80</v>
      </c>
      <c r="O29" s="15">
        <v>4.0322580645161299</v>
      </c>
      <c r="P29" s="20" t="s">
        <v>80</v>
      </c>
      <c r="Q29" s="20" t="s">
        <v>80</v>
      </c>
      <c r="R29" s="20" t="s">
        <v>80</v>
      </c>
      <c r="S29" s="20" t="s">
        <v>80</v>
      </c>
      <c r="T29" s="20" t="s">
        <v>80</v>
      </c>
      <c r="U29" s="20" t="s">
        <v>80</v>
      </c>
      <c r="V29" s="20" t="s">
        <v>80</v>
      </c>
      <c r="W29" s="20" t="s">
        <v>80</v>
      </c>
      <c r="X29" s="20" t="s">
        <v>80</v>
      </c>
      <c r="Y29" s="15">
        <v>4.5454545454545396</v>
      </c>
      <c r="Z29" s="20" t="s">
        <v>80</v>
      </c>
      <c r="AA29" s="20" t="s">
        <v>80</v>
      </c>
      <c r="AB29" s="20" t="s">
        <v>80</v>
      </c>
      <c r="AC29" s="20" t="s">
        <v>80</v>
      </c>
      <c r="AD29" s="20" t="s">
        <v>80</v>
      </c>
      <c r="AE29" s="20" t="s">
        <v>80</v>
      </c>
      <c r="AF29" s="20" t="s">
        <v>80</v>
      </c>
      <c r="AG29" s="20" t="s">
        <v>80</v>
      </c>
      <c r="AH29" s="15">
        <v>7.5268817204301097</v>
      </c>
      <c r="AI29" s="20" t="s">
        <v>80</v>
      </c>
      <c r="AJ29" s="32">
        <v>1.7221951865045</v>
      </c>
      <c r="AK29" s="15">
        <v>1.4792899408283999</v>
      </c>
      <c r="AL29" s="15">
        <v>1.52505446623094</v>
      </c>
      <c r="AM29" s="20" t="s">
        <v>80</v>
      </c>
      <c r="AN29" s="15">
        <v>3.6496350364963499</v>
      </c>
      <c r="AO29" s="20" t="s">
        <v>80</v>
      </c>
      <c r="AP29" s="15">
        <v>3.19829424307036</v>
      </c>
      <c r="AQ29" s="20" t="s">
        <v>80</v>
      </c>
      <c r="AR29" s="26" t="s">
        <v>80</v>
      </c>
      <c r="AS29" s="38"/>
    </row>
    <row r="30" spans="1:45">
      <c r="A30" s="9" t="s">
        <v>188</v>
      </c>
      <c r="B30" s="36">
        <v>6.2012673054194103</v>
      </c>
      <c r="C30" s="32">
        <v>6.9990662736900902</v>
      </c>
      <c r="D30" s="32">
        <v>3.9671569629441201</v>
      </c>
      <c r="E30" s="32">
        <v>4.1934235997983897</v>
      </c>
      <c r="F30" s="20" t="s">
        <v>80</v>
      </c>
      <c r="G30" s="20" t="s">
        <v>80</v>
      </c>
      <c r="H30" s="15">
        <v>2.7932960893854699</v>
      </c>
      <c r="I30" s="20" t="s">
        <v>80</v>
      </c>
      <c r="J30" s="20" t="s">
        <v>80</v>
      </c>
      <c r="K30" s="20" t="s">
        <v>80</v>
      </c>
      <c r="L30" s="15">
        <v>4.6728971962616797</v>
      </c>
      <c r="M30" s="20" t="s">
        <v>80</v>
      </c>
      <c r="N30" s="15">
        <v>4.1666666666666696</v>
      </c>
      <c r="O30" s="20" t="s">
        <v>80</v>
      </c>
      <c r="P30" s="20" t="s">
        <v>80</v>
      </c>
      <c r="Q30" s="20" t="s">
        <v>80</v>
      </c>
      <c r="R30" s="20" t="s">
        <v>80</v>
      </c>
      <c r="S30" s="20" t="s">
        <v>80</v>
      </c>
      <c r="T30" s="20" t="s">
        <v>80</v>
      </c>
      <c r="U30" s="20" t="s">
        <v>80</v>
      </c>
      <c r="V30" s="20" t="s">
        <v>80</v>
      </c>
      <c r="W30" s="20" t="s">
        <v>80</v>
      </c>
      <c r="X30" s="20" t="s">
        <v>80</v>
      </c>
      <c r="Y30" s="15">
        <v>9.8484848484848495</v>
      </c>
      <c r="Z30" s="20" t="s">
        <v>80</v>
      </c>
      <c r="AA30" s="20" t="s">
        <v>80</v>
      </c>
      <c r="AB30" s="20" t="s">
        <v>80</v>
      </c>
      <c r="AC30" s="20" t="s">
        <v>80</v>
      </c>
      <c r="AD30" s="20" t="s">
        <v>80</v>
      </c>
      <c r="AE30" s="20" t="s">
        <v>80</v>
      </c>
      <c r="AF30" s="20" t="s">
        <v>80</v>
      </c>
      <c r="AG30" s="20" t="s">
        <v>80</v>
      </c>
      <c r="AH30" s="15">
        <v>5.3763440860215104</v>
      </c>
      <c r="AI30" s="15">
        <v>8.9285714285714306</v>
      </c>
      <c r="AJ30" s="32">
        <v>3.7692060853948002</v>
      </c>
      <c r="AK30" s="15">
        <v>2.81065088757396</v>
      </c>
      <c r="AL30" s="15">
        <v>4.3572984749455301</v>
      </c>
      <c r="AM30" s="20" t="s">
        <v>80</v>
      </c>
      <c r="AN30" s="15">
        <v>3.6496350364963499</v>
      </c>
      <c r="AO30" s="15">
        <v>2.9940119760478998</v>
      </c>
      <c r="AP30" s="15">
        <v>6.6098081023454096</v>
      </c>
      <c r="AQ30" s="15">
        <v>4.4117647058823497</v>
      </c>
      <c r="AR30" s="24">
        <v>3.0303030303030298</v>
      </c>
      <c r="AS30" s="38"/>
    </row>
    <row r="31" spans="1:45">
      <c r="A31" s="9" t="s">
        <v>189</v>
      </c>
      <c r="B31" s="36">
        <v>13.063229381163101</v>
      </c>
      <c r="C31" s="32">
        <v>12.293477646570199</v>
      </c>
      <c r="D31" s="32">
        <v>9.2423781601411097</v>
      </c>
      <c r="E31" s="32">
        <v>12.3153254800798</v>
      </c>
      <c r="F31" s="15">
        <v>13.7254901960784</v>
      </c>
      <c r="G31" s="20" t="s">
        <v>80</v>
      </c>
      <c r="H31" s="15">
        <v>8.3798882681564208</v>
      </c>
      <c r="I31" s="15">
        <v>9.9009900990098991</v>
      </c>
      <c r="J31" s="15">
        <v>15.714285714285699</v>
      </c>
      <c r="K31" s="20" t="s">
        <v>80</v>
      </c>
      <c r="L31" s="15">
        <v>13.0841121495327</v>
      </c>
      <c r="M31" s="20" t="s">
        <v>80</v>
      </c>
      <c r="N31" s="15">
        <v>16.6666666666667</v>
      </c>
      <c r="O31" s="15">
        <v>24.193548387096801</v>
      </c>
      <c r="P31" s="15">
        <v>6.61157024793388</v>
      </c>
      <c r="Q31" s="20" t="s">
        <v>80</v>
      </c>
      <c r="R31" s="20" t="s">
        <v>80</v>
      </c>
      <c r="S31" s="20" t="s">
        <v>80</v>
      </c>
      <c r="T31" s="15">
        <v>16.2790697674419</v>
      </c>
      <c r="U31" s="15">
        <v>14.285714285714301</v>
      </c>
      <c r="V31" s="15">
        <v>13.157894736842101</v>
      </c>
      <c r="W31" s="15">
        <v>21.739130434782599</v>
      </c>
      <c r="X31" s="15">
        <v>14.4144144144144</v>
      </c>
      <c r="Y31" s="15">
        <v>12.1212121212121</v>
      </c>
      <c r="Z31" s="20" t="s">
        <v>80</v>
      </c>
      <c r="AA31" s="15">
        <v>13.0434782608696</v>
      </c>
      <c r="AB31" s="20" t="s">
        <v>80</v>
      </c>
      <c r="AC31" s="20" t="s">
        <v>80</v>
      </c>
      <c r="AD31" s="15">
        <v>10.869565217391299</v>
      </c>
      <c r="AE31" s="20" t="s">
        <v>80</v>
      </c>
      <c r="AF31" s="20" t="s">
        <v>80</v>
      </c>
      <c r="AG31" s="20" t="s">
        <v>80</v>
      </c>
      <c r="AH31" s="15">
        <v>10.752688172042999</v>
      </c>
      <c r="AI31" s="15">
        <v>17.8571428571429</v>
      </c>
      <c r="AJ31" s="32">
        <v>6.5539896858098503</v>
      </c>
      <c r="AK31" s="15">
        <v>5.32544378698225</v>
      </c>
      <c r="AL31" s="15">
        <v>6.7538126361655797</v>
      </c>
      <c r="AM31" s="15">
        <v>7.0707070707070701</v>
      </c>
      <c r="AN31" s="15">
        <v>12.408759124087601</v>
      </c>
      <c r="AO31" s="15">
        <v>5.6886227544910204</v>
      </c>
      <c r="AP31" s="15">
        <v>9.1684434968017108</v>
      </c>
      <c r="AQ31" s="15">
        <v>8.8235294117646994</v>
      </c>
      <c r="AR31" s="24">
        <v>7.5757575757575797</v>
      </c>
      <c r="AS31" s="38"/>
    </row>
    <row r="32" spans="1:45">
      <c r="A32" s="9" t="s">
        <v>190</v>
      </c>
      <c r="B32" s="36">
        <v>1.5640941952337599</v>
      </c>
      <c r="C32" s="32">
        <v>1.3933752058950399</v>
      </c>
      <c r="D32" s="32">
        <v>1.36508418128091</v>
      </c>
      <c r="E32" s="32">
        <v>1.3523168075590599</v>
      </c>
      <c r="F32" s="20" t="s">
        <v>80</v>
      </c>
      <c r="G32" s="20" t="s">
        <v>80</v>
      </c>
      <c r="H32" s="20" t="s">
        <v>80</v>
      </c>
      <c r="I32" s="15">
        <v>4.9504950495049496</v>
      </c>
      <c r="J32" s="20" t="s">
        <v>80</v>
      </c>
      <c r="K32" s="20" t="s">
        <v>80</v>
      </c>
      <c r="L32" s="20" t="s">
        <v>80</v>
      </c>
      <c r="M32" s="20" t="s">
        <v>80</v>
      </c>
      <c r="N32" s="20" t="s">
        <v>80</v>
      </c>
      <c r="O32" s="20" t="s">
        <v>80</v>
      </c>
      <c r="P32" s="20" t="s">
        <v>80</v>
      </c>
      <c r="Q32" s="20" t="s">
        <v>80</v>
      </c>
      <c r="R32" s="20" t="s">
        <v>80</v>
      </c>
      <c r="S32" s="20" t="s">
        <v>80</v>
      </c>
      <c r="T32" s="20" t="s">
        <v>80</v>
      </c>
      <c r="U32" s="20" t="s">
        <v>80</v>
      </c>
      <c r="V32" s="20" t="s">
        <v>80</v>
      </c>
      <c r="W32" s="20" t="s">
        <v>80</v>
      </c>
      <c r="X32" s="20" t="s">
        <v>80</v>
      </c>
      <c r="Y32" s="20" t="s">
        <v>80</v>
      </c>
      <c r="Z32" s="20" t="s">
        <v>80</v>
      </c>
      <c r="AA32" s="20" t="s">
        <v>80</v>
      </c>
      <c r="AB32" s="20" t="s">
        <v>80</v>
      </c>
      <c r="AC32" s="20" t="s">
        <v>80</v>
      </c>
      <c r="AD32" s="20" t="s">
        <v>80</v>
      </c>
      <c r="AE32" s="20" t="s">
        <v>80</v>
      </c>
      <c r="AF32" s="20" t="s">
        <v>80</v>
      </c>
      <c r="AG32" s="20" t="s">
        <v>80</v>
      </c>
      <c r="AH32" s="20" t="s">
        <v>80</v>
      </c>
      <c r="AI32" s="20" t="s">
        <v>80</v>
      </c>
      <c r="AJ32" s="34" t="s">
        <v>80</v>
      </c>
      <c r="AK32" s="20" t="s">
        <v>80</v>
      </c>
      <c r="AL32" s="20" t="s">
        <v>80</v>
      </c>
      <c r="AM32" s="20" t="s">
        <v>80</v>
      </c>
      <c r="AN32" s="20" t="s">
        <v>80</v>
      </c>
      <c r="AO32" s="15">
        <v>1.4970059880239499</v>
      </c>
      <c r="AP32" s="15">
        <v>2.1321961620469101</v>
      </c>
      <c r="AQ32" s="20" t="s">
        <v>80</v>
      </c>
      <c r="AR32" s="26" t="s">
        <v>80</v>
      </c>
      <c r="AS32" s="38"/>
    </row>
    <row r="33" spans="1:45">
      <c r="A33" s="9" t="s">
        <v>191</v>
      </c>
      <c r="B33" s="36">
        <v>10.204029429267701</v>
      </c>
      <c r="C33" s="32">
        <v>10.0535297460863</v>
      </c>
      <c r="D33" s="32">
        <v>13.3869967785929</v>
      </c>
      <c r="E33" s="32">
        <v>15.587685137879999</v>
      </c>
      <c r="F33" s="15">
        <v>9.8039215686274499</v>
      </c>
      <c r="G33" s="20" t="s">
        <v>80</v>
      </c>
      <c r="H33" s="15">
        <v>6.7039106145251397</v>
      </c>
      <c r="I33" s="15">
        <v>15.841584158415801</v>
      </c>
      <c r="J33" s="15">
        <v>14.285714285714301</v>
      </c>
      <c r="K33" s="20" t="s">
        <v>80</v>
      </c>
      <c r="L33" s="15">
        <v>12.1495327102804</v>
      </c>
      <c r="M33" s="15">
        <v>5.9523809523809499</v>
      </c>
      <c r="N33" s="15">
        <v>14.5833333333333</v>
      </c>
      <c r="O33" s="15">
        <v>12.0967741935484</v>
      </c>
      <c r="P33" s="15">
        <v>18.181818181818201</v>
      </c>
      <c r="Q33" s="15">
        <v>17.647058823529399</v>
      </c>
      <c r="R33" s="15">
        <v>25.531914893617</v>
      </c>
      <c r="S33" s="20" t="s">
        <v>80</v>
      </c>
      <c r="T33" s="15">
        <v>16.2790697674419</v>
      </c>
      <c r="U33" s="15">
        <v>16.071428571428601</v>
      </c>
      <c r="V33" s="15">
        <v>18.421052631578899</v>
      </c>
      <c r="W33" s="20" t="s">
        <v>80</v>
      </c>
      <c r="X33" s="15">
        <v>33.3333333333333</v>
      </c>
      <c r="Y33" s="15">
        <v>12.8787878787879</v>
      </c>
      <c r="Z33" s="20" t="s">
        <v>80</v>
      </c>
      <c r="AA33" s="15">
        <v>15.2173913043478</v>
      </c>
      <c r="AB33" s="20" t="s">
        <v>80</v>
      </c>
      <c r="AC33" s="15">
        <v>16.6666666666667</v>
      </c>
      <c r="AD33" s="20" t="s">
        <v>80</v>
      </c>
      <c r="AE33" s="20" t="s">
        <v>80</v>
      </c>
      <c r="AF33" s="15">
        <v>36.363636363636402</v>
      </c>
      <c r="AG33" s="20" t="s">
        <v>80</v>
      </c>
      <c r="AH33" s="15">
        <v>26.881720430107499</v>
      </c>
      <c r="AI33" s="15">
        <v>10.714285714285699</v>
      </c>
      <c r="AJ33" s="32">
        <v>11.461709878191099</v>
      </c>
      <c r="AK33" s="15">
        <v>6.8047337278106497</v>
      </c>
      <c r="AL33" s="15">
        <v>8.9324618736383403</v>
      </c>
      <c r="AM33" s="15">
        <v>9.0909090909090899</v>
      </c>
      <c r="AN33" s="15">
        <v>13.868613138686101</v>
      </c>
      <c r="AO33" s="15">
        <v>17.065868263473099</v>
      </c>
      <c r="AP33" s="15">
        <v>6.1833688699360296</v>
      </c>
      <c r="AQ33" s="15">
        <v>19.852941176470601</v>
      </c>
      <c r="AR33" s="24">
        <v>20.606060606060598</v>
      </c>
      <c r="AS33" s="38"/>
    </row>
    <row r="34" spans="1:45">
      <c r="A34" s="9" t="s">
        <v>192</v>
      </c>
      <c r="B34" s="36">
        <v>19.108161025738799</v>
      </c>
      <c r="C34" s="32">
        <v>21.599468302654401</v>
      </c>
      <c r="D34" s="32">
        <v>27.656793256458901</v>
      </c>
      <c r="E34" s="32">
        <v>26.158950529664601</v>
      </c>
      <c r="F34" s="15">
        <v>49.019607843137301</v>
      </c>
      <c r="G34" s="20" t="s">
        <v>80</v>
      </c>
      <c r="H34" s="15">
        <v>13.407821229050301</v>
      </c>
      <c r="I34" s="15">
        <v>13.8613861386139</v>
      </c>
      <c r="J34" s="15">
        <v>38.571428571428598</v>
      </c>
      <c r="K34" s="20" t="s">
        <v>80</v>
      </c>
      <c r="L34" s="15">
        <v>28.037383177570099</v>
      </c>
      <c r="M34" s="15">
        <v>15.476190476190499</v>
      </c>
      <c r="N34" s="15">
        <v>22.2222222222222</v>
      </c>
      <c r="O34" s="15">
        <v>25.806451612903199</v>
      </c>
      <c r="P34" s="15">
        <v>14.876033057851201</v>
      </c>
      <c r="Q34" s="15">
        <v>47.058823529411796</v>
      </c>
      <c r="R34" s="15">
        <v>40.425531914893597</v>
      </c>
      <c r="S34" s="15">
        <v>23.913043478260899</v>
      </c>
      <c r="T34" s="15">
        <v>55.8139534883721</v>
      </c>
      <c r="U34" s="15">
        <v>21.428571428571399</v>
      </c>
      <c r="V34" s="15">
        <v>28.947368421052602</v>
      </c>
      <c r="W34" s="15">
        <v>23.913043478260899</v>
      </c>
      <c r="X34" s="15">
        <v>29.729729729729701</v>
      </c>
      <c r="Y34" s="15">
        <v>23.484848484848499</v>
      </c>
      <c r="Z34" s="15">
        <v>31.034482758620701</v>
      </c>
      <c r="AA34" s="15">
        <v>17.3913043478261</v>
      </c>
      <c r="AB34" s="20" t="s">
        <v>80</v>
      </c>
      <c r="AC34" s="15">
        <v>23.8095238095238</v>
      </c>
      <c r="AD34" s="15">
        <v>52.173913043478301</v>
      </c>
      <c r="AE34" s="15">
        <v>27.272727272727298</v>
      </c>
      <c r="AF34" s="15">
        <v>22.727272727272702</v>
      </c>
      <c r="AG34" s="20" t="s">
        <v>80</v>
      </c>
      <c r="AH34" s="15">
        <v>25.806451612903199</v>
      </c>
      <c r="AI34" s="15">
        <v>37.5</v>
      </c>
      <c r="AJ34" s="32">
        <v>28.967190963880402</v>
      </c>
      <c r="AK34" s="15">
        <v>24.4082840236686</v>
      </c>
      <c r="AL34" s="15">
        <v>25.2723311546841</v>
      </c>
      <c r="AM34" s="15">
        <v>22.727272727272702</v>
      </c>
      <c r="AN34" s="15">
        <v>50.364963503649598</v>
      </c>
      <c r="AO34" s="15">
        <v>27.8443113772455</v>
      </c>
      <c r="AP34" s="15">
        <v>27.5053304904051</v>
      </c>
      <c r="AQ34" s="15">
        <v>29.411764705882401</v>
      </c>
      <c r="AR34" s="24">
        <v>42.727272727272698</v>
      </c>
      <c r="AS34" s="38"/>
    </row>
    <row r="35" spans="1:45">
      <c r="A35" s="9" t="s">
        <v>193</v>
      </c>
      <c r="B35" s="36">
        <v>24.166626986424799</v>
      </c>
      <c r="C35" s="32">
        <v>24.3803638047238</v>
      </c>
      <c r="D35" s="32">
        <v>24.6752877099144</v>
      </c>
      <c r="E35" s="32">
        <v>23.601567509802901</v>
      </c>
      <c r="F35" s="15">
        <v>39.2156862745098</v>
      </c>
      <c r="G35" s="20" t="s">
        <v>80</v>
      </c>
      <c r="H35" s="15">
        <v>15.083798882681601</v>
      </c>
      <c r="I35" s="15">
        <v>20.7920792079208</v>
      </c>
      <c r="J35" s="15">
        <v>28.571428571428601</v>
      </c>
      <c r="K35" s="15">
        <v>27.027027027027</v>
      </c>
      <c r="L35" s="15">
        <v>14.953271028037401</v>
      </c>
      <c r="M35" s="15">
        <v>10.714285714285699</v>
      </c>
      <c r="N35" s="15">
        <v>24.3055555555556</v>
      </c>
      <c r="O35" s="15">
        <v>27.419354838709701</v>
      </c>
      <c r="P35" s="15">
        <v>16.528925619834698</v>
      </c>
      <c r="Q35" s="15">
        <v>35.294117647058798</v>
      </c>
      <c r="R35" s="15">
        <v>36.170212765957501</v>
      </c>
      <c r="S35" s="15">
        <v>10.869565217391299</v>
      </c>
      <c r="T35" s="15">
        <v>39.534883720930203</v>
      </c>
      <c r="U35" s="15">
        <v>21.428571428571399</v>
      </c>
      <c r="V35" s="15">
        <v>28.947368421052602</v>
      </c>
      <c r="W35" s="15">
        <v>28.260869565217401</v>
      </c>
      <c r="X35" s="15">
        <v>18.018018018018001</v>
      </c>
      <c r="Y35" s="15">
        <v>9.8484848484848495</v>
      </c>
      <c r="Z35" s="15">
        <v>41.379310344827601</v>
      </c>
      <c r="AA35" s="15">
        <v>30.434782608695699</v>
      </c>
      <c r="AB35" s="20" t="s">
        <v>80</v>
      </c>
      <c r="AC35" s="15">
        <v>23.8095238095238</v>
      </c>
      <c r="AD35" s="15">
        <v>52.173913043478301</v>
      </c>
      <c r="AE35" s="15">
        <v>21.2121212121212</v>
      </c>
      <c r="AF35" s="15">
        <v>40.909090909090899</v>
      </c>
      <c r="AG35" s="20" t="s">
        <v>80</v>
      </c>
      <c r="AH35" s="15">
        <v>32.258064516128997</v>
      </c>
      <c r="AI35" s="15">
        <v>39.285714285714299</v>
      </c>
      <c r="AJ35" s="32">
        <v>25.6146389939104</v>
      </c>
      <c r="AK35" s="15">
        <v>22.485207100591701</v>
      </c>
      <c r="AL35" s="15">
        <v>16.7755991285403</v>
      </c>
      <c r="AM35" s="15">
        <v>21.2121212121212</v>
      </c>
      <c r="AN35" s="15">
        <v>41.605839416058402</v>
      </c>
      <c r="AO35" s="15">
        <v>26.646706586826301</v>
      </c>
      <c r="AP35" s="15">
        <v>22.388059701492502</v>
      </c>
      <c r="AQ35" s="15">
        <v>28.676470588235301</v>
      </c>
      <c r="AR35" s="24">
        <v>39.393939393939398</v>
      </c>
      <c r="AS35" s="38"/>
    </row>
    <row r="36" spans="1:45">
      <c r="A36" s="9" t="s">
        <v>194</v>
      </c>
      <c r="B36" s="36">
        <v>27.145113418200999</v>
      </c>
      <c r="C36" s="32">
        <v>29.272112624152101</v>
      </c>
      <c r="D36" s="32">
        <v>28.277452658283501</v>
      </c>
      <c r="E36" s="32">
        <v>31.101641592062599</v>
      </c>
      <c r="F36" s="15">
        <v>19.6078431372549</v>
      </c>
      <c r="G36" s="15">
        <v>40.909090909090899</v>
      </c>
      <c r="H36" s="15">
        <v>27.932960893854698</v>
      </c>
      <c r="I36" s="15">
        <v>42.574257425742601</v>
      </c>
      <c r="J36" s="15">
        <v>21.428571428571399</v>
      </c>
      <c r="K36" s="15">
        <v>16.2162162162162</v>
      </c>
      <c r="L36" s="15">
        <v>25.233644859813101</v>
      </c>
      <c r="M36" s="15">
        <v>42.857142857142897</v>
      </c>
      <c r="N36" s="15">
        <v>35.4166666666667</v>
      </c>
      <c r="O36" s="15">
        <v>32.258064516128997</v>
      </c>
      <c r="P36" s="15">
        <v>33.8842975206612</v>
      </c>
      <c r="Q36" s="15">
        <v>38.235294117647101</v>
      </c>
      <c r="R36" s="15">
        <v>51.063829787233999</v>
      </c>
      <c r="S36" s="15">
        <v>65.2173913043478</v>
      </c>
      <c r="T36" s="15">
        <v>25.581395348837201</v>
      </c>
      <c r="U36" s="15">
        <v>21.428571428571399</v>
      </c>
      <c r="V36" s="15">
        <v>55.2631578947368</v>
      </c>
      <c r="W36" s="15">
        <v>39.130434782608702</v>
      </c>
      <c r="X36" s="15">
        <v>54.9549549549549</v>
      </c>
      <c r="Y36" s="15">
        <v>8.3333333333333304</v>
      </c>
      <c r="Z36" s="20" t="s">
        <v>80</v>
      </c>
      <c r="AA36" s="15">
        <v>23.913043478260899</v>
      </c>
      <c r="AB36" s="20" t="s">
        <v>80</v>
      </c>
      <c r="AC36" s="15">
        <v>19.047619047619001</v>
      </c>
      <c r="AD36" s="20" t="s">
        <v>80</v>
      </c>
      <c r="AE36" s="15">
        <v>27.272727272727298</v>
      </c>
      <c r="AF36" s="15">
        <v>34.090909090909101</v>
      </c>
      <c r="AG36" s="15">
        <v>33.3333333333333</v>
      </c>
      <c r="AH36" s="15">
        <v>36.559139784946197</v>
      </c>
      <c r="AI36" s="15">
        <v>25</v>
      </c>
      <c r="AJ36" s="32">
        <v>25.806692118510501</v>
      </c>
      <c r="AK36" s="15">
        <v>22.781065088757401</v>
      </c>
      <c r="AL36" s="15">
        <v>18.082788671024002</v>
      </c>
      <c r="AM36" s="15">
        <v>28.282828282828302</v>
      </c>
      <c r="AN36" s="15">
        <v>37.956204379562003</v>
      </c>
      <c r="AO36" s="15">
        <v>26.047904191616801</v>
      </c>
      <c r="AP36" s="15">
        <v>27.931769722814501</v>
      </c>
      <c r="AQ36" s="15">
        <v>34.558823529411796</v>
      </c>
      <c r="AR36" s="24">
        <v>30.303030303030301</v>
      </c>
      <c r="AS36" s="38"/>
    </row>
    <row r="37" spans="1:45">
      <c r="A37" s="9" t="s">
        <v>195</v>
      </c>
      <c r="B37" s="36">
        <v>19.825448733027901</v>
      </c>
      <c r="C37" s="32">
        <v>23.696768664742098</v>
      </c>
      <c r="D37" s="32">
        <v>32.881540428308497</v>
      </c>
      <c r="E37" s="32">
        <v>29.852231145544501</v>
      </c>
      <c r="F37" s="15">
        <v>33.3333333333333</v>
      </c>
      <c r="G37" s="15">
        <v>40.909090909090899</v>
      </c>
      <c r="H37" s="15">
        <v>34.078212290502798</v>
      </c>
      <c r="I37" s="15">
        <v>27.722772277227701</v>
      </c>
      <c r="J37" s="15">
        <v>21.428571428571399</v>
      </c>
      <c r="K37" s="15">
        <v>32.4324324324324</v>
      </c>
      <c r="L37" s="15">
        <v>17.757009345794401</v>
      </c>
      <c r="M37" s="15">
        <v>25</v>
      </c>
      <c r="N37" s="15">
        <v>26.3888888888889</v>
      </c>
      <c r="O37" s="15">
        <v>29.838709677419399</v>
      </c>
      <c r="P37" s="15">
        <v>32.2314049586777</v>
      </c>
      <c r="Q37" s="15">
        <v>23.529411764705898</v>
      </c>
      <c r="R37" s="15">
        <v>44.680851063829799</v>
      </c>
      <c r="S37" s="15">
        <v>50</v>
      </c>
      <c r="T37" s="15">
        <v>20.930232558139501</v>
      </c>
      <c r="U37" s="15">
        <v>16.071428571428601</v>
      </c>
      <c r="V37" s="15">
        <v>44.7368421052632</v>
      </c>
      <c r="W37" s="15">
        <v>19.565217391304301</v>
      </c>
      <c r="X37" s="15">
        <v>43.243243243243199</v>
      </c>
      <c r="Y37" s="15">
        <v>20.454545454545499</v>
      </c>
      <c r="Z37" s="20" t="s">
        <v>80</v>
      </c>
      <c r="AA37" s="15">
        <v>28.260869565217401</v>
      </c>
      <c r="AB37" s="20" t="s">
        <v>80</v>
      </c>
      <c r="AC37" s="15">
        <v>19.047619047619001</v>
      </c>
      <c r="AD37" s="15">
        <v>15.2173913043478</v>
      </c>
      <c r="AE37" s="15">
        <v>27.272727272727298</v>
      </c>
      <c r="AF37" s="15">
        <v>22.727272727272702</v>
      </c>
      <c r="AG37" s="20" t="s">
        <v>80</v>
      </c>
      <c r="AH37" s="15">
        <v>26.881720430107499</v>
      </c>
      <c r="AI37" s="15">
        <v>35.714285714285701</v>
      </c>
      <c r="AJ37" s="32">
        <v>35.5317518745399</v>
      </c>
      <c r="AK37" s="15">
        <v>21.4497041420118</v>
      </c>
      <c r="AL37" s="15">
        <v>34.422657952069699</v>
      </c>
      <c r="AM37" s="15">
        <v>27.272727272727298</v>
      </c>
      <c r="AN37" s="15">
        <v>51.824817518248203</v>
      </c>
      <c r="AO37" s="15">
        <v>46.407185628742504</v>
      </c>
      <c r="AP37" s="15">
        <v>33.262260127931803</v>
      </c>
      <c r="AQ37" s="15">
        <v>41.911764705882298</v>
      </c>
      <c r="AR37" s="24">
        <v>47.575757575757599</v>
      </c>
      <c r="AS37" s="38"/>
    </row>
    <row r="38" spans="1:45">
      <c r="A38" s="9" t="s">
        <v>196</v>
      </c>
      <c r="B38" s="36">
        <v>23.862937732422701</v>
      </c>
      <c r="C38" s="32">
        <v>23.313029821354899</v>
      </c>
      <c r="D38" s="32">
        <v>24.020439910571401</v>
      </c>
      <c r="E38" s="32">
        <v>30.379374067121901</v>
      </c>
      <c r="F38" s="15">
        <v>23.529411764705898</v>
      </c>
      <c r="G38" s="15">
        <v>31.818181818181799</v>
      </c>
      <c r="H38" s="15">
        <v>20.670391061452499</v>
      </c>
      <c r="I38" s="15">
        <v>62.3762376237624</v>
      </c>
      <c r="J38" s="15">
        <v>35.714285714285701</v>
      </c>
      <c r="K38" s="15">
        <v>18.918918918918902</v>
      </c>
      <c r="L38" s="15">
        <v>34.5794392523364</v>
      </c>
      <c r="M38" s="15">
        <v>20.238095238095202</v>
      </c>
      <c r="N38" s="15">
        <v>44.4444444444444</v>
      </c>
      <c r="O38" s="15">
        <v>23.387096774193498</v>
      </c>
      <c r="P38" s="15">
        <v>21.4876033057851</v>
      </c>
      <c r="Q38" s="15">
        <v>35.294117647058798</v>
      </c>
      <c r="R38" s="15">
        <v>40.425531914893597</v>
      </c>
      <c r="S38" s="15">
        <v>21.739130434782599</v>
      </c>
      <c r="T38" s="15">
        <v>39.534883720930203</v>
      </c>
      <c r="U38" s="15">
        <v>46.428571428571402</v>
      </c>
      <c r="V38" s="15">
        <v>39.473684210526301</v>
      </c>
      <c r="W38" s="15">
        <v>32.6086956521739</v>
      </c>
      <c r="X38" s="15">
        <v>43.243243243243199</v>
      </c>
      <c r="Y38" s="15">
        <v>34.848484848484802</v>
      </c>
      <c r="Z38" s="20" t="s">
        <v>80</v>
      </c>
      <c r="AA38" s="15">
        <v>32.6086956521739</v>
      </c>
      <c r="AB38" s="20" t="s">
        <v>80</v>
      </c>
      <c r="AC38" s="15">
        <v>19.047619047619001</v>
      </c>
      <c r="AD38" s="15">
        <v>10.869565217391299</v>
      </c>
      <c r="AE38" s="15">
        <v>21.2121212121212</v>
      </c>
      <c r="AF38" s="15">
        <v>22.727272727272702</v>
      </c>
      <c r="AG38" s="20" t="s">
        <v>80</v>
      </c>
      <c r="AH38" s="15">
        <v>32.258064516128997</v>
      </c>
      <c r="AI38" s="15">
        <v>28.571428571428601</v>
      </c>
      <c r="AJ38" s="32">
        <v>18.457283918739201</v>
      </c>
      <c r="AK38" s="15">
        <v>13.313609467455599</v>
      </c>
      <c r="AL38" s="15">
        <v>20.043572984749499</v>
      </c>
      <c r="AM38" s="15">
        <v>16.6666666666667</v>
      </c>
      <c r="AN38" s="15">
        <v>21.167883211678799</v>
      </c>
      <c r="AO38" s="15">
        <v>22.754491017964099</v>
      </c>
      <c r="AP38" s="15">
        <v>32.409381663113003</v>
      </c>
      <c r="AQ38" s="15">
        <v>19.117647058823501</v>
      </c>
      <c r="AR38" s="24">
        <v>17.272727272727298</v>
      </c>
      <c r="AS38" s="38"/>
    </row>
    <row r="39" spans="1:45">
      <c r="A39" s="9" t="s">
        <v>197</v>
      </c>
      <c r="B39" s="36">
        <v>39.849172057532698</v>
      </c>
      <c r="C39" s="32">
        <v>41.522559337295199</v>
      </c>
      <c r="D39" s="32">
        <v>43.564478611668797</v>
      </c>
      <c r="E39" s="32">
        <v>36.457470838535002</v>
      </c>
      <c r="F39" s="15">
        <v>27.4509803921569</v>
      </c>
      <c r="G39" s="15">
        <v>22.727272727272702</v>
      </c>
      <c r="H39" s="15">
        <v>25.698324022346402</v>
      </c>
      <c r="I39" s="15">
        <v>33.6633663366337</v>
      </c>
      <c r="J39" s="15">
        <v>38.571428571428598</v>
      </c>
      <c r="K39" s="15">
        <v>16.2162162162162</v>
      </c>
      <c r="L39" s="15">
        <v>36.448598130841098</v>
      </c>
      <c r="M39" s="15">
        <v>27.380952380952401</v>
      </c>
      <c r="N39" s="15">
        <v>48.6111111111111</v>
      </c>
      <c r="O39" s="15">
        <v>35.4838709677419</v>
      </c>
      <c r="P39" s="15">
        <v>22.3140495867769</v>
      </c>
      <c r="Q39" s="15">
        <v>67.647058823529406</v>
      </c>
      <c r="R39" s="15">
        <v>40.425531914893597</v>
      </c>
      <c r="S39" s="15">
        <v>36.956521739130402</v>
      </c>
      <c r="T39" s="15">
        <v>48.837209302325597</v>
      </c>
      <c r="U39" s="15">
        <v>39.285714285714299</v>
      </c>
      <c r="V39" s="15">
        <v>42.105263157894697</v>
      </c>
      <c r="W39" s="15">
        <v>36.956521739130402</v>
      </c>
      <c r="X39" s="15">
        <v>49.549549549549504</v>
      </c>
      <c r="Y39" s="15">
        <v>31.060606060606101</v>
      </c>
      <c r="Z39" s="15">
        <v>48.275862068965502</v>
      </c>
      <c r="AA39" s="15">
        <v>41.304347826087003</v>
      </c>
      <c r="AB39" s="15">
        <v>22.727272727272702</v>
      </c>
      <c r="AC39" s="15">
        <v>26.1904761904762</v>
      </c>
      <c r="AD39" s="15">
        <v>34.7826086956522</v>
      </c>
      <c r="AE39" s="15">
        <v>27.272727272727298</v>
      </c>
      <c r="AF39" s="15">
        <v>31.818181818181799</v>
      </c>
      <c r="AG39" s="15">
        <v>53.3333333333333</v>
      </c>
      <c r="AH39" s="15">
        <v>38.709677419354797</v>
      </c>
      <c r="AI39" s="15">
        <v>48.214285714285701</v>
      </c>
      <c r="AJ39" s="32">
        <v>49.782091800253298</v>
      </c>
      <c r="AK39" s="15">
        <v>43.343195266272197</v>
      </c>
      <c r="AL39" s="15">
        <v>44.880174291938999</v>
      </c>
      <c r="AM39" s="15">
        <v>47.474747474747502</v>
      </c>
      <c r="AN39" s="15">
        <v>63.503649635036503</v>
      </c>
      <c r="AO39" s="15">
        <v>54.491017964071901</v>
      </c>
      <c r="AP39" s="15">
        <v>50.533049040511699</v>
      </c>
      <c r="AQ39" s="15">
        <v>41.176470588235297</v>
      </c>
      <c r="AR39" s="24">
        <v>58.484848484848499</v>
      </c>
      <c r="AS39" s="38"/>
    </row>
    <row r="40" spans="1:45">
      <c r="A40" s="9" t="s">
        <v>198</v>
      </c>
      <c r="B40" s="36">
        <v>14.3479585669636</v>
      </c>
      <c r="C40" s="32">
        <v>14.3024950524274</v>
      </c>
      <c r="D40" s="32">
        <v>15.5772818790409</v>
      </c>
      <c r="E40" s="32">
        <v>17.649472187810598</v>
      </c>
      <c r="F40" s="15">
        <v>37.254901960784302</v>
      </c>
      <c r="G40" s="20" t="s">
        <v>80</v>
      </c>
      <c r="H40" s="15">
        <v>7.8212290502793298</v>
      </c>
      <c r="I40" s="15">
        <v>17.821782178217799</v>
      </c>
      <c r="J40" s="15">
        <v>22.8571428571429</v>
      </c>
      <c r="K40" s="15">
        <v>35.135135135135101</v>
      </c>
      <c r="L40" s="15">
        <v>16.822429906542101</v>
      </c>
      <c r="M40" s="15">
        <v>8.3333333333333304</v>
      </c>
      <c r="N40" s="15">
        <v>22.9166666666667</v>
      </c>
      <c r="O40" s="15">
        <v>12.9032258064516</v>
      </c>
      <c r="P40" s="15">
        <v>13.223140495867799</v>
      </c>
      <c r="Q40" s="15">
        <v>26.470588235294102</v>
      </c>
      <c r="R40" s="15">
        <v>14.893617021276601</v>
      </c>
      <c r="S40" s="20" t="s">
        <v>80</v>
      </c>
      <c r="T40" s="15">
        <v>16.2790697674419</v>
      </c>
      <c r="U40" s="15">
        <v>25</v>
      </c>
      <c r="V40" s="15">
        <v>34.210526315789501</v>
      </c>
      <c r="W40" s="15">
        <v>17.3913043478261</v>
      </c>
      <c r="X40" s="15">
        <v>28.828828828828801</v>
      </c>
      <c r="Y40" s="15">
        <v>16.6666666666667</v>
      </c>
      <c r="Z40" s="20" t="s">
        <v>80</v>
      </c>
      <c r="AA40" s="15">
        <v>23.913043478260899</v>
      </c>
      <c r="AB40" s="20" t="s">
        <v>80</v>
      </c>
      <c r="AC40" s="15">
        <v>14.285714285714301</v>
      </c>
      <c r="AD40" s="15">
        <v>19.565217391304301</v>
      </c>
      <c r="AE40" s="20" t="s">
        <v>80</v>
      </c>
      <c r="AF40" s="15">
        <v>18.181818181818201</v>
      </c>
      <c r="AG40" s="20" t="s">
        <v>80</v>
      </c>
      <c r="AH40" s="15">
        <v>21.505376344085999</v>
      </c>
      <c r="AI40" s="15">
        <v>17.8571428571429</v>
      </c>
      <c r="AJ40" s="32">
        <v>13.764412355840401</v>
      </c>
      <c r="AK40" s="15">
        <v>11.686390532544401</v>
      </c>
      <c r="AL40" s="15">
        <v>21.132897603485802</v>
      </c>
      <c r="AM40" s="15">
        <v>15.1515151515152</v>
      </c>
      <c r="AN40" s="15">
        <v>18.248175182481699</v>
      </c>
      <c r="AO40" s="15">
        <v>12.874251497006</v>
      </c>
      <c r="AP40" s="15">
        <v>14.0724946695096</v>
      </c>
      <c r="AQ40" s="15">
        <v>13.235294117647101</v>
      </c>
      <c r="AR40" s="24">
        <v>13.3333333333333</v>
      </c>
      <c r="AS40" s="38"/>
    </row>
    <row r="41" spans="1:45">
      <c r="A41" s="9" t="s">
        <v>199</v>
      </c>
      <c r="B41" s="36">
        <v>32.505436725395697</v>
      </c>
      <c r="C41" s="32">
        <v>34.757710600637999</v>
      </c>
      <c r="D41" s="32">
        <v>34.953479383279301</v>
      </c>
      <c r="E41" s="32">
        <v>33.918368509833002</v>
      </c>
      <c r="F41" s="15">
        <v>37.254901960784302</v>
      </c>
      <c r="G41" s="15">
        <v>50</v>
      </c>
      <c r="H41" s="15">
        <v>39.106145251396597</v>
      </c>
      <c r="I41" s="15">
        <v>36.633663366336599</v>
      </c>
      <c r="J41" s="15">
        <v>31.428571428571399</v>
      </c>
      <c r="K41" s="15">
        <v>13.5135135135135</v>
      </c>
      <c r="L41" s="15">
        <v>10.2803738317757</v>
      </c>
      <c r="M41" s="15">
        <v>34.523809523809497</v>
      </c>
      <c r="N41" s="15">
        <v>28.4722222222222</v>
      </c>
      <c r="O41" s="15">
        <v>29.838709677419399</v>
      </c>
      <c r="P41" s="15">
        <v>38.016528925619802</v>
      </c>
      <c r="Q41" s="15">
        <v>47.058823529411796</v>
      </c>
      <c r="R41" s="15">
        <v>38.297872340425499</v>
      </c>
      <c r="S41" s="15">
        <v>19.565217391304301</v>
      </c>
      <c r="T41" s="15">
        <v>44.1860465116279</v>
      </c>
      <c r="U41" s="15">
        <v>32.142857142857103</v>
      </c>
      <c r="V41" s="15">
        <v>34.210526315789501</v>
      </c>
      <c r="W41" s="15">
        <v>26.086956521739101</v>
      </c>
      <c r="X41" s="15">
        <v>43.243243243243199</v>
      </c>
      <c r="Y41" s="15">
        <v>22.727272727272702</v>
      </c>
      <c r="Z41" s="15">
        <v>24.137931034482801</v>
      </c>
      <c r="AA41" s="15">
        <v>32.6086956521739</v>
      </c>
      <c r="AB41" s="20" t="s">
        <v>80</v>
      </c>
      <c r="AC41" s="15">
        <v>30.952380952380999</v>
      </c>
      <c r="AD41" s="20" t="s">
        <v>80</v>
      </c>
      <c r="AE41" s="15">
        <v>21.2121212121212</v>
      </c>
      <c r="AF41" s="15">
        <v>34.090909090909101</v>
      </c>
      <c r="AG41" s="15">
        <v>33.3333333333333</v>
      </c>
      <c r="AH41" s="15">
        <v>23.655913978494599</v>
      </c>
      <c r="AI41" s="15">
        <v>46.428571428571402</v>
      </c>
      <c r="AJ41" s="32">
        <v>35.859053040130597</v>
      </c>
      <c r="AK41" s="15">
        <v>26.183431952662701</v>
      </c>
      <c r="AL41" s="15">
        <v>31.590413943355099</v>
      </c>
      <c r="AM41" s="15">
        <v>40.909090909090899</v>
      </c>
      <c r="AN41" s="15">
        <v>47.445255474452601</v>
      </c>
      <c r="AO41" s="15">
        <v>39.221556886227503</v>
      </c>
      <c r="AP41" s="15">
        <v>39.232409381663103</v>
      </c>
      <c r="AQ41" s="15">
        <v>40.441176470588204</v>
      </c>
      <c r="AR41" s="24">
        <v>47.575757575757599</v>
      </c>
      <c r="AS41" s="38"/>
    </row>
    <row r="42" spans="1:45">
      <c r="A42" s="9" t="s">
        <v>200</v>
      </c>
      <c r="B42" s="36">
        <v>7.3874278748413298</v>
      </c>
      <c r="C42" s="32">
        <v>6.98211191728931</v>
      </c>
      <c r="D42" s="32">
        <v>11.084914459289401</v>
      </c>
      <c r="E42" s="32">
        <v>13.3626763942047</v>
      </c>
      <c r="F42" s="15">
        <v>15.6862745098039</v>
      </c>
      <c r="G42" s="20" t="s">
        <v>80</v>
      </c>
      <c r="H42" s="15">
        <v>8.9385474860335208</v>
      </c>
      <c r="I42" s="15">
        <v>11.881188118811901</v>
      </c>
      <c r="J42" s="15">
        <v>17.1428571428571</v>
      </c>
      <c r="K42" s="20" t="s">
        <v>80</v>
      </c>
      <c r="L42" s="15">
        <v>11.214953271028</v>
      </c>
      <c r="M42" s="15">
        <v>13.0952380952381</v>
      </c>
      <c r="N42" s="15">
        <v>14.5833333333333</v>
      </c>
      <c r="O42" s="15">
        <v>10.4838709677419</v>
      </c>
      <c r="P42" s="15">
        <v>5.7851239669421499</v>
      </c>
      <c r="Q42" s="20" t="s">
        <v>80</v>
      </c>
      <c r="R42" s="15">
        <v>21.2765957446809</v>
      </c>
      <c r="S42" s="15">
        <v>43.478260869565197</v>
      </c>
      <c r="T42" s="15">
        <v>13.953488372093</v>
      </c>
      <c r="U42" s="15">
        <v>23.214285714285701</v>
      </c>
      <c r="V42" s="20" t="s">
        <v>80</v>
      </c>
      <c r="W42" s="20" t="s">
        <v>80</v>
      </c>
      <c r="X42" s="15">
        <v>14.4144144144144</v>
      </c>
      <c r="Y42" s="15">
        <v>9.0909090909090899</v>
      </c>
      <c r="Z42" s="20" t="s">
        <v>80</v>
      </c>
      <c r="AA42" s="15">
        <v>17.3913043478261</v>
      </c>
      <c r="AB42" s="20" t="s">
        <v>80</v>
      </c>
      <c r="AC42" s="15">
        <v>11.9047619047619</v>
      </c>
      <c r="AD42" s="20" t="s">
        <v>80</v>
      </c>
      <c r="AE42" s="20" t="s">
        <v>80</v>
      </c>
      <c r="AF42" s="15">
        <v>11.363636363636401</v>
      </c>
      <c r="AG42" s="20" t="s">
        <v>80</v>
      </c>
      <c r="AH42" s="15">
        <v>17.204301075268798</v>
      </c>
      <c r="AI42" s="15">
        <v>12.5</v>
      </c>
      <c r="AJ42" s="32">
        <v>9.0921992267943104</v>
      </c>
      <c r="AK42" s="15">
        <v>5.1775147928994096</v>
      </c>
      <c r="AL42" s="15">
        <v>6.97167755991285</v>
      </c>
      <c r="AM42" s="15">
        <v>12.1212121212121</v>
      </c>
      <c r="AN42" s="15">
        <v>13.138686131386899</v>
      </c>
      <c r="AO42" s="15">
        <v>11.377245508982</v>
      </c>
      <c r="AP42" s="15">
        <v>8.7420042643923193</v>
      </c>
      <c r="AQ42" s="15">
        <v>13.235294117647101</v>
      </c>
      <c r="AR42" s="24">
        <v>12.1212121212121</v>
      </c>
      <c r="AS42" s="38"/>
    </row>
    <row r="43" spans="1:45">
      <c r="A43" s="9" t="s">
        <v>201</v>
      </c>
      <c r="B43" s="36">
        <v>36.9494710022649</v>
      </c>
      <c r="C43" s="32">
        <v>41.191476613988002</v>
      </c>
      <c r="D43" s="32">
        <v>41.449924950268397</v>
      </c>
      <c r="E43" s="32">
        <v>40.147213708730803</v>
      </c>
      <c r="F43" s="15">
        <v>62.745098039215698</v>
      </c>
      <c r="G43" s="15">
        <v>31.818181818181799</v>
      </c>
      <c r="H43" s="15">
        <v>45.810055865921797</v>
      </c>
      <c r="I43" s="15">
        <v>40.594059405940598</v>
      </c>
      <c r="J43" s="15">
        <v>38.571428571428598</v>
      </c>
      <c r="K43" s="15">
        <v>21.6216216216216</v>
      </c>
      <c r="L43" s="15">
        <v>36.448598130841098</v>
      </c>
      <c r="M43" s="15">
        <v>41.6666666666667</v>
      </c>
      <c r="N43" s="15">
        <v>33.3333333333333</v>
      </c>
      <c r="O43" s="15">
        <v>41.935483870967701</v>
      </c>
      <c r="P43" s="15">
        <v>50.413223140495901</v>
      </c>
      <c r="Q43" s="15">
        <v>52.941176470588204</v>
      </c>
      <c r="R43" s="15">
        <v>34.042553191489397</v>
      </c>
      <c r="S43" s="15">
        <v>41.304347826087003</v>
      </c>
      <c r="T43" s="15">
        <v>30.232558139534898</v>
      </c>
      <c r="U43" s="15">
        <v>39.285714285714299</v>
      </c>
      <c r="V43" s="15">
        <v>44.7368421052632</v>
      </c>
      <c r="W43" s="15">
        <v>28.260869565217401</v>
      </c>
      <c r="X43" s="15">
        <v>55.8558558558559</v>
      </c>
      <c r="Y43" s="15">
        <v>28.030303030302999</v>
      </c>
      <c r="Z43" s="15">
        <v>37.931034482758598</v>
      </c>
      <c r="AA43" s="15">
        <v>47.826086956521699</v>
      </c>
      <c r="AB43" s="15">
        <v>22.727272727272702</v>
      </c>
      <c r="AC43" s="15">
        <v>35.714285714285701</v>
      </c>
      <c r="AD43" s="15">
        <v>32.6086956521739</v>
      </c>
      <c r="AE43" s="15">
        <v>57.575757575757599</v>
      </c>
      <c r="AF43" s="15">
        <v>40.909090909090899</v>
      </c>
      <c r="AG43" s="15">
        <v>33.3333333333333</v>
      </c>
      <c r="AH43" s="15">
        <v>51.612903225806399</v>
      </c>
      <c r="AI43" s="15">
        <v>53.571428571428598</v>
      </c>
      <c r="AJ43" s="32">
        <v>42.589610575338398</v>
      </c>
      <c r="AK43" s="15">
        <v>39.2011834319527</v>
      </c>
      <c r="AL43" s="15">
        <v>35.076252723311498</v>
      </c>
      <c r="AM43" s="15">
        <v>47.979797979798001</v>
      </c>
      <c r="AN43" s="15">
        <v>60.583941605839399</v>
      </c>
      <c r="AO43" s="15">
        <v>44.910179640718603</v>
      </c>
      <c r="AP43" s="15">
        <v>44.349680170575702</v>
      </c>
      <c r="AQ43" s="15">
        <v>47.794117647058798</v>
      </c>
      <c r="AR43" s="24">
        <v>54.848484848484901</v>
      </c>
      <c r="AS43" s="38"/>
    </row>
    <row r="44" spans="1:45">
      <c r="A44" s="9" t="s">
        <v>202</v>
      </c>
      <c r="B44" s="36">
        <v>70.714544305944997</v>
      </c>
      <c r="C44" s="32">
        <v>71.830301457796196</v>
      </c>
      <c r="D44" s="32">
        <v>75.308506130443604</v>
      </c>
      <c r="E44" s="32">
        <v>75.056243774812998</v>
      </c>
      <c r="F44" s="15">
        <v>82.352941176470594</v>
      </c>
      <c r="G44" s="15">
        <v>68.181818181818201</v>
      </c>
      <c r="H44" s="15">
        <v>66.480446927374302</v>
      </c>
      <c r="I44" s="15">
        <v>69.306930693069305</v>
      </c>
      <c r="J44" s="15">
        <v>78.571428571428598</v>
      </c>
      <c r="K44" s="15">
        <v>75.675675675675706</v>
      </c>
      <c r="L44" s="15">
        <v>72.897196261682197</v>
      </c>
      <c r="M44" s="15">
        <v>82.142857142857096</v>
      </c>
      <c r="N44" s="15">
        <v>78.4722222222222</v>
      </c>
      <c r="O44" s="15">
        <v>72.580645161290306</v>
      </c>
      <c r="P44" s="15">
        <v>80.165289256198307</v>
      </c>
      <c r="Q44" s="15">
        <v>94.117647058823493</v>
      </c>
      <c r="R44" s="15">
        <v>72.340425531914903</v>
      </c>
      <c r="S44" s="15">
        <v>54.347826086956502</v>
      </c>
      <c r="T44" s="15">
        <v>76.744186046511601</v>
      </c>
      <c r="U44" s="15">
        <v>82.142857142857096</v>
      </c>
      <c r="V44" s="15">
        <v>84.210526315789494</v>
      </c>
      <c r="W44" s="15">
        <v>56.521739130434803</v>
      </c>
      <c r="X44" s="15">
        <v>79.279279279279294</v>
      </c>
      <c r="Y44" s="15">
        <v>78.030303030303003</v>
      </c>
      <c r="Z44" s="15">
        <v>75.862068965517295</v>
      </c>
      <c r="AA44" s="15">
        <v>71.739130434782595</v>
      </c>
      <c r="AB44" s="15">
        <v>54.545454545454497</v>
      </c>
      <c r="AC44" s="15">
        <v>71.428571428571402</v>
      </c>
      <c r="AD44" s="15">
        <v>50</v>
      </c>
      <c r="AE44" s="15">
        <v>75.757575757575793</v>
      </c>
      <c r="AF44" s="15">
        <v>84.090909090909093</v>
      </c>
      <c r="AG44" s="15">
        <v>80</v>
      </c>
      <c r="AH44" s="15">
        <v>76.344086021505404</v>
      </c>
      <c r="AI44" s="15">
        <v>71.428571428571402</v>
      </c>
      <c r="AJ44" s="32">
        <v>75.529199536082103</v>
      </c>
      <c r="AK44" s="15">
        <v>69.970414201183402</v>
      </c>
      <c r="AL44" s="15">
        <v>75.599128540305003</v>
      </c>
      <c r="AM44" s="15">
        <v>76.767676767676804</v>
      </c>
      <c r="AN44" s="15">
        <v>78.102189781021906</v>
      </c>
      <c r="AO44" s="15">
        <v>77.844311377245504</v>
      </c>
      <c r="AP44" s="15">
        <v>74.413646055437098</v>
      </c>
      <c r="AQ44" s="15">
        <v>75.735294117647101</v>
      </c>
      <c r="AR44" s="24">
        <v>81.212121212121204</v>
      </c>
      <c r="AS44" s="38"/>
    </row>
    <row r="45" spans="1:45">
      <c r="A45" s="9" t="s">
        <v>203</v>
      </c>
      <c r="B45" s="36">
        <v>5.6496898069387997</v>
      </c>
      <c r="C45" s="32">
        <v>5.70576741092344</v>
      </c>
      <c r="D45" s="32">
        <v>9.9311683192350007</v>
      </c>
      <c r="E45" s="32">
        <v>12.329738909562399</v>
      </c>
      <c r="F45" s="20" t="s">
        <v>80</v>
      </c>
      <c r="G45" s="20" t="s">
        <v>80</v>
      </c>
      <c r="H45" s="15">
        <v>3.91061452513966</v>
      </c>
      <c r="I45" s="15">
        <v>8.9108910891089099</v>
      </c>
      <c r="J45" s="15">
        <v>18.571428571428601</v>
      </c>
      <c r="K45" s="20" t="s">
        <v>80</v>
      </c>
      <c r="L45" s="15">
        <v>8.4112149532710294</v>
      </c>
      <c r="M45" s="15">
        <v>5.9523809523809499</v>
      </c>
      <c r="N45" s="15">
        <v>15.2777777777778</v>
      </c>
      <c r="O45" s="15">
        <v>8.8709677419354804</v>
      </c>
      <c r="P45" s="15">
        <v>4.1322314049586799</v>
      </c>
      <c r="Q45" s="15">
        <v>20.588235294117599</v>
      </c>
      <c r="R45" s="15">
        <v>10.6382978723404</v>
      </c>
      <c r="S45" s="15">
        <v>23.913043478260899</v>
      </c>
      <c r="T45" s="15">
        <v>18.604651162790699</v>
      </c>
      <c r="U45" s="15">
        <v>12.5</v>
      </c>
      <c r="V45" s="15">
        <v>23.684210526315798</v>
      </c>
      <c r="W45" s="15">
        <v>10.869565217391299</v>
      </c>
      <c r="X45" s="15">
        <v>15.315315315315299</v>
      </c>
      <c r="Y45" s="15">
        <v>11.363636363636401</v>
      </c>
      <c r="Z45" s="20" t="s">
        <v>80</v>
      </c>
      <c r="AA45" s="20" t="s">
        <v>80</v>
      </c>
      <c r="AB45" s="20" t="s">
        <v>80</v>
      </c>
      <c r="AC45" s="15">
        <v>42.857142857142897</v>
      </c>
      <c r="AD45" s="20" t="s">
        <v>80</v>
      </c>
      <c r="AE45" s="20" t="s">
        <v>80</v>
      </c>
      <c r="AF45" s="15">
        <v>18.181818181818201</v>
      </c>
      <c r="AG45" s="20" t="s">
        <v>80</v>
      </c>
      <c r="AH45" s="15">
        <v>15.0537634408602</v>
      </c>
      <c r="AI45" s="20" t="s">
        <v>80</v>
      </c>
      <c r="AJ45" s="32">
        <v>7.8327628281721999</v>
      </c>
      <c r="AK45" s="15">
        <v>5.6213017751479297</v>
      </c>
      <c r="AL45" s="15">
        <v>10.239651416121999</v>
      </c>
      <c r="AM45" s="15">
        <v>10.1010101010101</v>
      </c>
      <c r="AN45" s="15">
        <v>11.6788321167883</v>
      </c>
      <c r="AO45" s="15">
        <v>8.9820359281437092</v>
      </c>
      <c r="AP45" s="15">
        <v>7.4626865671641802</v>
      </c>
      <c r="AQ45" s="15">
        <v>8.8235294117646994</v>
      </c>
      <c r="AR45" s="24">
        <v>7.8787878787878798</v>
      </c>
      <c r="AS45" s="38"/>
    </row>
    <row r="46" spans="1:45">
      <c r="A46" s="9" t="s">
        <v>204</v>
      </c>
      <c r="B46" s="36">
        <v>21.748359918418199</v>
      </c>
      <c r="C46" s="32">
        <v>22.559460264461698</v>
      </c>
      <c r="D46" s="32">
        <v>25.317546191614401</v>
      </c>
      <c r="E46" s="32">
        <v>27.309243532753399</v>
      </c>
      <c r="F46" s="15">
        <v>21.568627450980401</v>
      </c>
      <c r="G46" s="20" t="s">
        <v>80</v>
      </c>
      <c r="H46" s="15">
        <v>16.759776536312799</v>
      </c>
      <c r="I46" s="15">
        <v>31.683168316831701</v>
      </c>
      <c r="J46" s="15">
        <v>32.857142857142897</v>
      </c>
      <c r="K46" s="15">
        <v>18.918918918918902</v>
      </c>
      <c r="L46" s="15">
        <v>34.5794392523364</v>
      </c>
      <c r="M46" s="15">
        <v>14.285714285714301</v>
      </c>
      <c r="N46" s="15">
        <v>26.3888888888889</v>
      </c>
      <c r="O46" s="15">
        <v>29.0322580645161</v>
      </c>
      <c r="P46" s="15">
        <v>22.3140495867769</v>
      </c>
      <c r="Q46" s="15">
        <v>35.294117647058798</v>
      </c>
      <c r="R46" s="15">
        <v>44.680851063829799</v>
      </c>
      <c r="S46" s="15">
        <v>21.739130434782599</v>
      </c>
      <c r="T46" s="15">
        <v>32.558139534883701</v>
      </c>
      <c r="U46" s="15">
        <v>28.571428571428601</v>
      </c>
      <c r="V46" s="15">
        <v>52.631578947368403</v>
      </c>
      <c r="W46" s="15">
        <v>21.739130434782599</v>
      </c>
      <c r="X46" s="15">
        <v>36.036036036036002</v>
      </c>
      <c r="Y46" s="15">
        <v>24.2424242424242</v>
      </c>
      <c r="Z46" s="20" t="s">
        <v>80</v>
      </c>
      <c r="AA46" s="15">
        <v>30.434782608695699</v>
      </c>
      <c r="AB46" s="20" t="s">
        <v>80</v>
      </c>
      <c r="AC46" s="15">
        <v>30.952380952380999</v>
      </c>
      <c r="AD46" s="15">
        <v>17.3913043478261</v>
      </c>
      <c r="AE46" s="15">
        <v>21.2121212121212</v>
      </c>
      <c r="AF46" s="15">
        <v>29.545454545454501</v>
      </c>
      <c r="AG46" s="20" t="s">
        <v>80</v>
      </c>
      <c r="AH46" s="15">
        <v>37.634408602150501</v>
      </c>
      <c r="AI46" s="15">
        <v>26.785714285714299</v>
      </c>
      <c r="AJ46" s="32">
        <v>23.5750964784248</v>
      </c>
      <c r="AK46" s="15">
        <v>25.443786982248501</v>
      </c>
      <c r="AL46" s="15">
        <v>22.657952069716799</v>
      </c>
      <c r="AM46" s="15">
        <v>27.272727272727298</v>
      </c>
      <c r="AN46" s="15">
        <v>37.956204379562003</v>
      </c>
      <c r="AO46" s="15">
        <v>28.742514970059901</v>
      </c>
      <c r="AP46" s="15">
        <v>20.682302771854999</v>
      </c>
      <c r="AQ46" s="15">
        <v>34.558823529411796</v>
      </c>
      <c r="AR46" s="24">
        <v>23.636363636363601</v>
      </c>
      <c r="AS46" s="38"/>
    </row>
    <row r="47" spans="1:45">
      <c r="A47" s="9" t="s">
        <v>205</v>
      </c>
      <c r="B47" s="36">
        <v>7.8932173642932097</v>
      </c>
      <c r="C47" s="32">
        <v>8.37442602833206</v>
      </c>
      <c r="D47" s="32">
        <v>7.9309345514854801</v>
      </c>
      <c r="E47" s="32">
        <v>8.1557286935002793</v>
      </c>
      <c r="F47" s="15">
        <v>25.490196078431399</v>
      </c>
      <c r="G47" s="20" t="s">
        <v>80</v>
      </c>
      <c r="H47" s="15">
        <v>3.3519553072625698</v>
      </c>
      <c r="I47" s="15">
        <v>10.891089108910901</v>
      </c>
      <c r="J47" s="15">
        <v>10</v>
      </c>
      <c r="K47" s="20" t="s">
        <v>80</v>
      </c>
      <c r="L47" s="20" t="s">
        <v>80</v>
      </c>
      <c r="M47" s="20" t="s">
        <v>80</v>
      </c>
      <c r="N47" s="15">
        <v>4.1666666666666696</v>
      </c>
      <c r="O47" s="15">
        <v>10.4838709677419</v>
      </c>
      <c r="P47" s="15">
        <v>6.61157024793388</v>
      </c>
      <c r="Q47" s="15">
        <v>20.588235294117599</v>
      </c>
      <c r="R47" s="20" t="s">
        <v>80</v>
      </c>
      <c r="S47" s="15">
        <v>10.869565217391299</v>
      </c>
      <c r="T47" s="15">
        <v>25.581395348837201</v>
      </c>
      <c r="U47" s="20" t="s">
        <v>80</v>
      </c>
      <c r="V47" s="20" t="s">
        <v>80</v>
      </c>
      <c r="W47" s="20" t="s">
        <v>80</v>
      </c>
      <c r="X47" s="15">
        <v>11.7117117117117</v>
      </c>
      <c r="Y47" s="15">
        <v>9.8484848484848495</v>
      </c>
      <c r="Z47" s="20" t="s">
        <v>80</v>
      </c>
      <c r="AA47" s="20" t="s">
        <v>80</v>
      </c>
      <c r="AB47" s="20" t="s">
        <v>80</v>
      </c>
      <c r="AC47" s="20" t="s">
        <v>80</v>
      </c>
      <c r="AD47" s="20" t="s">
        <v>80</v>
      </c>
      <c r="AE47" s="15">
        <v>15.1515151515152</v>
      </c>
      <c r="AF47" s="15">
        <v>13.636363636363599</v>
      </c>
      <c r="AG47" s="20" t="s">
        <v>80</v>
      </c>
      <c r="AH47" s="15">
        <v>12.9032258064516</v>
      </c>
      <c r="AI47" s="15">
        <v>14.285714285714301</v>
      </c>
      <c r="AJ47" s="32">
        <v>7.7342718958751497</v>
      </c>
      <c r="AK47" s="15">
        <v>6.5088757396449699</v>
      </c>
      <c r="AL47" s="15">
        <v>3.4858387799564299</v>
      </c>
      <c r="AM47" s="15">
        <v>6.5656565656565702</v>
      </c>
      <c r="AN47" s="15">
        <v>17.518248175182499</v>
      </c>
      <c r="AO47" s="15">
        <v>8.3832335329341294</v>
      </c>
      <c r="AP47" s="15">
        <v>6.8230277185501098</v>
      </c>
      <c r="AQ47" s="15">
        <v>14.705882352941201</v>
      </c>
      <c r="AR47" s="24">
        <v>10.303030303030299</v>
      </c>
      <c r="AS47" s="38"/>
    </row>
    <row r="48" spans="1:45">
      <c r="A48" s="9" t="s">
        <v>206</v>
      </c>
      <c r="B48" s="36">
        <v>9.1008720610949503</v>
      </c>
      <c r="C48" s="32">
        <v>8.6157201597710795</v>
      </c>
      <c r="D48" s="32">
        <v>8.6542787614279106</v>
      </c>
      <c r="E48" s="32">
        <v>8.8803932143375803</v>
      </c>
      <c r="F48" s="20" t="s">
        <v>80</v>
      </c>
      <c r="G48" s="20" t="s">
        <v>80</v>
      </c>
      <c r="H48" s="15">
        <v>9.4972067039106101</v>
      </c>
      <c r="I48" s="15">
        <v>5.9405940594059397</v>
      </c>
      <c r="J48" s="15">
        <v>7.1428571428571397</v>
      </c>
      <c r="K48" s="20" t="s">
        <v>80</v>
      </c>
      <c r="L48" s="15">
        <v>7.4766355140186898</v>
      </c>
      <c r="M48" s="20" t="s">
        <v>80</v>
      </c>
      <c r="N48" s="15">
        <v>13.1944444444444</v>
      </c>
      <c r="O48" s="15">
        <v>8.0645161290322598</v>
      </c>
      <c r="P48" s="15">
        <v>5.7851239669421499</v>
      </c>
      <c r="Q48" s="20" t="s">
        <v>80</v>
      </c>
      <c r="R48" s="20" t="s">
        <v>80</v>
      </c>
      <c r="S48" s="20" t="s">
        <v>80</v>
      </c>
      <c r="T48" s="20" t="s">
        <v>80</v>
      </c>
      <c r="U48" s="20" t="s">
        <v>80</v>
      </c>
      <c r="V48" s="15">
        <v>15.789473684210501</v>
      </c>
      <c r="W48" s="20" t="s">
        <v>80</v>
      </c>
      <c r="X48" s="15">
        <v>8.1081081081081106</v>
      </c>
      <c r="Y48" s="15">
        <v>10.6060606060606</v>
      </c>
      <c r="Z48" s="20" t="s">
        <v>80</v>
      </c>
      <c r="AA48" s="15">
        <v>10.869565217391299</v>
      </c>
      <c r="AB48" s="20" t="s">
        <v>80</v>
      </c>
      <c r="AC48" s="20" t="s">
        <v>80</v>
      </c>
      <c r="AD48" s="20" t="s">
        <v>80</v>
      </c>
      <c r="AE48" s="20" t="s">
        <v>80</v>
      </c>
      <c r="AF48" s="20" t="s">
        <v>80</v>
      </c>
      <c r="AG48" s="20" t="s">
        <v>80</v>
      </c>
      <c r="AH48" s="15">
        <v>15.0537634408602</v>
      </c>
      <c r="AI48" s="15">
        <v>12.5</v>
      </c>
      <c r="AJ48" s="32">
        <v>8.4564610230183295</v>
      </c>
      <c r="AK48" s="15">
        <v>7.8402366863905302</v>
      </c>
      <c r="AL48" s="15">
        <v>7.18954248366013</v>
      </c>
      <c r="AM48" s="15">
        <v>4.5454545454545503</v>
      </c>
      <c r="AN48" s="15">
        <v>19.7080291970803</v>
      </c>
      <c r="AO48" s="15">
        <v>8.0838323353293404</v>
      </c>
      <c r="AP48" s="15">
        <v>9.1684434968017108</v>
      </c>
      <c r="AQ48" s="15">
        <v>9.5588235294117592</v>
      </c>
      <c r="AR48" s="24">
        <v>10.303030303030299</v>
      </c>
      <c r="AS48" s="38"/>
    </row>
    <row r="49" spans="1:45">
      <c r="A49" s="9" t="s">
        <v>207</v>
      </c>
      <c r="B49" s="36">
        <v>13.1062314083759</v>
      </c>
      <c r="C49" s="32">
        <v>18.407599200068699</v>
      </c>
      <c r="D49" s="32">
        <v>23.689600470749699</v>
      </c>
      <c r="E49" s="32">
        <v>24.6477293916044</v>
      </c>
      <c r="F49" s="15">
        <v>19.6078431372549</v>
      </c>
      <c r="G49" s="15">
        <v>31.818181818181799</v>
      </c>
      <c r="H49" s="15">
        <v>60.893854748603403</v>
      </c>
      <c r="I49" s="15">
        <v>31.683168316831701</v>
      </c>
      <c r="J49" s="15">
        <v>22.8571428571429</v>
      </c>
      <c r="K49" s="15">
        <v>13.5135135135135</v>
      </c>
      <c r="L49" s="15">
        <v>30.841121495327101</v>
      </c>
      <c r="M49" s="15">
        <v>9.5238095238095202</v>
      </c>
      <c r="N49" s="15">
        <v>15.2777777777778</v>
      </c>
      <c r="O49" s="15">
        <v>29.838709677419399</v>
      </c>
      <c r="P49" s="15">
        <v>9.9173553719008307</v>
      </c>
      <c r="Q49" s="15">
        <v>32.352941176470601</v>
      </c>
      <c r="R49" s="15">
        <v>25.531914893617</v>
      </c>
      <c r="S49" s="15">
        <v>10.869565217391299</v>
      </c>
      <c r="T49" s="15">
        <v>11.6279069767442</v>
      </c>
      <c r="U49" s="15">
        <v>28.571428571428601</v>
      </c>
      <c r="V49" s="15">
        <v>21.052631578947398</v>
      </c>
      <c r="W49" s="15">
        <v>23.913043478260899</v>
      </c>
      <c r="X49" s="15">
        <v>22.5225225225225</v>
      </c>
      <c r="Y49" s="15">
        <v>15.1515151515152</v>
      </c>
      <c r="Z49" s="20" t="s">
        <v>80</v>
      </c>
      <c r="AA49" s="15">
        <v>43.478260869565197</v>
      </c>
      <c r="AB49" s="20" t="s">
        <v>80</v>
      </c>
      <c r="AC49" s="15">
        <v>54.761904761904802</v>
      </c>
      <c r="AD49" s="15">
        <v>13.0434782608696</v>
      </c>
      <c r="AE49" s="20" t="s">
        <v>80</v>
      </c>
      <c r="AF49" s="15">
        <v>36.363636363636402</v>
      </c>
      <c r="AG49" s="20" t="s">
        <v>80</v>
      </c>
      <c r="AH49" s="15">
        <v>38.709677419354797</v>
      </c>
      <c r="AI49" s="15">
        <v>28.571428571428601</v>
      </c>
      <c r="AJ49" s="32">
        <v>22.8513749889667</v>
      </c>
      <c r="AK49" s="15">
        <v>22.189349112426001</v>
      </c>
      <c r="AL49" s="15">
        <v>15.904139433551199</v>
      </c>
      <c r="AM49" s="15">
        <v>20.707070707070699</v>
      </c>
      <c r="AN49" s="15">
        <v>36.496350364963497</v>
      </c>
      <c r="AO49" s="15">
        <v>27.544910179640699</v>
      </c>
      <c r="AP49" s="15">
        <v>18.763326226012801</v>
      </c>
      <c r="AQ49" s="15">
        <v>40.441176470588204</v>
      </c>
      <c r="AR49" s="24">
        <v>27.272727272727298</v>
      </c>
      <c r="AS49" s="38"/>
    </row>
    <row r="50" spans="1:45">
      <c r="A50" s="9" t="s">
        <v>208</v>
      </c>
      <c r="B50" s="36">
        <v>61.743324930935401</v>
      </c>
      <c r="C50" s="32">
        <v>62.345310132799398</v>
      </c>
      <c r="D50" s="32">
        <v>66.956267912781399</v>
      </c>
      <c r="E50" s="32">
        <v>77.0275222258349</v>
      </c>
      <c r="F50" s="15">
        <v>92.156862745097996</v>
      </c>
      <c r="G50" s="15">
        <v>68.181818181818201</v>
      </c>
      <c r="H50" s="15">
        <v>79.329608938547494</v>
      </c>
      <c r="I50" s="15">
        <v>72.277227722772295</v>
      </c>
      <c r="J50" s="15">
        <v>72.857142857142904</v>
      </c>
      <c r="K50" s="15">
        <v>75.675675675675706</v>
      </c>
      <c r="L50" s="15">
        <v>71.962616822429894</v>
      </c>
      <c r="M50" s="15">
        <v>75</v>
      </c>
      <c r="N50" s="15">
        <v>68.0555555555556</v>
      </c>
      <c r="O50" s="15">
        <v>76.612903225806406</v>
      </c>
      <c r="P50" s="15">
        <v>81.818181818181799</v>
      </c>
      <c r="Q50" s="15">
        <v>85.294117647058798</v>
      </c>
      <c r="R50" s="15">
        <v>76.595744680851098</v>
      </c>
      <c r="S50" s="15">
        <v>69.565217391304301</v>
      </c>
      <c r="T50" s="15">
        <v>83.720930232558104</v>
      </c>
      <c r="U50" s="15">
        <v>71.428571428571402</v>
      </c>
      <c r="V50" s="15">
        <v>78.947368421052602</v>
      </c>
      <c r="W50" s="15">
        <v>63.043478260869598</v>
      </c>
      <c r="X50" s="15">
        <v>90.090090090090101</v>
      </c>
      <c r="Y50" s="15">
        <v>68.939393939393895</v>
      </c>
      <c r="Z50" s="15">
        <v>72.413793103448299</v>
      </c>
      <c r="AA50" s="15">
        <v>78.260869565217405</v>
      </c>
      <c r="AB50" s="15">
        <v>72.727272727272705</v>
      </c>
      <c r="AC50" s="15">
        <v>80.952380952380906</v>
      </c>
      <c r="AD50" s="15">
        <v>63.043478260869598</v>
      </c>
      <c r="AE50" s="15">
        <v>87.878787878787904</v>
      </c>
      <c r="AF50" s="15">
        <v>81.818181818181799</v>
      </c>
      <c r="AG50" s="15">
        <v>93.3333333333333</v>
      </c>
      <c r="AH50" s="15">
        <v>80.645161290322605</v>
      </c>
      <c r="AI50" s="15">
        <v>80.357142857142804</v>
      </c>
      <c r="AJ50" s="32">
        <v>58.145363852827501</v>
      </c>
      <c r="AK50" s="15">
        <v>48.816568047337299</v>
      </c>
      <c r="AL50" s="15">
        <v>54.030501089324602</v>
      </c>
      <c r="AM50" s="15">
        <v>68.686868686868706</v>
      </c>
      <c r="AN50" s="15">
        <v>64.233576642335805</v>
      </c>
      <c r="AO50" s="15">
        <v>66.167664670658695</v>
      </c>
      <c r="AP50" s="15">
        <v>59.061833688699402</v>
      </c>
      <c r="AQ50" s="15">
        <v>63.970588235294102</v>
      </c>
      <c r="AR50" s="24">
        <v>70.909090909090907</v>
      </c>
      <c r="AS50" s="38"/>
    </row>
    <row r="51" spans="1:45">
      <c r="A51" s="9" t="s">
        <v>209</v>
      </c>
      <c r="B51" s="36">
        <v>34.715225216693199</v>
      </c>
      <c r="C51" s="32">
        <v>35.9651510089653</v>
      </c>
      <c r="D51" s="32">
        <v>35.059152960235799</v>
      </c>
      <c r="E51" s="32">
        <v>32.276118610023801</v>
      </c>
      <c r="F51" s="15">
        <v>31.372549019607799</v>
      </c>
      <c r="G51" s="15">
        <v>27.272727272727298</v>
      </c>
      <c r="H51" s="15">
        <v>18.435754189944099</v>
      </c>
      <c r="I51" s="15">
        <v>30.693069306930699</v>
      </c>
      <c r="J51" s="15">
        <v>37.142857142857103</v>
      </c>
      <c r="K51" s="15">
        <v>35.135135135135101</v>
      </c>
      <c r="L51" s="15">
        <v>14.018691588785</v>
      </c>
      <c r="M51" s="15">
        <v>23.8095238095238</v>
      </c>
      <c r="N51" s="15">
        <v>29.8611111111111</v>
      </c>
      <c r="O51" s="15">
        <v>33.870967741935502</v>
      </c>
      <c r="P51" s="15">
        <v>33.057851239669397</v>
      </c>
      <c r="Q51" s="15">
        <v>50</v>
      </c>
      <c r="R51" s="15">
        <v>29.787234042553202</v>
      </c>
      <c r="S51" s="15">
        <v>13.0434782608696</v>
      </c>
      <c r="T51" s="15">
        <v>51.162790697674403</v>
      </c>
      <c r="U51" s="15">
        <v>30.3571428571429</v>
      </c>
      <c r="V51" s="15">
        <v>50</v>
      </c>
      <c r="W51" s="15">
        <v>43.478260869565197</v>
      </c>
      <c r="X51" s="15">
        <v>42.342342342342299</v>
      </c>
      <c r="Y51" s="15">
        <v>21.2121212121212</v>
      </c>
      <c r="Z51" s="15">
        <v>17.241379310344801</v>
      </c>
      <c r="AA51" s="15">
        <v>26.086956521739101</v>
      </c>
      <c r="AB51" s="20" t="s">
        <v>80</v>
      </c>
      <c r="AC51" s="15">
        <v>28.571428571428601</v>
      </c>
      <c r="AD51" s="15">
        <v>23.913043478260899</v>
      </c>
      <c r="AE51" s="20" t="s">
        <v>80</v>
      </c>
      <c r="AF51" s="15">
        <v>38.636363636363598</v>
      </c>
      <c r="AG51" s="15">
        <v>40</v>
      </c>
      <c r="AH51" s="15">
        <v>34.408602150537597</v>
      </c>
      <c r="AI51" s="15">
        <v>50</v>
      </c>
      <c r="AJ51" s="32">
        <v>37.493909137874098</v>
      </c>
      <c r="AK51" s="15">
        <v>34.023668639053298</v>
      </c>
      <c r="AL51" s="15">
        <v>32.244008714597001</v>
      </c>
      <c r="AM51" s="15">
        <v>29.797979797979799</v>
      </c>
      <c r="AN51" s="15">
        <v>61.313868613138702</v>
      </c>
      <c r="AO51" s="15">
        <v>44.011976047904199</v>
      </c>
      <c r="AP51" s="15">
        <v>36.460554371002097</v>
      </c>
      <c r="AQ51" s="15">
        <v>38.970588235294102</v>
      </c>
      <c r="AR51" s="24">
        <v>43.3333333333333</v>
      </c>
      <c r="AS51" s="38"/>
    </row>
    <row r="52" spans="1:45">
      <c r="A52" s="9" t="s">
        <v>210</v>
      </c>
      <c r="B52" s="36">
        <v>13.567315293754399</v>
      </c>
      <c r="C52" s="32">
        <v>15.860845886947001</v>
      </c>
      <c r="D52" s="32">
        <v>20.1719582451395</v>
      </c>
      <c r="E52" s="32">
        <v>19.776961627951401</v>
      </c>
      <c r="F52" s="15">
        <v>19.6078431372549</v>
      </c>
      <c r="G52" s="15">
        <v>22.727272727272702</v>
      </c>
      <c r="H52" s="15">
        <v>10.614525139664799</v>
      </c>
      <c r="I52" s="15">
        <v>18.8118811881188</v>
      </c>
      <c r="J52" s="15">
        <v>15.714285714285699</v>
      </c>
      <c r="K52" s="20" t="s">
        <v>80</v>
      </c>
      <c r="L52" s="15">
        <v>14.953271028037401</v>
      </c>
      <c r="M52" s="15">
        <v>11.9047619047619</v>
      </c>
      <c r="N52" s="15">
        <v>18.75</v>
      </c>
      <c r="O52" s="15">
        <v>24.193548387096801</v>
      </c>
      <c r="P52" s="15">
        <v>13.223140495867799</v>
      </c>
      <c r="Q52" s="15">
        <v>38.235294117647101</v>
      </c>
      <c r="R52" s="15">
        <v>10.6382978723404</v>
      </c>
      <c r="S52" s="15">
        <v>19.565217391304301</v>
      </c>
      <c r="T52" s="15">
        <v>32.558139534883701</v>
      </c>
      <c r="U52" s="15">
        <v>28.571428571428601</v>
      </c>
      <c r="V52" s="15">
        <v>23.684210526315798</v>
      </c>
      <c r="W52" s="15">
        <v>17.3913043478261</v>
      </c>
      <c r="X52" s="15">
        <v>27.9279279279279</v>
      </c>
      <c r="Y52" s="15">
        <v>16.6666666666667</v>
      </c>
      <c r="Z52" s="20" t="s">
        <v>80</v>
      </c>
      <c r="AA52" s="15">
        <v>21.739130434782599</v>
      </c>
      <c r="AB52" s="20" t="s">
        <v>80</v>
      </c>
      <c r="AC52" s="15">
        <v>16.6666666666667</v>
      </c>
      <c r="AD52" s="15">
        <v>41.304347826087003</v>
      </c>
      <c r="AE52" s="15">
        <v>15.1515151515152</v>
      </c>
      <c r="AF52" s="15">
        <v>18.181818181818201</v>
      </c>
      <c r="AG52" s="20" t="s">
        <v>80</v>
      </c>
      <c r="AH52" s="15">
        <v>19.354838709677399</v>
      </c>
      <c r="AI52" s="15">
        <v>17.8571428571429</v>
      </c>
      <c r="AJ52" s="32">
        <v>20.517523672232301</v>
      </c>
      <c r="AK52" s="15">
        <v>17.7514792899408</v>
      </c>
      <c r="AL52" s="15">
        <v>16.557734204793</v>
      </c>
      <c r="AM52" s="15">
        <v>13.636363636363599</v>
      </c>
      <c r="AN52" s="15">
        <v>40.145985401459903</v>
      </c>
      <c r="AO52" s="15">
        <v>28.443113772455099</v>
      </c>
      <c r="AP52" s="15">
        <v>26.439232409381699</v>
      </c>
      <c r="AQ52" s="15">
        <v>18.382352941176499</v>
      </c>
      <c r="AR52" s="24">
        <v>23.030303030302999</v>
      </c>
      <c r="AS52" s="38"/>
    </row>
    <row r="53" spans="1:45">
      <c r="A53" s="9" t="s">
        <v>211</v>
      </c>
      <c r="B53" s="36">
        <v>35.0203711353399</v>
      </c>
      <c r="C53" s="32">
        <v>34.619159984962501</v>
      </c>
      <c r="D53" s="32">
        <v>38.252470969737203</v>
      </c>
      <c r="E53" s="32">
        <v>35.897751186136098</v>
      </c>
      <c r="F53" s="15">
        <v>33.3333333333333</v>
      </c>
      <c r="G53" s="15">
        <v>22.727272727272702</v>
      </c>
      <c r="H53" s="15">
        <v>24.022346368715102</v>
      </c>
      <c r="I53" s="15">
        <v>29.702970297029701</v>
      </c>
      <c r="J53" s="15">
        <v>44.285714285714299</v>
      </c>
      <c r="K53" s="15">
        <v>29.729729729729701</v>
      </c>
      <c r="L53" s="15">
        <v>28.971962616822399</v>
      </c>
      <c r="M53" s="15">
        <v>58.3333333333333</v>
      </c>
      <c r="N53" s="15">
        <v>34.7222222222222</v>
      </c>
      <c r="O53" s="15">
        <v>23.387096774193498</v>
      </c>
      <c r="P53" s="15">
        <v>28.925619834710702</v>
      </c>
      <c r="Q53" s="15">
        <v>61.764705882352899</v>
      </c>
      <c r="R53" s="15">
        <v>51.063829787233999</v>
      </c>
      <c r="S53" s="15">
        <v>13.0434782608696</v>
      </c>
      <c r="T53" s="15">
        <v>37.209302325581397</v>
      </c>
      <c r="U53" s="15">
        <v>32.142857142857103</v>
      </c>
      <c r="V53" s="15">
        <v>44.7368421052632</v>
      </c>
      <c r="W53" s="15">
        <v>28.260869565217401</v>
      </c>
      <c r="X53" s="15">
        <v>54.9549549549549</v>
      </c>
      <c r="Y53" s="15">
        <v>34.090909090909101</v>
      </c>
      <c r="Z53" s="15">
        <v>37.931034482758598</v>
      </c>
      <c r="AA53" s="15">
        <v>30.434782608695699</v>
      </c>
      <c r="AB53" s="20" t="s">
        <v>80</v>
      </c>
      <c r="AC53" s="15">
        <v>33.3333333333333</v>
      </c>
      <c r="AD53" s="15">
        <v>19.565217391304301</v>
      </c>
      <c r="AE53" s="15">
        <v>42.424242424242401</v>
      </c>
      <c r="AF53" s="15">
        <v>29.545454545454501</v>
      </c>
      <c r="AG53" s="15">
        <v>66.6666666666667</v>
      </c>
      <c r="AH53" s="15">
        <v>38.709677419354797</v>
      </c>
      <c r="AI53" s="15">
        <v>48.214285714285701</v>
      </c>
      <c r="AJ53" s="32">
        <v>40.312513289837597</v>
      </c>
      <c r="AK53" s="15">
        <v>31.065088757396399</v>
      </c>
      <c r="AL53" s="15">
        <v>24.6187363834423</v>
      </c>
      <c r="AM53" s="15">
        <v>29.292929292929301</v>
      </c>
      <c r="AN53" s="15">
        <v>59.854014598540097</v>
      </c>
      <c r="AO53" s="15">
        <v>47.904191616766497</v>
      </c>
      <c r="AP53" s="15">
        <v>45.202558635394503</v>
      </c>
      <c r="AQ53" s="15">
        <v>65.441176470588204</v>
      </c>
      <c r="AR53" s="24">
        <v>45.7575757575758</v>
      </c>
      <c r="AS53" s="38"/>
    </row>
    <row r="54" spans="1:45">
      <c r="A54" s="9" t="s">
        <v>212</v>
      </c>
      <c r="B54" s="36">
        <v>38.780831103357599</v>
      </c>
      <c r="C54" s="32">
        <v>39.294564821199899</v>
      </c>
      <c r="D54" s="32">
        <v>41.0618710884455</v>
      </c>
      <c r="E54" s="32">
        <v>49.603597307987201</v>
      </c>
      <c r="F54" s="15">
        <v>66.6666666666667</v>
      </c>
      <c r="G54" s="15">
        <v>72.727272727272705</v>
      </c>
      <c r="H54" s="15">
        <v>25.698324022346402</v>
      </c>
      <c r="I54" s="15">
        <v>44.554455445544598</v>
      </c>
      <c r="J54" s="15">
        <v>61.428571428571402</v>
      </c>
      <c r="K54" s="15">
        <v>59.459459459459502</v>
      </c>
      <c r="L54" s="15">
        <v>38.317757009345797</v>
      </c>
      <c r="M54" s="15">
        <v>32.142857142857103</v>
      </c>
      <c r="N54" s="15">
        <v>65.2777777777778</v>
      </c>
      <c r="O54" s="15">
        <v>50</v>
      </c>
      <c r="P54" s="15">
        <v>38.016528925619802</v>
      </c>
      <c r="Q54" s="15">
        <v>79.411764705882305</v>
      </c>
      <c r="R54" s="15">
        <v>53.191489361702097</v>
      </c>
      <c r="S54" s="15">
        <v>63.043478260869598</v>
      </c>
      <c r="T54" s="15">
        <v>67.441860465116307</v>
      </c>
      <c r="U54" s="15">
        <v>46.428571428571402</v>
      </c>
      <c r="V54" s="15">
        <v>50</v>
      </c>
      <c r="W54" s="15">
        <v>58.695652173912997</v>
      </c>
      <c r="X54" s="15">
        <v>54.054054054053999</v>
      </c>
      <c r="Y54" s="15">
        <v>53.030303030303003</v>
      </c>
      <c r="Z54" s="15">
        <v>44.827586206896598</v>
      </c>
      <c r="AA54" s="15">
        <v>60.869565217391298</v>
      </c>
      <c r="AB54" s="15">
        <v>54.545454545454497</v>
      </c>
      <c r="AC54" s="15">
        <v>40.476190476190503</v>
      </c>
      <c r="AD54" s="15">
        <v>30.434782608695699</v>
      </c>
      <c r="AE54" s="15">
        <v>48.484848484848499</v>
      </c>
      <c r="AF54" s="15">
        <v>54.545454545454497</v>
      </c>
      <c r="AG54" s="15">
        <v>53.3333333333333</v>
      </c>
      <c r="AH54" s="15">
        <v>52.688172043010802</v>
      </c>
      <c r="AI54" s="15">
        <v>53.571428571428598</v>
      </c>
      <c r="AJ54" s="32">
        <v>33.589084890481303</v>
      </c>
      <c r="AK54" s="15">
        <v>35.7988165680473</v>
      </c>
      <c r="AL54" s="15">
        <v>30.5010893246187</v>
      </c>
      <c r="AM54" s="15">
        <v>33.838383838383798</v>
      </c>
      <c r="AN54" s="15">
        <v>50.364963503649598</v>
      </c>
      <c r="AO54" s="15">
        <v>43.712574850299397</v>
      </c>
      <c r="AP54" s="15">
        <v>34.541577825159898</v>
      </c>
      <c r="AQ54" s="15">
        <v>35.294117647058798</v>
      </c>
      <c r="AR54" s="24">
        <v>42.727272727272698</v>
      </c>
      <c r="AS54" s="38"/>
    </row>
    <row r="55" spans="1:45">
      <c r="A55" s="9" t="s">
        <v>213</v>
      </c>
      <c r="B55" s="36">
        <v>5.0022913128617201</v>
      </c>
      <c r="C55" s="32">
        <v>6.0488953047688003</v>
      </c>
      <c r="D55" s="32">
        <v>6.4717155662800296</v>
      </c>
      <c r="E55" s="32">
        <v>7.8523575402513801</v>
      </c>
      <c r="F55" s="20" t="s">
        <v>80</v>
      </c>
      <c r="G55" s="20" t="s">
        <v>80</v>
      </c>
      <c r="H55" s="15">
        <v>3.3519553072625698</v>
      </c>
      <c r="I55" s="15">
        <v>5.9405940594059397</v>
      </c>
      <c r="J55" s="15">
        <v>10</v>
      </c>
      <c r="K55" s="20" t="s">
        <v>80</v>
      </c>
      <c r="L55" s="15">
        <v>5.6074766355140202</v>
      </c>
      <c r="M55" s="20" t="s">
        <v>80</v>
      </c>
      <c r="N55" s="15">
        <v>8.3333333333333304</v>
      </c>
      <c r="O55" s="15">
        <v>5.6451612903225801</v>
      </c>
      <c r="P55" s="15">
        <v>5.7851239669421499</v>
      </c>
      <c r="Q55" s="20" t="s">
        <v>80</v>
      </c>
      <c r="R55" s="20" t="s">
        <v>80</v>
      </c>
      <c r="S55" s="20" t="s">
        <v>80</v>
      </c>
      <c r="T55" s="20" t="s">
        <v>80</v>
      </c>
      <c r="U55" s="15">
        <v>14.285714285714301</v>
      </c>
      <c r="V55" s="20" t="s">
        <v>80</v>
      </c>
      <c r="W55" s="15">
        <v>19.565217391304301</v>
      </c>
      <c r="X55" s="15">
        <v>18.918918918918902</v>
      </c>
      <c r="Y55" s="15">
        <v>11.363636363636401</v>
      </c>
      <c r="Z55" s="20" t="s">
        <v>80</v>
      </c>
      <c r="AA55" s="20" t="s">
        <v>80</v>
      </c>
      <c r="AB55" s="20" t="s">
        <v>80</v>
      </c>
      <c r="AC55" s="20" t="s">
        <v>80</v>
      </c>
      <c r="AD55" s="20" t="s">
        <v>80</v>
      </c>
      <c r="AE55" s="20" t="s">
        <v>80</v>
      </c>
      <c r="AF55" s="20" t="s">
        <v>80</v>
      </c>
      <c r="AG55" s="20" t="s">
        <v>80</v>
      </c>
      <c r="AH55" s="15">
        <v>7.5268817204301097</v>
      </c>
      <c r="AI55" s="15">
        <v>8.9285714285714306</v>
      </c>
      <c r="AJ55" s="32">
        <v>5.2638517197638999</v>
      </c>
      <c r="AK55" s="15">
        <v>2.81065088757396</v>
      </c>
      <c r="AL55" s="15">
        <v>3.2679738562091498</v>
      </c>
      <c r="AM55" s="15">
        <v>4.0404040404040398</v>
      </c>
      <c r="AN55" s="15">
        <v>4.3795620437956204</v>
      </c>
      <c r="AO55" s="15">
        <v>5.0898203592814397</v>
      </c>
      <c r="AP55" s="15">
        <v>4.6908315565032002</v>
      </c>
      <c r="AQ55" s="15">
        <v>4.4117647058823497</v>
      </c>
      <c r="AR55" s="24">
        <v>7.8787878787878798</v>
      </c>
      <c r="AS55" s="38"/>
    </row>
    <row r="56" spans="1:45">
      <c r="A56" s="9" t="s">
        <v>214</v>
      </c>
      <c r="B56" s="36">
        <v>13.9800913504642</v>
      </c>
      <c r="C56" s="32">
        <v>14.2112147714221</v>
      </c>
      <c r="D56" s="32">
        <v>14.0617337977848</v>
      </c>
      <c r="E56" s="32">
        <v>14.0342597279367</v>
      </c>
      <c r="F56" s="15">
        <v>9.8039215686274499</v>
      </c>
      <c r="G56" s="20" t="s">
        <v>80</v>
      </c>
      <c r="H56" s="15">
        <v>6.1452513966480398</v>
      </c>
      <c r="I56" s="15">
        <v>14.8514851485149</v>
      </c>
      <c r="J56" s="15">
        <v>17.1428571428571</v>
      </c>
      <c r="K56" s="20" t="s">
        <v>80</v>
      </c>
      <c r="L56" s="15">
        <v>12.1495327102804</v>
      </c>
      <c r="M56" s="15">
        <v>15.476190476190499</v>
      </c>
      <c r="N56" s="15">
        <v>17.3611111111111</v>
      </c>
      <c r="O56" s="15">
        <v>13.709677419354801</v>
      </c>
      <c r="P56" s="15">
        <v>17.355371900826398</v>
      </c>
      <c r="Q56" s="15">
        <v>26.470588235294102</v>
      </c>
      <c r="R56" s="15">
        <v>19.148936170212799</v>
      </c>
      <c r="S56" s="15">
        <v>17.3913043478261</v>
      </c>
      <c r="T56" s="20" t="s">
        <v>80</v>
      </c>
      <c r="U56" s="20" t="s">
        <v>80</v>
      </c>
      <c r="V56" s="15">
        <v>21.052631578947398</v>
      </c>
      <c r="W56" s="15">
        <v>10.869565217391299</v>
      </c>
      <c r="X56" s="15">
        <v>19.819819819819799</v>
      </c>
      <c r="Y56" s="15">
        <v>19.696969696969699</v>
      </c>
      <c r="Z56" s="20" t="s">
        <v>80</v>
      </c>
      <c r="AA56" s="20" t="s">
        <v>80</v>
      </c>
      <c r="AB56" s="20" t="s">
        <v>80</v>
      </c>
      <c r="AC56" s="20" t="s">
        <v>80</v>
      </c>
      <c r="AD56" s="20" t="s">
        <v>80</v>
      </c>
      <c r="AE56" s="20" t="s">
        <v>80</v>
      </c>
      <c r="AF56" s="15">
        <v>27.272727272727298</v>
      </c>
      <c r="AG56" s="20" t="s">
        <v>80</v>
      </c>
      <c r="AH56" s="15">
        <v>15.0537634408602</v>
      </c>
      <c r="AI56" s="15">
        <v>17.8571428571429</v>
      </c>
      <c r="AJ56" s="32">
        <v>14.0857696711769</v>
      </c>
      <c r="AK56" s="15">
        <v>14.3491124260355</v>
      </c>
      <c r="AL56" s="15">
        <v>6.5359477124182996</v>
      </c>
      <c r="AM56" s="15">
        <v>12.1212121212121</v>
      </c>
      <c r="AN56" s="15">
        <v>30.656934306569301</v>
      </c>
      <c r="AO56" s="15">
        <v>18.562874251497</v>
      </c>
      <c r="AP56" s="15">
        <v>10.8742004264392</v>
      </c>
      <c r="AQ56" s="15">
        <v>16.911764705882401</v>
      </c>
      <c r="AR56" s="24">
        <v>20</v>
      </c>
      <c r="AS56" s="38"/>
    </row>
    <row r="57" spans="1:45">
      <c r="A57" s="9" t="s">
        <v>215</v>
      </c>
      <c r="B57" s="36">
        <v>10.609941314842301</v>
      </c>
      <c r="C57" s="32">
        <v>10.2423489832728</v>
      </c>
      <c r="D57" s="32">
        <v>12.0594681446794</v>
      </c>
      <c r="E57" s="32">
        <v>16.367475567407901</v>
      </c>
      <c r="F57" s="15">
        <v>21.568627450980401</v>
      </c>
      <c r="G57" s="15">
        <v>22.727272727272702</v>
      </c>
      <c r="H57" s="15">
        <v>5.5865921787709496</v>
      </c>
      <c r="I57" s="15">
        <v>11.881188118811901</v>
      </c>
      <c r="J57" s="15">
        <v>7.1428571428571397</v>
      </c>
      <c r="K57" s="20" t="s">
        <v>80</v>
      </c>
      <c r="L57" s="15">
        <v>12.1495327102804</v>
      </c>
      <c r="M57" s="15">
        <v>10.714285714285699</v>
      </c>
      <c r="N57" s="15">
        <v>27.7777777777778</v>
      </c>
      <c r="O57" s="15">
        <v>16.129032258064498</v>
      </c>
      <c r="P57" s="15">
        <v>12.396694214876</v>
      </c>
      <c r="Q57" s="15">
        <v>35.294117647058798</v>
      </c>
      <c r="R57" s="15">
        <v>12.7659574468085</v>
      </c>
      <c r="S57" s="20" t="s">
        <v>80</v>
      </c>
      <c r="T57" s="15">
        <v>11.6279069767442</v>
      </c>
      <c r="U57" s="15">
        <v>25</v>
      </c>
      <c r="V57" s="15">
        <v>28.947368421052602</v>
      </c>
      <c r="W57" s="15">
        <v>19.565217391304301</v>
      </c>
      <c r="X57" s="15">
        <v>27.027027027027</v>
      </c>
      <c r="Y57" s="15">
        <v>10.6060606060606</v>
      </c>
      <c r="Z57" s="20" t="s">
        <v>80</v>
      </c>
      <c r="AA57" s="15">
        <v>19.565217391304301</v>
      </c>
      <c r="AB57" s="20" t="s">
        <v>80</v>
      </c>
      <c r="AC57" s="20" t="s">
        <v>80</v>
      </c>
      <c r="AD57" s="20" t="s">
        <v>80</v>
      </c>
      <c r="AE57" s="15">
        <v>18.181818181818201</v>
      </c>
      <c r="AF57" s="15">
        <v>18.181818181818201</v>
      </c>
      <c r="AG57" s="20" t="s">
        <v>80</v>
      </c>
      <c r="AH57" s="15">
        <v>12.9032258064516</v>
      </c>
      <c r="AI57" s="15">
        <v>25</v>
      </c>
      <c r="AJ57" s="32">
        <v>8.2905790955732996</v>
      </c>
      <c r="AK57" s="15">
        <v>4.7337278106508904</v>
      </c>
      <c r="AL57" s="15">
        <v>9.5860566448801805</v>
      </c>
      <c r="AM57" s="15">
        <v>6.5656565656565702</v>
      </c>
      <c r="AN57" s="15">
        <v>4.3795620437956204</v>
      </c>
      <c r="AO57" s="15">
        <v>19.161676646706599</v>
      </c>
      <c r="AP57" s="15">
        <v>7.4626865671641802</v>
      </c>
      <c r="AQ57" s="15">
        <v>9.5588235294117592</v>
      </c>
      <c r="AR57" s="24">
        <v>10.909090909090899</v>
      </c>
      <c r="AS57" s="38"/>
    </row>
    <row r="58" spans="1:45">
      <c r="A58" s="9" t="s">
        <v>216</v>
      </c>
      <c r="B58" s="36">
        <v>25.3531912638284</v>
      </c>
      <c r="C58" s="32">
        <v>25.9382993911799</v>
      </c>
      <c r="D58" s="32">
        <v>26.1743363731585</v>
      </c>
      <c r="E58" s="32">
        <v>19.721451241589701</v>
      </c>
      <c r="F58" s="15">
        <v>25.490196078431399</v>
      </c>
      <c r="G58" s="20" t="s">
        <v>80</v>
      </c>
      <c r="H58" s="15">
        <v>8.9385474860335208</v>
      </c>
      <c r="I58" s="15">
        <v>13.8613861386139</v>
      </c>
      <c r="J58" s="15">
        <v>18.571428571428601</v>
      </c>
      <c r="K58" s="15">
        <v>18.918918918918902</v>
      </c>
      <c r="L58" s="15">
        <v>15.887850467289701</v>
      </c>
      <c r="M58" s="15">
        <v>17.8571428571429</v>
      </c>
      <c r="N58" s="15">
        <v>27.0833333333333</v>
      </c>
      <c r="O58" s="15">
        <v>21.7741935483871</v>
      </c>
      <c r="P58" s="15">
        <v>16.528925619834698</v>
      </c>
      <c r="Q58" s="15">
        <v>26.470588235294102</v>
      </c>
      <c r="R58" s="15">
        <v>21.2765957446809</v>
      </c>
      <c r="S58" s="15">
        <v>28.260869565217401</v>
      </c>
      <c r="T58" s="15">
        <v>16.2790697674419</v>
      </c>
      <c r="U58" s="15">
        <v>25</v>
      </c>
      <c r="V58" s="15">
        <v>23.684210526315798</v>
      </c>
      <c r="W58" s="15">
        <v>19.565217391304301</v>
      </c>
      <c r="X58" s="15">
        <v>18.918918918918902</v>
      </c>
      <c r="Y58" s="15">
        <v>15.909090909090899</v>
      </c>
      <c r="Z58" s="15">
        <v>34.482758620689701</v>
      </c>
      <c r="AA58" s="15">
        <v>21.739130434782599</v>
      </c>
      <c r="AB58" s="20" t="s">
        <v>80</v>
      </c>
      <c r="AC58" s="20" t="s">
        <v>80</v>
      </c>
      <c r="AD58" s="15">
        <v>10.869565217391299</v>
      </c>
      <c r="AE58" s="15">
        <v>21.2121212121212</v>
      </c>
      <c r="AF58" s="15">
        <v>25</v>
      </c>
      <c r="AG58" s="20" t="s">
        <v>80</v>
      </c>
      <c r="AH58" s="15">
        <v>16.129032258064498</v>
      </c>
      <c r="AI58" s="15">
        <v>28.571428571428601</v>
      </c>
      <c r="AJ58" s="32">
        <v>31.819686002594899</v>
      </c>
      <c r="AK58" s="15">
        <v>27.071005917159798</v>
      </c>
      <c r="AL58" s="15">
        <v>33.5511982570806</v>
      </c>
      <c r="AM58" s="15">
        <v>26.7676767676768</v>
      </c>
      <c r="AN58" s="15">
        <v>37.2262773722628</v>
      </c>
      <c r="AO58" s="15">
        <v>28.443113772455099</v>
      </c>
      <c r="AP58" s="15">
        <v>24.946695095948801</v>
      </c>
      <c r="AQ58" s="15">
        <v>28.676470588235301</v>
      </c>
      <c r="AR58" s="24">
        <v>38.787878787878803</v>
      </c>
      <c r="AS58" s="38"/>
    </row>
    <row r="59" spans="1:45">
      <c r="A59" s="9" t="s">
        <v>217</v>
      </c>
      <c r="B59" s="36">
        <v>1.51754319838762</v>
      </c>
      <c r="C59" s="32">
        <v>1.2067390702879699</v>
      </c>
      <c r="D59" s="32">
        <v>2.6140931710055502</v>
      </c>
      <c r="E59" s="32">
        <v>2.21155863639515</v>
      </c>
      <c r="F59" s="20" t="s">
        <v>80</v>
      </c>
      <c r="G59" s="20" t="s">
        <v>80</v>
      </c>
      <c r="H59" s="20" t="s">
        <v>80</v>
      </c>
      <c r="I59" s="20" t="s">
        <v>80</v>
      </c>
      <c r="J59" s="20" t="s">
        <v>80</v>
      </c>
      <c r="K59" s="20" t="s">
        <v>80</v>
      </c>
      <c r="L59" s="15">
        <v>6.5420560747663501</v>
      </c>
      <c r="M59" s="15">
        <v>8.3333333333333304</v>
      </c>
      <c r="N59" s="20" t="s">
        <v>80</v>
      </c>
      <c r="O59" s="20" t="s">
        <v>80</v>
      </c>
      <c r="P59" s="15">
        <v>9.0909090909090899</v>
      </c>
      <c r="Q59" s="20" t="s">
        <v>80</v>
      </c>
      <c r="R59" s="15">
        <v>10.6382978723404</v>
      </c>
      <c r="S59" s="20" t="s">
        <v>80</v>
      </c>
      <c r="T59" s="20" t="s">
        <v>80</v>
      </c>
      <c r="U59" s="20" t="s">
        <v>80</v>
      </c>
      <c r="V59" s="20" t="s">
        <v>80</v>
      </c>
      <c r="W59" s="20" t="s">
        <v>80</v>
      </c>
      <c r="X59" s="20" t="s">
        <v>80</v>
      </c>
      <c r="Y59" s="20" t="s">
        <v>80</v>
      </c>
      <c r="Z59" s="20" t="s">
        <v>80</v>
      </c>
      <c r="AA59" s="20" t="s">
        <v>80</v>
      </c>
      <c r="AB59" s="20" t="s">
        <v>80</v>
      </c>
      <c r="AC59" s="20" t="s">
        <v>80</v>
      </c>
      <c r="AD59" s="20" t="s">
        <v>80</v>
      </c>
      <c r="AE59" s="20" t="s">
        <v>80</v>
      </c>
      <c r="AF59" s="20" t="s">
        <v>80</v>
      </c>
      <c r="AG59" s="20" t="s">
        <v>80</v>
      </c>
      <c r="AH59" s="15">
        <v>5.3763440860215104</v>
      </c>
      <c r="AI59" s="20" t="s">
        <v>80</v>
      </c>
      <c r="AJ59" s="32">
        <v>2.9662531954697799</v>
      </c>
      <c r="AK59" s="15">
        <v>2.0710059171597601</v>
      </c>
      <c r="AL59" s="15">
        <v>2.8322440087145999</v>
      </c>
      <c r="AM59" s="15">
        <v>2.52525252525253</v>
      </c>
      <c r="AN59" s="15">
        <v>8.0291970802919703</v>
      </c>
      <c r="AO59" s="15">
        <v>3.8922155688622802</v>
      </c>
      <c r="AP59" s="15">
        <v>2.1321961620469101</v>
      </c>
      <c r="AQ59" s="20" t="s">
        <v>80</v>
      </c>
      <c r="AR59" s="26" t="s">
        <v>80</v>
      </c>
      <c r="AS59" s="38"/>
    </row>
    <row r="60" spans="1:45">
      <c r="A60" s="9" t="s">
        <v>218</v>
      </c>
      <c r="B60" s="36">
        <v>1.1300126511994499</v>
      </c>
      <c r="C60" s="32">
        <v>0.96552821568578295</v>
      </c>
      <c r="D60" s="32">
        <v>1.2007621640031101</v>
      </c>
      <c r="E60" s="34" t="s">
        <v>80</v>
      </c>
      <c r="F60" s="20" t="s">
        <v>80</v>
      </c>
      <c r="G60" s="20" t="s">
        <v>80</v>
      </c>
      <c r="H60" s="20" t="s">
        <v>80</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20" t="s">
        <v>80</v>
      </c>
      <c r="X60" s="20" t="s">
        <v>80</v>
      </c>
      <c r="Y60" s="20" t="s">
        <v>80</v>
      </c>
      <c r="Z60" s="20" t="s">
        <v>80</v>
      </c>
      <c r="AA60" s="20" t="s">
        <v>80</v>
      </c>
      <c r="AB60" s="20" t="s">
        <v>80</v>
      </c>
      <c r="AC60" s="20" t="s">
        <v>80</v>
      </c>
      <c r="AD60" s="20" t="s">
        <v>80</v>
      </c>
      <c r="AE60" s="20" t="s">
        <v>80</v>
      </c>
      <c r="AF60" s="20" t="s">
        <v>80</v>
      </c>
      <c r="AG60" s="20" t="s">
        <v>80</v>
      </c>
      <c r="AH60" s="20" t="s">
        <v>80</v>
      </c>
      <c r="AI60" s="20" t="s">
        <v>80</v>
      </c>
      <c r="AJ60" s="32">
        <v>1.56539210727432</v>
      </c>
      <c r="AK60" s="15">
        <v>1.4792899408283999</v>
      </c>
      <c r="AL60" s="15">
        <v>1.7429193899782101</v>
      </c>
      <c r="AM60" s="20" t="s">
        <v>80</v>
      </c>
      <c r="AN60" s="20" t="s">
        <v>80</v>
      </c>
      <c r="AO60" s="15">
        <v>2.39520958083832</v>
      </c>
      <c r="AP60" s="15">
        <v>1.9189765458422201</v>
      </c>
      <c r="AQ60" s="20" t="s">
        <v>80</v>
      </c>
      <c r="AR60" s="26" t="s">
        <v>80</v>
      </c>
      <c r="AS60" s="38"/>
    </row>
    <row r="61" spans="1:45">
      <c r="A61" s="9" t="s">
        <v>219</v>
      </c>
      <c r="B61" s="36">
        <v>1.20267165928746</v>
      </c>
      <c r="C61" s="32">
        <v>1.0626238240729999</v>
      </c>
      <c r="D61" s="32">
        <v>1.43785367500937</v>
      </c>
      <c r="E61" s="32">
        <v>1.1203281180328499</v>
      </c>
      <c r="F61" s="20" t="s">
        <v>80</v>
      </c>
      <c r="G61" s="20" t="s">
        <v>80</v>
      </c>
      <c r="H61" s="20" t="s">
        <v>80</v>
      </c>
      <c r="I61" s="20" t="s">
        <v>80</v>
      </c>
      <c r="J61" s="20" t="s">
        <v>80</v>
      </c>
      <c r="K61" s="20" t="s">
        <v>80</v>
      </c>
      <c r="L61" s="20" t="s">
        <v>80</v>
      </c>
      <c r="M61" s="20" t="s">
        <v>80</v>
      </c>
      <c r="N61" s="20" t="s">
        <v>80</v>
      </c>
      <c r="O61" s="20" t="s">
        <v>80</v>
      </c>
      <c r="P61" s="15">
        <v>5.7851239669421499</v>
      </c>
      <c r="Q61" s="20" t="s">
        <v>80</v>
      </c>
      <c r="R61" s="20" t="s">
        <v>80</v>
      </c>
      <c r="S61" s="20" t="s">
        <v>80</v>
      </c>
      <c r="T61" s="20" t="s">
        <v>80</v>
      </c>
      <c r="U61" s="20" t="s">
        <v>80</v>
      </c>
      <c r="V61" s="20" t="s">
        <v>80</v>
      </c>
      <c r="W61" s="20" t="s">
        <v>80</v>
      </c>
      <c r="X61" s="20" t="s">
        <v>80</v>
      </c>
      <c r="Y61" s="20" t="s">
        <v>80</v>
      </c>
      <c r="Z61" s="20" t="s">
        <v>80</v>
      </c>
      <c r="AA61" s="20" t="s">
        <v>80</v>
      </c>
      <c r="AB61" s="20" t="s">
        <v>80</v>
      </c>
      <c r="AC61" s="20" t="s">
        <v>80</v>
      </c>
      <c r="AD61" s="20" t="s">
        <v>80</v>
      </c>
      <c r="AE61" s="20" t="s">
        <v>80</v>
      </c>
      <c r="AF61" s="20" t="s">
        <v>80</v>
      </c>
      <c r="AG61" s="20" t="s">
        <v>80</v>
      </c>
      <c r="AH61" s="20" t="s">
        <v>80</v>
      </c>
      <c r="AI61" s="20" t="s">
        <v>80</v>
      </c>
      <c r="AJ61" s="32">
        <v>1.7156430279678601</v>
      </c>
      <c r="AK61" s="15">
        <v>0.73964497041420096</v>
      </c>
      <c r="AL61" s="15">
        <v>1.3071895424836599</v>
      </c>
      <c r="AM61" s="20" t="s">
        <v>80</v>
      </c>
      <c r="AN61" s="20" t="s">
        <v>80</v>
      </c>
      <c r="AO61" s="15">
        <v>1.4970059880239499</v>
      </c>
      <c r="AP61" s="15">
        <v>2.1321961620469101</v>
      </c>
      <c r="AQ61" s="20" t="s">
        <v>80</v>
      </c>
      <c r="AR61" s="26" t="s">
        <v>80</v>
      </c>
      <c r="AS61" s="38"/>
    </row>
    <row r="62" spans="1:45">
      <c r="A62" s="9" t="s">
        <v>220</v>
      </c>
      <c r="B62" s="36">
        <v>2.6865863482646999</v>
      </c>
      <c r="C62" s="32">
        <v>2.76955376136927</v>
      </c>
      <c r="D62" s="32">
        <v>3.8218096675139801</v>
      </c>
      <c r="E62" s="32">
        <v>4.0454935422965796</v>
      </c>
      <c r="F62" s="20" t="s">
        <v>80</v>
      </c>
      <c r="G62" s="20" t="s">
        <v>80</v>
      </c>
      <c r="H62" s="15">
        <v>4.4692737430167604</v>
      </c>
      <c r="I62" s="15">
        <v>5.9405940594059397</v>
      </c>
      <c r="J62" s="20" t="s">
        <v>80</v>
      </c>
      <c r="K62" s="20" t="s">
        <v>80</v>
      </c>
      <c r="L62" s="20" t="s">
        <v>80</v>
      </c>
      <c r="M62" s="20" t="s">
        <v>80</v>
      </c>
      <c r="N62" s="15">
        <v>4.8611111111111098</v>
      </c>
      <c r="O62" s="15">
        <v>8.0645161290322598</v>
      </c>
      <c r="P62" s="20" t="s">
        <v>80</v>
      </c>
      <c r="Q62" s="20" t="s">
        <v>80</v>
      </c>
      <c r="R62" s="20" t="s">
        <v>80</v>
      </c>
      <c r="S62" s="20" t="s">
        <v>80</v>
      </c>
      <c r="T62" s="20" t="s">
        <v>80</v>
      </c>
      <c r="U62" s="20" t="s">
        <v>80</v>
      </c>
      <c r="V62" s="20" t="s">
        <v>80</v>
      </c>
      <c r="W62" s="20" t="s">
        <v>80</v>
      </c>
      <c r="X62" s="20" t="s">
        <v>80</v>
      </c>
      <c r="Y62" s="20" t="s">
        <v>80</v>
      </c>
      <c r="Z62" s="20" t="s">
        <v>80</v>
      </c>
      <c r="AA62" s="20" t="s">
        <v>80</v>
      </c>
      <c r="AB62" s="20" t="s">
        <v>80</v>
      </c>
      <c r="AC62" s="20" t="s">
        <v>80</v>
      </c>
      <c r="AD62" s="20" t="s">
        <v>80</v>
      </c>
      <c r="AE62" s="20" t="s">
        <v>80</v>
      </c>
      <c r="AF62" s="20" t="s">
        <v>80</v>
      </c>
      <c r="AG62" s="20" t="s">
        <v>80</v>
      </c>
      <c r="AH62" s="15">
        <v>5.3763440860215104</v>
      </c>
      <c r="AI62" s="20" t="s">
        <v>80</v>
      </c>
      <c r="AJ62" s="32">
        <v>3.6261183366026302</v>
      </c>
      <c r="AK62" s="15">
        <v>2.2189349112426</v>
      </c>
      <c r="AL62" s="15">
        <v>6.7538126361655797</v>
      </c>
      <c r="AM62" s="15">
        <v>3.0303030303030298</v>
      </c>
      <c r="AN62" s="15">
        <v>6.5693430656934302</v>
      </c>
      <c r="AO62" s="15">
        <v>4.19161676646707</v>
      </c>
      <c r="AP62" s="15">
        <v>3.41151385927505</v>
      </c>
      <c r="AQ62" s="15">
        <v>4.4117647058823497</v>
      </c>
      <c r="AR62" s="24">
        <v>2.4242424242424199</v>
      </c>
      <c r="AS62" s="38"/>
    </row>
    <row r="63" spans="1:45">
      <c r="A63" s="9" t="s">
        <v>221</v>
      </c>
      <c r="B63" s="36">
        <v>10.778992366175601</v>
      </c>
      <c r="C63" s="32">
        <v>9.8862464954442402</v>
      </c>
      <c r="D63" s="32">
        <v>11.5503100702072</v>
      </c>
      <c r="E63" s="32">
        <v>14.6608280757426</v>
      </c>
      <c r="F63" s="15">
        <v>19.6078431372549</v>
      </c>
      <c r="G63" s="20" t="s">
        <v>80</v>
      </c>
      <c r="H63" s="15">
        <v>9.4972067039106101</v>
      </c>
      <c r="I63" s="15">
        <v>15.841584158415801</v>
      </c>
      <c r="J63" s="15">
        <v>17.1428571428571</v>
      </c>
      <c r="K63" s="20" t="s">
        <v>80</v>
      </c>
      <c r="L63" s="15">
        <v>16.822429906542101</v>
      </c>
      <c r="M63" s="20" t="s">
        <v>80</v>
      </c>
      <c r="N63" s="15">
        <v>22.2222222222222</v>
      </c>
      <c r="O63" s="15">
        <v>15.322580645161301</v>
      </c>
      <c r="P63" s="15">
        <v>6.61157024793388</v>
      </c>
      <c r="Q63" s="15">
        <v>20.588235294117599</v>
      </c>
      <c r="R63" s="15">
        <v>10.6382978723404</v>
      </c>
      <c r="S63" s="20" t="s">
        <v>80</v>
      </c>
      <c r="T63" s="15">
        <v>25.581395348837201</v>
      </c>
      <c r="U63" s="15">
        <v>17.8571428571429</v>
      </c>
      <c r="V63" s="15">
        <v>21.052631578947398</v>
      </c>
      <c r="W63" s="15">
        <v>10.869565217391299</v>
      </c>
      <c r="X63" s="15">
        <v>18.018018018018001</v>
      </c>
      <c r="Y63" s="15">
        <v>17.424242424242401</v>
      </c>
      <c r="Z63" s="15">
        <v>17.241379310344801</v>
      </c>
      <c r="AA63" s="15">
        <v>21.739130434782599</v>
      </c>
      <c r="AB63" s="20" t="s">
        <v>80</v>
      </c>
      <c r="AC63" s="15">
        <v>11.9047619047619</v>
      </c>
      <c r="AD63" s="20" t="s">
        <v>80</v>
      </c>
      <c r="AE63" s="20" t="s">
        <v>80</v>
      </c>
      <c r="AF63" s="15">
        <v>11.363636363636401</v>
      </c>
      <c r="AG63" s="20" t="s">
        <v>80</v>
      </c>
      <c r="AH63" s="15">
        <v>22.580645161290299</v>
      </c>
      <c r="AI63" s="15">
        <v>14.285714285714301</v>
      </c>
      <c r="AJ63" s="32">
        <v>8.8290526308026607</v>
      </c>
      <c r="AK63" s="15">
        <v>8.4319526627218906</v>
      </c>
      <c r="AL63" s="15">
        <v>8.0610021786492396</v>
      </c>
      <c r="AM63" s="15">
        <v>7.5757575757575797</v>
      </c>
      <c r="AN63" s="15">
        <v>16.058394160583902</v>
      </c>
      <c r="AO63" s="15">
        <v>11.377245508982</v>
      </c>
      <c r="AP63" s="15">
        <v>8.5287846481876297</v>
      </c>
      <c r="AQ63" s="15">
        <v>8.8235294117646994</v>
      </c>
      <c r="AR63" s="24">
        <v>12.424242424242401</v>
      </c>
      <c r="AS63" s="38"/>
    </row>
    <row r="64" spans="1:45">
      <c r="A64" s="11" t="s">
        <v>222</v>
      </c>
      <c r="B64" s="37">
        <v>10.071137761762801</v>
      </c>
      <c r="C64" s="33">
        <v>9.4296933329155692</v>
      </c>
      <c r="D64" s="33">
        <v>10.9977387179852</v>
      </c>
      <c r="E64" s="33">
        <v>13.5212308281705</v>
      </c>
      <c r="F64" s="16">
        <v>17.647058823529399</v>
      </c>
      <c r="G64" s="16">
        <v>27.272727272727298</v>
      </c>
      <c r="H64" s="16">
        <v>9.4972067039106101</v>
      </c>
      <c r="I64" s="16">
        <v>16.8316831683168</v>
      </c>
      <c r="J64" s="16">
        <v>8.5714285714285694</v>
      </c>
      <c r="K64" s="16">
        <v>16.2162162162162</v>
      </c>
      <c r="L64" s="16">
        <v>16.822429906542101</v>
      </c>
      <c r="M64" s="16">
        <v>7.1428571428571397</v>
      </c>
      <c r="N64" s="16">
        <v>13.8888888888889</v>
      </c>
      <c r="O64" s="16">
        <v>13.709677419354801</v>
      </c>
      <c r="P64" s="16">
        <v>14.876033057851201</v>
      </c>
      <c r="Q64" s="28" t="s">
        <v>80</v>
      </c>
      <c r="R64" s="16">
        <v>19.148936170212799</v>
      </c>
      <c r="S64" s="28" t="s">
        <v>80</v>
      </c>
      <c r="T64" s="16">
        <v>30.232558139534898</v>
      </c>
      <c r="U64" s="16">
        <v>21.428571428571399</v>
      </c>
      <c r="V64" s="16">
        <v>15.789473684210501</v>
      </c>
      <c r="W64" s="16">
        <v>10.869565217391299</v>
      </c>
      <c r="X64" s="16">
        <v>12.612612612612599</v>
      </c>
      <c r="Y64" s="16">
        <v>12.1212121212121</v>
      </c>
      <c r="Z64" s="28" t="s">
        <v>80</v>
      </c>
      <c r="AA64" s="16">
        <v>26.086956521739101</v>
      </c>
      <c r="AB64" s="28" t="s">
        <v>80</v>
      </c>
      <c r="AC64" s="28" t="s">
        <v>80</v>
      </c>
      <c r="AD64" s="28" t="s">
        <v>80</v>
      </c>
      <c r="AE64" s="28" t="s">
        <v>80</v>
      </c>
      <c r="AF64" s="28" t="s">
        <v>80</v>
      </c>
      <c r="AG64" s="28" t="s">
        <v>80</v>
      </c>
      <c r="AH64" s="16">
        <v>17.204301075268798</v>
      </c>
      <c r="AI64" s="28" t="s">
        <v>80</v>
      </c>
      <c r="AJ64" s="33">
        <v>8.7900448014414305</v>
      </c>
      <c r="AK64" s="16">
        <v>8.4319526627218906</v>
      </c>
      <c r="AL64" s="16">
        <v>6.1002178649237502</v>
      </c>
      <c r="AM64" s="16">
        <v>9.0909090909090899</v>
      </c>
      <c r="AN64" s="16">
        <v>9.4890510948905096</v>
      </c>
      <c r="AO64" s="16">
        <v>8.0838323353293404</v>
      </c>
      <c r="AP64" s="16">
        <v>10.4477611940298</v>
      </c>
      <c r="AQ64" s="16">
        <v>12.5</v>
      </c>
      <c r="AR64" s="25">
        <v>13.9393939393939</v>
      </c>
      <c r="AS64" s="38"/>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52"/>
  <sheetViews>
    <sheetView zoomScale="70" workbookViewId="0"/>
  </sheetViews>
  <sheetFormatPr defaultColWidth="10.90625" defaultRowHeight="15"/>
  <cols>
    <col min="1" max="1" width="51.6796875" customWidth="1"/>
    <col min="2" max="16" width="15.90625" customWidth="1"/>
  </cols>
  <sheetData>
    <row r="1" spans="1:16" ht="39.9" customHeight="1">
      <c r="A1" s="10" t="s">
        <v>224</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50.025390461660201</v>
      </c>
      <c r="C3" s="15">
        <v>54.120559916894202</v>
      </c>
      <c r="D3" s="24">
        <v>46.641143799788097</v>
      </c>
      <c r="E3" s="15">
        <v>51.277897339333002</v>
      </c>
      <c r="F3" s="15">
        <v>55.128081875589601</v>
      </c>
      <c r="G3" s="24">
        <v>48.048221349580501</v>
      </c>
      <c r="H3" s="15">
        <v>49.228687428579804</v>
      </c>
      <c r="I3" s="15">
        <v>52.911991022075597</v>
      </c>
      <c r="J3" s="24">
        <v>46.132661739963297</v>
      </c>
      <c r="K3" s="15">
        <v>42.283161055250403</v>
      </c>
      <c r="L3" s="15">
        <v>59.9483551312169</v>
      </c>
      <c r="M3" s="24">
        <v>37.828917659090401</v>
      </c>
      <c r="N3" s="15">
        <v>42.8578763798496</v>
      </c>
      <c r="O3" s="15">
        <v>56.218953907076497</v>
      </c>
      <c r="P3" s="24">
        <v>33.194754376307799</v>
      </c>
    </row>
    <row r="4" spans="1:16" ht="21.9" customHeight="1">
      <c r="A4" s="22" t="s">
        <v>19</v>
      </c>
      <c r="B4" s="15">
        <v>50.507058536694601</v>
      </c>
      <c r="C4" s="15">
        <v>54.653404504888897</v>
      </c>
      <c r="D4" s="24">
        <v>47.106247468846902</v>
      </c>
      <c r="E4" s="15">
        <v>51.4852879412568</v>
      </c>
      <c r="F4" s="15">
        <v>55.3579249136043</v>
      </c>
      <c r="G4" s="24">
        <v>48.248338187863197</v>
      </c>
      <c r="H4" s="15">
        <v>49.899349274490099</v>
      </c>
      <c r="I4" s="15">
        <v>53.654864980050597</v>
      </c>
      <c r="J4" s="24">
        <v>46.812193863927803</v>
      </c>
      <c r="K4" s="15">
        <v>43.013307934471797</v>
      </c>
      <c r="L4" s="15">
        <v>60.693472037487403</v>
      </c>
      <c r="M4" s="24">
        <v>37.571921460037103</v>
      </c>
      <c r="N4" s="15">
        <v>44.640690673589702</v>
      </c>
      <c r="O4" s="15">
        <v>59.080762382379703</v>
      </c>
      <c r="P4" s="24">
        <v>33.330498044271202</v>
      </c>
    </row>
    <row r="5" spans="1:16" ht="21.9" customHeight="1">
      <c r="A5" s="22" t="s">
        <v>20</v>
      </c>
      <c r="B5" s="15">
        <v>55.339346679632698</v>
      </c>
      <c r="C5" s="15">
        <v>60.791698143906302</v>
      </c>
      <c r="D5" s="24">
        <v>50.569320607448297</v>
      </c>
      <c r="E5" s="15">
        <v>56.308368505949701</v>
      </c>
      <c r="F5" s="15">
        <v>59.601036634500304</v>
      </c>
      <c r="G5" s="24">
        <v>53.410827035114302</v>
      </c>
      <c r="H5" s="15">
        <v>54.953878231358203</v>
      </c>
      <c r="I5" s="15">
        <v>62.269425470933903</v>
      </c>
      <c r="J5" s="24">
        <v>48.496160259986198</v>
      </c>
      <c r="K5" s="15">
        <v>46.382937104965102</v>
      </c>
      <c r="L5" s="20" t="s">
        <v>80</v>
      </c>
      <c r="M5" s="26" t="s">
        <v>80</v>
      </c>
      <c r="N5" s="15">
        <v>46.442436111520799</v>
      </c>
      <c r="O5" s="15">
        <v>53.812015984018998</v>
      </c>
      <c r="P5" s="26" t="s">
        <v>80</v>
      </c>
    </row>
    <row r="6" spans="1:16" ht="21.9" customHeight="1">
      <c r="A6" s="22" t="s">
        <v>115</v>
      </c>
      <c r="B6" s="15">
        <v>60.791698143906302</v>
      </c>
      <c r="C6" s="15">
        <v>60.791698143906302</v>
      </c>
      <c r="D6" s="26" t="s">
        <v>80</v>
      </c>
      <c r="E6" s="15">
        <v>59.601036634500304</v>
      </c>
      <c r="F6" s="15">
        <v>59.601036634500304</v>
      </c>
      <c r="G6" s="26" t="s">
        <v>80</v>
      </c>
      <c r="H6" s="15">
        <v>62.269425470933903</v>
      </c>
      <c r="I6" s="15">
        <v>62.269425470933903</v>
      </c>
      <c r="J6" s="26" t="s">
        <v>80</v>
      </c>
      <c r="K6" s="20" t="s">
        <v>80</v>
      </c>
      <c r="L6" s="20" t="s">
        <v>80</v>
      </c>
      <c r="M6" s="26" t="s">
        <v>80</v>
      </c>
      <c r="N6" s="15">
        <v>53.812015984018998</v>
      </c>
      <c r="O6" s="15">
        <v>53.812015984018998</v>
      </c>
      <c r="P6" s="26" t="s">
        <v>80</v>
      </c>
    </row>
    <row r="7" spans="1:16">
      <c r="A7" s="9" t="s">
        <v>116</v>
      </c>
      <c r="B7" s="15">
        <v>76.470588235294102</v>
      </c>
      <c r="C7" s="15">
        <v>76.470588235294102</v>
      </c>
      <c r="D7" s="26" t="s">
        <v>80</v>
      </c>
      <c r="E7" s="15">
        <v>76.190476190476204</v>
      </c>
      <c r="F7" s="15">
        <v>76.190476190476204</v>
      </c>
      <c r="G7" s="26" t="s">
        <v>80</v>
      </c>
      <c r="H7" s="15">
        <v>76.6666666666667</v>
      </c>
      <c r="I7" s="15">
        <v>76.6666666666667</v>
      </c>
      <c r="J7" s="26" t="s">
        <v>80</v>
      </c>
      <c r="K7" s="20" t="s">
        <v>80</v>
      </c>
      <c r="L7" s="20" t="s">
        <v>80</v>
      </c>
      <c r="M7" s="26" t="s">
        <v>80</v>
      </c>
      <c r="N7" s="20" t="s">
        <v>80</v>
      </c>
      <c r="O7" s="20" t="s">
        <v>80</v>
      </c>
      <c r="P7" s="26" t="s">
        <v>80</v>
      </c>
    </row>
    <row r="8" spans="1:16">
      <c r="A8" s="9" t="s">
        <v>117</v>
      </c>
      <c r="B8" s="15">
        <v>68.181818181818201</v>
      </c>
      <c r="C8" s="15">
        <v>68.181818181818201</v>
      </c>
      <c r="D8" s="26" t="s">
        <v>80</v>
      </c>
      <c r="E8" s="15">
        <v>66.6666666666667</v>
      </c>
      <c r="F8" s="15">
        <v>66.6666666666667</v>
      </c>
      <c r="G8" s="26" t="s">
        <v>80</v>
      </c>
      <c r="H8" s="15">
        <v>75</v>
      </c>
      <c r="I8" s="15">
        <v>75</v>
      </c>
      <c r="J8" s="26" t="s">
        <v>80</v>
      </c>
      <c r="K8" s="20" t="s">
        <v>80</v>
      </c>
      <c r="L8" s="20" t="s">
        <v>80</v>
      </c>
      <c r="M8" s="26" t="s">
        <v>80</v>
      </c>
      <c r="N8" s="20" t="s">
        <v>80</v>
      </c>
      <c r="O8" s="20" t="s">
        <v>80</v>
      </c>
      <c r="P8" s="26" t="s">
        <v>80</v>
      </c>
    </row>
    <row r="9" spans="1:16">
      <c r="A9" s="9" t="s">
        <v>118</v>
      </c>
      <c r="B9" s="15">
        <v>64.245810055865903</v>
      </c>
      <c r="C9" s="15">
        <v>64.245810055865903</v>
      </c>
      <c r="D9" s="26" t="s">
        <v>80</v>
      </c>
      <c r="E9" s="15">
        <v>62.2222222222222</v>
      </c>
      <c r="F9" s="15">
        <v>62.2222222222222</v>
      </c>
      <c r="G9" s="26" t="s">
        <v>80</v>
      </c>
      <c r="H9" s="15">
        <v>65.116279069767401</v>
      </c>
      <c r="I9" s="15">
        <v>65.116279069767401</v>
      </c>
      <c r="J9" s="26" t="s">
        <v>80</v>
      </c>
      <c r="K9" s="20" t="s">
        <v>80</v>
      </c>
      <c r="L9" s="20" t="s">
        <v>80</v>
      </c>
      <c r="M9" s="26" t="s">
        <v>80</v>
      </c>
      <c r="N9" s="20" t="s">
        <v>80</v>
      </c>
      <c r="O9" s="20" t="s">
        <v>80</v>
      </c>
      <c r="P9" s="26" t="s">
        <v>80</v>
      </c>
    </row>
    <row r="10" spans="1:16">
      <c r="A10" s="9" t="s">
        <v>119</v>
      </c>
      <c r="B10" s="15">
        <v>73.267326732673297</v>
      </c>
      <c r="C10" s="15">
        <v>73.267326732673297</v>
      </c>
      <c r="D10" s="26" t="s">
        <v>80</v>
      </c>
      <c r="E10" s="15">
        <v>72.727272727272705</v>
      </c>
      <c r="F10" s="15">
        <v>72.727272727272705</v>
      </c>
      <c r="G10" s="26" t="s">
        <v>80</v>
      </c>
      <c r="H10" s="15">
        <v>75</v>
      </c>
      <c r="I10" s="15">
        <v>75</v>
      </c>
      <c r="J10" s="26" t="s">
        <v>80</v>
      </c>
      <c r="K10" s="20" t="s">
        <v>80</v>
      </c>
      <c r="L10" s="20" t="s">
        <v>80</v>
      </c>
      <c r="M10" s="26" t="s">
        <v>80</v>
      </c>
      <c r="N10" s="20" t="s">
        <v>80</v>
      </c>
      <c r="O10" s="20" t="s">
        <v>80</v>
      </c>
      <c r="P10" s="26" t="s">
        <v>80</v>
      </c>
    </row>
    <row r="11" spans="1:16">
      <c r="A11" s="9" t="s">
        <v>120</v>
      </c>
      <c r="B11" s="15">
        <v>50</v>
      </c>
      <c r="C11" s="15">
        <v>50</v>
      </c>
      <c r="D11" s="26" t="s">
        <v>80</v>
      </c>
      <c r="E11" s="15">
        <v>52.941176470588204</v>
      </c>
      <c r="F11" s="15">
        <v>52.941176470588204</v>
      </c>
      <c r="G11" s="26" t="s">
        <v>80</v>
      </c>
      <c r="H11" s="15">
        <v>50</v>
      </c>
      <c r="I11" s="15">
        <v>50</v>
      </c>
      <c r="J11" s="26" t="s">
        <v>80</v>
      </c>
      <c r="K11" s="20" t="s">
        <v>80</v>
      </c>
      <c r="L11" s="20" t="s">
        <v>80</v>
      </c>
      <c r="M11" s="26" t="s">
        <v>80</v>
      </c>
      <c r="N11" s="20" t="s">
        <v>80</v>
      </c>
      <c r="O11" s="20" t="s">
        <v>80</v>
      </c>
      <c r="P11" s="26" t="s">
        <v>80</v>
      </c>
    </row>
    <row r="12" spans="1:16">
      <c r="A12" s="9" t="s">
        <v>121</v>
      </c>
      <c r="B12" s="15">
        <v>37.837837837837803</v>
      </c>
      <c r="C12" s="15">
        <v>37.837837837837803</v>
      </c>
      <c r="D12" s="26" t="s">
        <v>80</v>
      </c>
      <c r="E12" s="15">
        <v>33.3333333333333</v>
      </c>
      <c r="F12" s="15">
        <v>33.3333333333333</v>
      </c>
      <c r="G12" s="26" t="s">
        <v>80</v>
      </c>
      <c r="H12" s="15">
        <v>40.909090909090899</v>
      </c>
      <c r="I12" s="15">
        <v>40.909090909090899</v>
      </c>
      <c r="J12" s="26" t="s">
        <v>80</v>
      </c>
      <c r="K12" s="20" t="s">
        <v>80</v>
      </c>
      <c r="L12" s="20" t="s">
        <v>80</v>
      </c>
      <c r="M12" s="26" t="s">
        <v>80</v>
      </c>
      <c r="N12" s="20" t="s">
        <v>80</v>
      </c>
      <c r="O12" s="20" t="s">
        <v>80</v>
      </c>
      <c r="P12" s="26" t="s">
        <v>80</v>
      </c>
    </row>
    <row r="13" spans="1:16">
      <c r="A13" s="9" t="s">
        <v>122</v>
      </c>
      <c r="B13" s="15">
        <v>59.813084112149497</v>
      </c>
      <c r="C13" s="15">
        <v>59.813084112149497</v>
      </c>
      <c r="D13" s="26" t="s">
        <v>80</v>
      </c>
      <c r="E13" s="15">
        <v>55.172413793103502</v>
      </c>
      <c r="F13" s="15">
        <v>55.172413793103502</v>
      </c>
      <c r="G13" s="26" t="s">
        <v>80</v>
      </c>
      <c r="H13" s="15">
        <v>65.306122448979593</v>
      </c>
      <c r="I13" s="15">
        <v>65.306122448979593</v>
      </c>
      <c r="J13" s="26" t="s">
        <v>80</v>
      </c>
      <c r="K13" s="20" t="s">
        <v>80</v>
      </c>
      <c r="L13" s="20" t="s">
        <v>80</v>
      </c>
      <c r="M13" s="26" t="s">
        <v>80</v>
      </c>
      <c r="N13" s="20" t="s">
        <v>80</v>
      </c>
      <c r="O13" s="20" t="s">
        <v>80</v>
      </c>
      <c r="P13" s="26" t="s">
        <v>80</v>
      </c>
    </row>
    <row r="14" spans="1:16">
      <c r="A14" s="9" t="s">
        <v>123</v>
      </c>
      <c r="B14" s="15">
        <v>70.238095238095198</v>
      </c>
      <c r="C14" s="15">
        <v>70.238095238095198</v>
      </c>
      <c r="D14" s="26" t="s">
        <v>80</v>
      </c>
      <c r="E14" s="15">
        <v>64.864864864864899</v>
      </c>
      <c r="F14" s="15">
        <v>64.864864864864899</v>
      </c>
      <c r="G14" s="26" t="s">
        <v>80</v>
      </c>
      <c r="H14" s="15">
        <v>73.913043478260903</v>
      </c>
      <c r="I14" s="15">
        <v>73.913043478260903</v>
      </c>
      <c r="J14" s="26" t="s">
        <v>80</v>
      </c>
      <c r="K14" s="20" t="s">
        <v>80</v>
      </c>
      <c r="L14" s="20" t="s">
        <v>80</v>
      </c>
      <c r="M14" s="26" t="s">
        <v>80</v>
      </c>
      <c r="N14" s="20" t="s">
        <v>80</v>
      </c>
      <c r="O14" s="20" t="s">
        <v>80</v>
      </c>
      <c r="P14" s="26" t="s">
        <v>80</v>
      </c>
    </row>
    <row r="15" spans="1:16">
      <c r="A15" s="9" t="s">
        <v>124</v>
      </c>
      <c r="B15" s="15">
        <v>56.9444444444444</v>
      </c>
      <c r="C15" s="15">
        <v>56.9444444444444</v>
      </c>
      <c r="D15" s="26" t="s">
        <v>80</v>
      </c>
      <c r="E15" s="15">
        <v>53.731343283582099</v>
      </c>
      <c r="F15" s="15">
        <v>53.731343283582099</v>
      </c>
      <c r="G15" s="26" t="s">
        <v>80</v>
      </c>
      <c r="H15" s="15">
        <v>57.5342465753425</v>
      </c>
      <c r="I15" s="15">
        <v>57.5342465753425</v>
      </c>
      <c r="J15" s="26" t="s">
        <v>80</v>
      </c>
      <c r="K15" s="20" t="s">
        <v>80</v>
      </c>
      <c r="L15" s="20" t="s">
        <v>80</v>
      </c>
      <c r="M15" s="26" t="s">
        <v>80</v>
      </c>
      <c r="N15" s="20" t="s">
        <v>80</v>
      </c>
      <c r="O15" s="20" t="s">
        <v>80</v>
      </c>
      <c r="P15" s="26" t="s">
        <v>80</v>
      </c>
    </row>
    <row r="16" spans="1:16">
      <c r="A16" s="9" t="s">
        <v>125</v>
      </c>
      <c r="B16" s="15">
        <v>64.516129032258107</v>
      </c>
      <c r="C16" s="15">
        <v>64.516129032258107</v>
      </c>
      <c r="D16" s="26" t="s">
        <v>80</v>
      </c>
      <c r="E16" s="15">
        <v>61.643835616438402</v>
      </c>
      <c r="F16" s="15">
        <v>61.643835616438402</v>
      </c>
      <c r="G16" s="26" t="s">
        <v>80</v>
      </c>
      <c r="H16" s="15">
        <v>69.565217391304301</v>
      </c>
      <c r="I16" s="15">
        <v>69.565217391304301</v>
      </c>
      <c r="J16" s="26" t="s">
        <v>80</v>
      </c>
      <c r="K16" s="20" t="s">
        <v>80</v>
      </c>
      <c r="L16" s="20" t="s">
        <v>80</v>
      </c>
      <c r="M16" s="26" t="s">
        <v>80</v>
      </c>
      <c r="N16" s="20" t="s">
        <v>80</v>
      </c>
      <c r="O16" s="20" t="s">
        <v>80</v>
      </c>
      <c r="P16" s="26" t="s">
        <v>80</v>
      </c>
    </row>
    <row r="17" spans="1:16">
      <c r="A17" s="9" t="s">
        <v>126</v>
      </c>
      <c r="B17" s="15">
        <v>69.421487603305806</v>
      </c>
      <c r="C17" s="15">
        <v>69.421487603305806</v>
      </c>
      <c r="D17" s="26" t="s">
        <v>80</v>
      </c>
      <c r="E17" s="15">
        <v>69.642857142857096</v>
      </c>
      <c r="F17" s="15">
        <v>69.642857142857096</v>
      </c>
      <c r="G17" s="26" t="s">
        <v>80</v>
      </c>
      <c r="H17" s="15">
        <v>68.75</v>
      </c>
      <c r="I17" s="15">
        <v>68.75</v>
      </c>
      <c r="J17" s="26" t="s">
        <v>80</v>
      </c>
      <c r="K17" s="20" t="s">
        <v>80</v>
      </c>
      <c r="L17" s="20" t="s">
        <v>80</v>
      </c>
      <c r="M17" s="26" t="s">
        <v>80</v>
      </c>
      <c r="N17" s="20" t="s">
        <v>80</v>
      </c>
      <c r="O17" s="20" t="s">
        <v>80</v>
      </c>
      <c r="P17" s="26" t="s">
        <v>80</v>
      </c>
    </row>
    <row r="18" spans="1:16">
      <c r="A18" s="9" t="s">
        <v>127</v>
      </c>
      <c r="B18" s="15">
        <v>82.352941176470594</v>
      </c>
      <c r="C18" s="15">
        <v>82.352941176470594</v>
      </c>
      <c r="D18" s="26" t="s">
        <v>80</v>
      </c>
      <c r="E18" s="15">
        <v>78.947368421052602</v>
      </c>
      <c r="F18" s="15">
        <v>78.947368421052602</v>
      </c>
      <c r="G18" s="26" t="s">
        <v>80</v>
      </c>
      <c r="H18" s="15">
        <v>86.6666666666667</v>
      </c>
      <c r="I18" s="15">
        <v>86.6666666666667</v>
      </c>
      <c r="J18" s="26" t="s">
        <v>80</v>
      </c>
      <c r="K18" s="20" t="s">
        <v>80</v>
      </c>
      <c r="L18" s="20" t="s">
        <v>80</v>
      </c>
      <c r="M18" s="26" t="s">
        <v>80</v>
      </c>
      <c r="N18" s="20" t="s">
        <v>80</v>
      </c>
      <c r="O18" s="20" t="s">
        <v>80</v>
      </c>
      <c r="P18" s="26" t="s">
        <v>80</v>
      </c>
    </row>
    <row r="19" spans="1:16">
      <c r="A19" s="9" t="s">
        <v>128</v>
      </c>
      <c r="B19" s="15">
        <v>72.340425531914903</v>
      </c>
      <c r="C19" s="15">
        <v>72.340425531914903</v>
      </c>
      <c r="D19" s="26" t="s">
        <v>80</v>
      </c>
      <c r="E19" s="15">
        <v>70.8333333333333</v>
      </c>
      <c r="F19" s="15">
        <v>70.8333333333333</v>
      </c>
      <c r="G19" s="26" t="s">
        <v>80</v>
      </c>
      <c r="H19" s="15">
        <v>76.190476190476204</v>
      </c>
      <c r="I19" s="15">
        <v>76.190476190476204</v>
      </c>
      <c r="J19" s="26" t="s">
        <v>80</v>
      </c>
      <c r="K19" s="20" t="s">
        <v>80</v>
      </c>
      <c r="L19" s="20" t="s">
        <v>80</v>
      </c>
      <c r="M19" s="26" t="s">
        <v>80</v>
      </c>
      <c r="N19" s="20" t="s">
        <v>80</v>
      </c>
      <c r="O19" s="20" t="s">
        <v>80</v>
      </c>
      <c r="P19" s="26" t="s">
        <v>80</v>
      </c>
    </row>
    <row r="20" spans="1:16">
      <c r="A20" s="9" t="s">
        <v>129</v>
      </c>
      <c r="B20" s="15">
        <v>73.913043478260903</v>
      </c>
      <c r="C20" s="15">
        <v>73.913043478260903</v>
      </c>
      <c r="D20" s="26" t="s">
        <v>80</v>
      </c>
      <c r="E20" s="15">
        <v>63.636363636363598</v>
      </c>
      <c r="F20" s="15">
        <v>63.636363636363598</v>
      </c>
      <c r="G20" s="26" t="s">
        <v>80</v>
      </c>
      <c r="H20" s="15">
        <v>83.3333333333333</v>
      </c>
      <c r="I20" s="15">
        <v>83.3333333333333</v>
      </c>
      <c r="J20" s="26" t="s">
        <v>80</v>
      </c>
      <c r="K20" s="20" t="s">
        <v>80</v>
      </c>
      <c r="L20" s="20" t="s">
        <v>80</v>
      </c>
      <c r="M20" s="26" t="s">
        <v>80</v>
      </c>
      <c r="N20" s="20" t="s">
        <v>80</v>
      </c>
      <c r="O20" s="20" t="s">
        <v>80</v>
      </c>
      <c r="P20" s="26" t="s">
        <v>80</v>
      </c>
    </row>
    <row r="21" spans="1:16">
      <c r="A21" s="9" t="s">
        <v>130</v>
      </c>
      <c r="B21" s="15">
        <v>55.8139534883721</v>
      </c>
      <c r="C21" s="15">
        <v>55.8139534883721</v>
      </c>
      <c r="D21" s="26" t="s">
        <v>80</v>
      </c>
      <c r="E21" s="15">
        <v>55.5555555555556</v>
      </c>
      <c r="F21" s="15">
        <v>55.5555555555556</v>
      </c>
      <c r="G21" s="26" t="s">
        <v>80</v>
      </c>
      <c r="H21" s="15">
        <v>56.25</v>
      </c>
      <c r="I21" s="15">
        <v>56.25</v>
      </c>
      <c r="J21" s="26" t="s">
        <v>80</v>
      </c>
      <c r="K21" s="20" t="s">
        <v>80</v>
      </c>
      <c r="L21" s="20" t="s">
        <v>80</v>
      </c>
      <c r="M21" s="26" t="s">
        <v>80</v>
      </c>
      <c r="N21" s="20" t="s">
        <v>80</v>
      </c>
      <c r="O21" s="20" t="s">
        <v>80</v>
      </c>
      <c r="P21" s="26" t="s">
        <v>80</v>
      </c>
    </row>
    <row r="22" spans="1:16">
      <c r="A22" s="9" t="s">
        <v>131</v>
      </c>
      <c r="B22" s="15">
        <v>50</v>
      </c>
      <c r="C22" s="15">
        <v>50</v>
      </c>
      <c r="D22" s="26" t="s">
        <v>80</v>
      </c>
      <c r="E22" s="15">
        <v>48.275862068965502</v>
      </c>
      <c r="F22" s="15">
        <v>48.275862068965502</v>
      </c>
      <c r="G22" s="26" t="s">
        <v>80</v>
      </c>
      <c r="H22" s="15">
        <v>58.3333333333333</v>
      </c>
      <c r="I22" s="15">
        <v>58.3333333333333</v>
      </c>
      <c r="J22" s="26" t="s">
        <v>80</v>
      </c>
      <c r="K22" s="20" t="s">
        <v>80</v>
      </c>
      <c r="L22" s="20" t="s">
        <v>80</v>
      </c>
      <c r="M22" s="26" t="s">
        <v>80</v>
      </c>
      <c r="N22" s="20" t="s">
        <v>80</v>
      </c>
      <c r="O22" s="20" t="s">
        <v>80</v>
      </c>
      <c r="P22" s="26" t="s">
        <v>80</v>
      </c>
    </row>
    <row r="23" spans="1:16">
      <c r="A23" s="9" t="s">
        <v>132</v>
      </c>
      <c r="B23" s="15">
        <v>68.421052631578902</v>
      </c>
      <c r="C23" s="15">
        <v>68.421052631578902</v>
      </c>
      <c r="D23" s="26" t="s">
        <v>80</v>
      </c>
      <c r="E23" s="15">
        <v>64.705882352941202</v>
      </c>
      <c r="F23" s="15">
        <v>64.705882352941202</v>
      </c>
      <c r="G23" s="26" t="s">
        <v>80</v>
      </c>
      <c r="H23" s="15">
        <v>73.684210526315795</v>
      </c>
      <c r="I23" s="15">
        <v>73.684210526315795</v>
      </c>
      <c r="J23" s="26" t="s">
        <v>80</v>
      </c>
      <c r="K23" s="20" t="s">
        <v>80</v>
      </c>
      <c r="L23" s="20" t="s">
        <v>80</v>
      </c>
      <c r="M23" s="26" t="s">
        <v>80</v>
      </c>
      <c r="N23" s="20" t="s">
        <v>80</v>
      </c>
      <c r="O23" s="20" t="s">
        <v>80</v>
      </c>
      <c r="P23" s="26" t="s">
        <v>80</v>
      </c>
    </row>
    <row r="24" spans="1:16">
      <c r="A24" s="9" t="s">
        <v>133</v>
      </c>
      <c r="B24" s="15">
        <v>43.478260869565197</v>
      </c>
      <c r="C24" s="15">
        <v>43.478260869565197</v>
      </c>
      <c r="D24" s="26" t="s">
        <v>80</v>
      </c>
      <c r="E24" s="15">
        <v>44.4444444444444</v>
      </c>
      <c r="F24" s="15">
        <v>44.4444444444444</v>
      </c>
      <c r="G24" s="26" t="s">
        <v>80</v>
      </c>
      <c r="H24" s="15">
        <v>40.740740740740698</v>
      </c>
      <c r="I24" s="15">
        <v>40.740740740740698</v>
      </c>
      <c r="J24" s="26" t="s">
        <v>80</v>
      </c>
      <c r="K24" s="20" t="s">
        <v>80</v>
      </c>
      <c r="L24" s="20" t="s">
        <v>80</v>
      </c>
      <c r="M24" s="26" t="s">
        <v>80</v>
      </c>
      <c r="N24" s="20" t="s">
        <v>80</v>
      </c>
      <c r="O24" s="20" t="s">
        <v>80</v>
      </c>
      <c r="P24" s="26" t="s">
        <v>80</v>
      </c>
    </row>
    <row r="25" spans="1:16">
      <c r="A25" s="9" t="s">
        <v>134</v>
      </c>
      <c r="B25" s="15">
        <v>80.180180180180201</v>
      </c>
      <c r="C25" s="15">
        <v>80.180180180180201</v>
      </c>
      <c r="D25" s="26" t="s">
        <v>80</v>
      </c>
      <c r="E25" s="15">
        <v>75</v>
      </c>
      <c r="F25" s="15">
        <v>75</v>
      </c>
      <c r="G25" s="26" t="s">
        <v>80</v>
      </c>
      <c r="H25" s="15">
        <v>84.313725490196106</v>
      </c>
      <c r="I25" s="15">
        <v>84.313725490196106</v>
      </c>
      <c r="J25" s="26" t="s">
        <v>80</v>
      </c>
      <c r="K25" s="20" t="s">
        <v>80</v>
      </c>
      <c r="L25" s="20" t="s">
        <v>80</v>
      </c>
      <c r="M25" s="26" t="s">
        <v>80</v>
      </c>
      <c r="N25" s="20" t="s">
        <v>80</v>
      </c>
      <c r="O25" s="20" t="s">
        <v>80</v>
      </c>
      <c r="P25" s="26" t="s">
        <v>80</v>
      </c>
    </row>
    <row r="26" spans="1:16">
      <c r="A26" s="9" t="s">
        <v>135</v>
      </c>
      <c r="B26" s="15">
        <v>43.181818181818201</v>
      </c>
      <c r="C26" s="15">
        <v>43.181818181818201</v>
      </c>
      <c r="D26" s="26" t="s">
        <v>80</v>
      </c>
      <c r="E26" s="15">
        <v>44.4444444444444</v>
      </c>
      <c r="F26" s="15">
        <v>44.4444444444444</v>
      </c>
      <c r="G26" s="26" t="s">
        <v>80</v>
      </c>
      <c r="H26" s="15">
        <v>43.3333333333333</v>
      </c>
      <c r="I26" s="15">
        <v>43.3333333333333</v>
      </c>
      <c r="J26" s="26" t="s">
        <v>80</v>
      </c>
      <c r="K26" s="20" t="s">
        <v>80</v>
      </c>
      <c r="L26" s="20" t="s">
        <v>80</v>
      </c>
      <c r="M26" s="26" t="s">
        <v>80</v>
      </c>
      <c r="N26" s="20" t="s">
        <v>80</v>
      </c>
      <c r="O26" s="20" t="s">
        <v>80</v>
      </c>
      <c r="P26" s="26" t="s">
        <v>80</v>
      </c>
    </row>
    <row r="27" spans="1:16">
      <c r="A27" s="9" t="s">
        <v>136</v>
      </c>
      <c r="B27" s="15">
        <v>79.310344827586206</v>
      </c>
      <c r="C27" s="15">
        <v>79.310344827586206</v>
      </c>
      <c r="D27" s="26" t="s">
        <v>80</v>
      </c>
      <c r="E27" s="15">
        <v>86.6666666666667</v>
      </c>
      <c r="F27" s="15">
        <v>86.6666666666667</v>
      </c>
      <c r="G27" s="26" t="s">
        <v>80</v>
      </c>
      <c r="H27" s="15">
        <v>71.428571428571402</v>
      </c>
      <c r="I27" s="15">
        <v>71.428571428571402</v>
      </c>
      <c r="J27" s="26" t="s">
        <v>80</v>
      </c>
      <c r="K27" s="20" t="s">
        <v>80</v>
      </c>
      <c r="L27" s="20" t="s">
        <v>80</v>
      </c>
      <c r="M27" s="26" t="s">
        <v>80</v>
      </c>
      <c r="N27" s="20" t="s">
        <v>80</v>
      </c>
      <c r="O27" s="20" t="s">
        <v>80</v>
      </c>
      <c r="P27" s="26" t="s">
        <v>80</v>
      </c>
    </row>
    <row r="28" spans="1:16">
      <c r="A28" s="9" t="s">
        <v>137</v>
      </c>
      <c r="B28" s="15">
        <v>43.478260869565197</v>
      </c>
      <c r="C28" s="15">
        <v>43.478260869565197</v>
      </c>
      <c r="D28" s="26" t="s">
        <v>80</v>
      </c>
      <c r="E28" s="15">
        <v>50</v>
      </c>
      <c r="F28" s="15">
        <v>50</v>
      </c>
      <c r="G28" s="26" t="s">
        <v>80</v>
      </c>
      <c r="H28" s="15">
        <v>38.095238095238102</v>
      </c>
      <c r="I28" s="15">
        <v>38.095238095238102</v>
      </c>
      <c r="J28" s="26" t="s">
        <v>80</v>
      </c>
      <c r="K28" s="20" t="s">
        <v>80</v>
      </c>
      <c r="L28" s="20" t="s">
        <v>80</v>
      </c>
      <c r="M28" s="26" t="s">
        <v>80</v>
      </c>
      <c r="N28" s="20" t="s">
        <v>80</v>
      </c>
      <c r="O28" s="20" t="s">
        <v>80</v>
      </c>
      <c r="P28" s="26" t="s">
        <v>80</v>
      </c>
    </row>
    <row r="29" spans="1:16">
      <c r="A29" s="9" t="s">
        <v>138</v>
      </c>
      <c r="B29" s="15">
        <v>22.727272727272702</v>
      </c>
      <c r="C29" s="15">
        <v>22.727272727272702</v>
      </c>
      <c r="D29" s="26" t="s">
        <v>80</v>
      </c>
      <c r="E29" s="20" t="s">
        <v>80</v>
      </c>
      <c r="F29" s="20" t="s">
        <v>80</v>
      </c>
      <c r="G29" s="26" t="s">
        <v>80</v>
      </c>
      <c r="H29" s="20" t="s">
        <v>80</v>
      </c>
      <c r="I29" s="20" t="s">
        <v>80</v>
      </c>
      <c r="J29" s="26" t="s">
        <v>80</v>
      </c>
      <c r="K29" s="20" t="s">
        <v>80</v>
      </c>
      <c r="L29" s="20" t="s">
        <v>80</v>
      </c>
      <c r="M29" s="26" t="s">
        <v>80</v>
      </c>
      <c r="N29" s="20" t="s">
        <v>80</v>
      </c>
      <c r="O29" s="20" t="s">
        <v>80</v>
      </c>
      <c r="P29" s="26" t="s">
        <v>80</v>
      </c>
    </row>
    <row r="30" spans="1:16">
      <c r="A30" s="9" t="s">
        <v>139</v>
      </c>
      <c r="B30" s="15">
        <v>50</v>
      </c>
      <c r="C30" s="15">
        <v>50</v>
      </c>
      <c r="D30" s="26" t="s">
        <v>80</v>
      </c>
      <c r="E30" s="15">
        <v>42.105263157894697</v>
      </c>
      <c r="F30" s="15">
        <v>42.105263157894697</v>
      </c>
      <c r="G30" s="26" t="s">
        <v>80</v>
      </c>
      <c r="H30" s="15">
        <v>57.142857142857103</v>
      </c>
      <c r="I30" s="15">
        <v>57.142857142857103</v>
      </c>
      <c r="J30" s="26" t="s">
        <v>80</v>
      </c>
      <c r="K30" s="20" t="s">
        <v>80</v>
      </c>
      <c r="L30" s="20" t="s">
        <v>80</v>
      </c>
      <c r="M30" s="26" t="s">
        <v>80</v>
      </c>
      <c r="N30" s="20" t="s">
        <v>80</v>
      </c>
      <c r="O30" s="20" t="s">
        <v>80</v>
      </c>
      <c r="P30" s="26" t="s">
        <v>80</v>
      </c>
    </row>
    <row r="31" spans="1:16">
      <c r="A31" s="9" t="s">
        <v>140</v>
      </c>
      <c r="B31" s="15">
        <v>23.913043478260899</v>
      </c>
      <c r="C31" s="15">
        <v>23.913043478260899</v>
      </c>
      <c r="D31" s="26" t="s">
        <v>80</v>
      </c>
      <c r="E31" s="15">
        <v>17.241379310344801</v>
      </c>
      <c r="F31" s="15">
        <v>17.241379310344801</v>
      </c>
      <c r="G31" s="26" t="s">
        <v>80</v>
      </c>
      <c r="H31" s="15">
        <v>37.5</v>
      </c>
      <c r="I31" s="15">
        <v>37.5</v>
      </c>
      <c r="J31" s="26" t="s">
        <v>80</v>
      </c>
      <c r="K31" s="20" t="s">
        <v>80</v>
      </c>
      <c r="L31" s="20" t="s">
        <v>80</v>
      </c>
      <c r="M31" s="26" t="s">
        <v>80</v>
      </c>
      <c r="N31" s="20" t="s">
        <v>80</v>
      </c>
      <c r="O31" s="20" t="s">
        <v>80</v>
      </c>
      <c r="P31" s="26" t="s">
        <v>80</v>
      </c>
    </row>
    <row r="32" spans="1:16">
      <c r="A32" s="9" t="s">
        <v>141</v>
      </c>
      <c r="B32" s="15">
        <v>60.606060606060602</v>
      </c>
      <c r="C32" s="15">
        <v>60.606060606060602</v>
      </c>
      <c r="D32" s="26" t="s">
        <v>80</v>
      </c>
      <c r="E32" s="15">
        <v>62.5</v>
      </c>
      <c r="F32" s="15">
        <v>62.5</v>
      </c>
      <c r="G32" s="26" t="s">
        <v>80</v>
      </c>
      <c r="H32" s="15">
        <v>56.25</v>
      </c>
      <c r="I32" s="15">
        <v>56.25</v>
      </c>
      <c r="J32" s="26" t="s">
        <v>80</v>
      </c>
      <c r="K32" s="20" t="s">
        <v>80</v>
      </c>
      <c r="L32" s="20" t="s">
        <v>80</v>
      </c>
      <c r="M32" s="26" t="s">
        <v>80</v>
      </c>
      <c r="N32" s="20" t="s">
        <v>80</v>
      </c>
      <c r="O32" s="20" t="s">
        <v>80</v>
      </c>
      <c r="P32" s="26" t="s">
        <v>80</v>
      </c>
    </row>
    <row r="33" spans="1:16">
      <c r="A33" s="9" t="s">
        <v>142</v>
      </c>
      <c r="B33" s="15">
        <v>45.454545454545503</v>
      </c>
      <c r="C33" s="15">
        <v>45.454545454545503</v>
      </c>
      <c r="D33" s="26" t="s">
        <v>80</v>
      </c>
      <c r="E33" s="15">
        <v>52</v>
      </c>
      <c r="F33" s="15">
        <v>52</v>
      </c>
      <c r="G33" s="26" t="s">
        <v>80</v>
      </c>
      <c r="H33" s="15">
        <v>33.3333333333333</v>
      </c>
      <c r="I33" s="15">
        <v>33.3333333333333</v>
      </c>
      <c r="J33" s="26" t="s">
        <v>80</v>
      </c>
      <c r="K33" s="20" t="s">
        <v>80</v>
      </c>
      <c r="L33" s="20" t="s">
        <v>80</v>
      </c>
      <c r="M33" s="26" t="s">
        <v>80</v>
      </c>
      <c r="N33" s="20" t="s">
        <v>80</v>
      </c>
      <c r="O33" s="20" t="s">
        <v>80</v>
      </c>
      <c r="P33" s="26" t="s">
        <v>80</v>
      </c>
    </row>
    <row r="34" spans="1:16">
      <c r="A34" s="9" t="s">
        <v>143</v>
      </c>
      <c r="B34" s="15">
        <v>93.3333333333333</v>
      </c>
      <c r="C34" s="15">
        <v>93.3333333333333</v>
      </c>
      <c r="D34" s="26" t="s">
        <v>80</v>
      </c>
      <c r="E34" s="20" t="s">
        <v>80</v>
      </c>
      <c r="F34" s="20" t="s">
        <v>80</v>
      </c>
      <c r="G34" s="26" t="s">
        <v>80</v>
      </c>
      <c r="H34" s="15">
        <v>100</v>
      </c>
      <c r="I34" s="15">
        <v>100</v>
      </c>
      <c r="J34" s="26" t="s">
        <v>80</v>
      </c>
      <c r="K34" s="20" t="s">
        <v>80</v>
      </c>
      <c r="L34" s="20" t="s">
        <v>80</v>
      </c>
      <c r="M34" s="26" t="s">
        <v>80</v>
      </c>
      <c r="N34" s="20" t="s">
        <v>80</v>
      </c>
      <c r="O34" s="20" t="s">
        <v>80</v>
      </c>
      <c r="P34" s="26" t="s">
        <v>80</v>
      </c>
    </row>
    <row r="35" spans="1:16">
      <c r="A35" s="9" t="s">
        <v>144</v>
      </c>
      <c r="B35" s="15">
        <v>48.387096774193502</v>
      </c>
      <c r="C35" s="15">
        <v>48.387096774193502</v>
      </c>
      <c r="D35" s="26" t="s">
        <v>80</v>
      </c>
      <c r="E35" s="15">
        <v>48.8888888888889</v>
      </c>
      <c r="F35" s="15">
        <v>48.8888888888889</v>
      </c>
      <c r="G35" s="26" t="s">
        <v>80</v>
      </c>
      <c r="H35" s="15">
        <v>46.6666666666667</v>
      </c>
      <c r="I35" s="15">
        <v>46.6666666666667</v>
      </c>
      <c r="J35" s="26" t="s">
        <v>80</v>
      </c>
      <c r="K35" s="20" t="s">
        <v>80</v>
      </c>
      <c r="L35" s="20" t="s">
        <v>80</v>
      </c>
      <c r="M35" s="26" t="s">
        <v>80</v>
      </c>
      <c r="N35" s="20" t="s">
        <v>80</v>
      </c>
      <c r="O35" s="20" t="s">
        <v>80</v>
      </c>
      <c r="P35" s="26" t="s">
        <v>80</v>
      </c>
    </row>
    <row r="36" spans="1:16">
      <c r="A36" s="9" t="s">
        <v>145</v>
      </c>
      <c r="B36" s="15">
        <v>64.285714285714306</v>
      </c>
      <c r="C36" s="15">
        <v>64.285714285714306</v>
      </c>
      <c r="D36" s="26" t="s">
        <v>80</v>
      </c>
      <c r="E36" s="15">
        <v>61.538461538461497</v>
      </c>
      <c r="F36" s="15">
        <v>61.538461538461497</v>
      </c>
      <c r="G36" s="26" t="s">
        <v>80</v>
      </c>
      <c r="H36" s="15">
        <v>75</v>
      </c>
      <c r="I36" s="15">
        <v>75</v>
      </c>
      <c r="J36" s="26" t="s">
        <v>80</v>
      </c>
      <c r="K36" s="20" t="s">
        <v>80</v>
      </c>
      <c r="L36" s="20" t="s">
        <v>80</v>
      </c>
      <c r="M36" s="26" t="s">
        <v>80</v>
      </c>
      <c r="N36" s="20" t="s">
        <v>80</v>
      </c>
      <c r="O36" s="20" t="s">
        <v>80</v>
      </c>
      <c r="P36" s="26" t="s">
        <v>80</v>
      </c>
    </row>
    <row r="37" spans="1:16" ht="21.9" customHeight="1">
      <c r="A37" s="22" t="s">
        <v>146</v>
      </c>
      <c r="B37" s="15">
        <v>50.569320607448297</v>
      </c>
      <c r="C37" s="20" t="s">
        <v>80</v>
      </c>
      <c r="D37" s="24">
        <v>50.569320607448297</v>
      </c>
      <c r="E37" s="15">
        <v>53.410827035114302</v>
      </c>
      <c r="F37" s="20" t="s">
        <v>80</v>
      </c>
      <c r="G37" s="24">
        <v>53.410827035114302</v>
      </c>
      <c r="H37" s="15">
        <v>48.496160259986198</v>
      </c>
      <c r="I37" s="20" t="s">
        <v>80</v>
      </c>
      <c r="J37" s="24">
        <v>48.496160259986198</v>
      </c>
      <c r="K37" s="20" t="s">
        <v>80</v>
      </c>
      <c r="L37" s="20" t="s">
        <v>80</v>
      </c>
      <c r="M37" s="26" t="s">
        <v>80</v>
      </c>
      <c r="N37" s="20" t="s">
        <v>80</v>
      </c>
      <c r="O37" s="20" t="s">
        <v>80</v>
      </c>
      <c r="P37" s="26" t="s">
        <v>80</v>
      </c>
    </row>
    <row r="38" spans="1:16">
      <c r="A38" s="9" t="s">
        <v>147</v>
      </c>
      <c r="B38" s="15">
        <v>45.118343195266299</v>
      </c>
      <c r="C38" s="20" t="s">
        <v>80</v>
      </c>
      <c r="D38" s="24">
        <v>45.118343195266299</v>
      </c>
      <c r="E38" s="15">
        <v>44.012944983818798</v>
      </c>
      <c r="F38" s="20" t="s">
        <v>80</v>
      </c>
      <c r="G38" s="24">
        <v>44.012944983818798</v>
      </c>
      <c r="H38" s="15">
        <v>47.058823529411796</v>
      </c>
      <c r="I38" s="20" t="s">
        <v>80</v>
      </c>
      <c r="J38" s="24">
        <v>47.058823529411796</v>
      </c>
      <c r="K38" s="15">
        <v>55.5555555555556</v>
      </c>
      <c r="L38" s="20" t="s">
        <v>80</v>
      </c>
      <c r="M38" s="24">
        <v>55.5555555555556</v>
      </c>
      <c r="N38" s="20" t="s">
        <v>80</v>
      </c>
      <c r="O38" s="20" t="s">
        <v>80</v>
      </c>
      <c r="P38" s="26" t="s">
        <v>80</v>
      </c>
    </row>
    <row r="39" spans="1:16">
      <c r="A39" s="9" t="s">
        <v>148</v>
      </c>
      <c r="B39" s="15">
        <v>44.4444444444444</v>
      </c>
      <c r="C39" s="20" t="s">
        <v>80</v>
      </c>
      <c r="D39" s="24">
        <v>44.4444444444444</v>
      </c>
      <c r="E39" s="15">
        <v>47.619047619047599</v>
      </c>
      <c r="F39" s="20" t="s">
        <v>80</v>
      </c>
      <c r="G39" s="24">
        <v>47.619047619047599</v>
      </c>
      <c r="H39" s="15">
        <v>41.6666666666667</v>
      </c>
      <c r="I39" s="20" t="s">
        <v>80</v>
      </c>
      <c r="J39" s="24">
        <v>41.6666666666667</v>
      </c>
      <c r="K39" s="20" t="s">
        <v>80</v>
      </c>
      <c r="L39" s="20" t="s">
        <v>80</v>
      </c>
      <c r="M39" s="26" t="s">
        <v>80</v>
      </c>
      <c r="N39" s="20" t="s">
        <v>80</v>
      </c>
      <c r="O39" s="20" t="s">
        <v>80</v>
      </c>
      <c r="P39" s="26" t="s">
        <v>80</v>
      </c>
    </row>
    <row r="40" spans="1:16">
      <c r="A40" s="9" t="s">
        <v>149</v>
      </c>
      <c r="B40" s="15">
        <v>54.040404040403999</v>
      </c>
      <c r="C40" s="20" t="s">
        <v>80</v>
      </c>
      <c r="D40" s="24">
        <v>54.040404040403999</v>
      </c>
      <c r="E40" s="15">
        <v>58.536585365853703</v>
      </c>
      <c r="F40" s="20" t="s">
        <v>80</v>
      </c>
      <c r="G40" s="24">
        <v>58.536585365853703</v>
      </c>
      <c r="H40" s="15">
        <v>50.925925925925903</v>
      </c>
      <c r="I40" s="20" t="s">
        <v>80</v>
      </c>
      <c r="J40" s="24">
        <v>50.925925925925903</v>
      </c>
      <c r="K40" s="20" t="s">
        <v>80</v>
      </c>
      <c r="L40" s="20" t="s">
        <v>80</v>
      </c>
      <c r="M40" s="26" t="s">
        <v>80</v>
      </c>
      <c r="N40" s="20" t="s">
        <v>80</v>
      </c>
      <c r="O40" s="20" t="s">
        <v>80</v>
      </c>
      <c r="P40" s="26" t="s">
        <v>80</v>
      </c>
    </row>
    <row r="41" spans="1:16">
      <c r="A41" s="9" t="s">
        <v>150</v>
      </c>
      <c r="B41" s="15">
        <v>64.233576642335805</v>
      </c>
      <c r="C41" s="20" t="s">
        <v>80</v>
      </c>
      <c r="D41" s="24">
        <v>64.233576642335805</v>
      </c>
      <c r="E41" s="15">
        <v>69.014084507042298</v>
      </c>
      <c r="F41" s="20" t="s">
        <v>80</v>
      </c>
      <c r="G41" s="24">
        <v>69.014084507042298</v>
      </c>
      <c r="H41" s="15">
        <v>64.406779661016998</v>
      </c>
      <c r="I41" s="20" t="s">
        <v>80</v>
      </c>
      <c r="J41" s="24">
        <v>64.406779661016998</v>
      </c>
      <c r="K41" s="20" t="s">
        <v>80</v>
      </c>
      <c r="L41" s="20" t="s">
        <v>80</v>
      </c>
      <c r="M41" s="26" t="s">
        <v>80</v>
      </c>
      <c r="N41" s="20" t="s">
        <v>80</v>
      </c>
      <c r="O41" s="20" t="s">
        <v>80</v>
      </c>
      <c r="P41" s="26" t="s">
        <v>80</v>
      </c>
    </row>
    <row r="42" spans="1:16">
      <c r="A42" s="9" t="s">
        <v>151</v>
      </c>
      <c r="B42" s="15">
        <v>51.497005988024</v>
      </c>
      <c r="C42" s="20" t="s">
        <v>80</v>
      </c>
      <c r="D42" s="24">
        <v>51.497005988024</v>
      </c>
      <c r="E42" s="15">
        <v>54.320987654321002</v>
      </c>
      <c r="F42" s="20" t="s">
        <v>80</v>
      </c>
      <c r="G42" s="24">
        <v>54.320987654321002</v>
      </c>
      <c r="H42" s="15">
        <v>49.019607843137301</v>
      </c>
      <c r="I42" s="20" t="s">
        <v>80</v>
      </c>
      <c r="J42" s="24">
        <v>49.019607843137301</v>
      </c>
      <c r="K42" s="20" t="s">
        <v>80</v>
      </c>
      <c r="L42" s="20" t="s">
        <v>80</v>
      </c>
      <c r="M42" s="26" t="s">
        <v>80</v>
      </c>
      <c r="N42" s="15">
        <v>42.857142857142897</v>
      </c>
      <c r="O42" s="20" t="s">
        <v>80</v>
      </c>
      <c r="P42" s="24">
        <v>42.857142857142897</v>
      </c>
    </row>
    <row r="43" spans="1:16">
      <c r="A43" s="9" t="s">
        <v>152</v>
      </c>
      <c r="B43" s="15">
        <v>52.665245202558602</v>
      </c>
      <c r="C43" s="20" t="s">
        <v>80</v>
      </c>
      <c r="D43" s="24">
        <v>52.665245202558602</v>
      </c>
      <c r="E43" s="15">
        <v>57.551020408163303</v>
      </c>
      <c r="F43" s="20" t="s">
        <v>80</v>
      </c>
      <c r="G43" s="24">
        <v>57.551020408163303</v>
      </c>
      <c r="H43" s="15">
        <v>47.393364928910003</v>
      </c>
      <c r="I43" s="20" t="s">
        <v>80</v>
      </c>
      <c r="J43" s="24">
        <v>47.393364928910003</v>
      </c>
      <c r="K43" s="20" t="s">
        <v>80</v>
      </c>
      <c r="L43" s="20" t="s">
        <v>80</v>
      </c>
      <c r="M43" s="26" t="s">
        <v>80</v>
      </c>
      <c r="N43" s="20" t="s">
        <v>80</v>
      </c>
      <c r="O43" s="20" t="s">
        <v>80</v>
      </c>
      <c r="P43" s="26" t="s">
        <v>80</v>
      </c>
    </row>
    <row r="44" spans="1:16">
      <c r="A44" s="9" t="s">
        <v>153</v>
      </c>
      <c r="B44" s="15">
        <v>67.647058823529406</v>
      </c>
      <c r="C44" s="20" t="s">
        <v>80</v>
      </c>
      <c r="D44" s="24">
        <v>67.647058823529406</v>
      </c>
      <c r="E44" s="15">
        <v>66.6666666666667</v>
      </c>
      <c r="F44" s="20" t="s">
        <v>80</v>
      </c>
      <c r="G44" s="24">
        <v>66.6666666666667</v>
      </c>
      <c r="H44" s="15">
        <v>68.75</v>
      </c>
      <c r="I44" s="20" t="s">
        <v>80</v>
      </c>
      <c r="J44" s="24">
        <v>68.75</v>
      </c>
      <c r="K44" s="20" t="s">
        <v>80</v>
      </c>
      <c r="L44" s="20" t="s">
        <v>80</v>
      </c>
      <c r="M44" s="26" t="s">
        <v>80</v>
      </c>
      <c r="N44" s="20" t="s">
        <v>80</v>
      </c>
      <c r="O44" s="20" t="s">
        <v>80</v>
      </c>
      <c r="P44" s="26" t="s">
        <v>80</v>
      </c>
    </row>
    <row r="45" spans="1:16">
      <c r="A45" s="11" t="s">
        <v>154</v>
      </c>
      <c r="B45" s="16">
        <v>50.303030303030297</v>
      </c>
      <c r="C45" s="28" t="s">
        <v>80</v>
      </c>
      <c r="D45" s="25">
        <v>50.303030303030297</v>
      </c>
      <c r="E45" s="16">
        <v>53.3333333333333</v>
      </c>
      <c r="F45" s="28" t="s">
        <v>80</v>
      </c>
      <c r="G45" s="25">
        <v>53.3333333333333</v>
      </c>
      <c r="H45" s="16">
        <v>47.096774193548399</v>
      </c>
      <c r="I45" s="28" t="s">
        <v>80</v>
      </c>
      <c r="J45" s="25">
        <v>47.096774193548399</v>
      </c>
      <c r="K45" s="28" t="s">
        <v>80</v>
      </c>
      <c r="L45" s="28" t="s">
        <v>80</v>
      </c>
      <c r="M45" s="29" t="s">
        <v>80</v>
      </c>
      <c r="N45" s="28" t="s">
        <v>80</v>
      </c>
      <c r="O45" s="28" t="s">
        <v>80</v>
      </c>
      <c r="P45" s="29" t="s">
        <v>80</v>
      </c>
    </row>
    <row r="46" spans="1:16" ht="30" customHeight="1">
      <c r="A46" t="s">
        <v>155</v>
      </c>
    </row>
    <row r="47" spans="1:16">
      <c r="A47" t="s">
        <v>93</v>
      </c>
    </row>
    <row r="48" spans="1:16">
      <c r="A48" t="s">
        <v>94</v>
      </c>
    </row>
    <row r="49" spans="1:1">
      <c r="A49" t="s">
        <v>95</v>
      </c>
    </row>
    <row r="50" spans="1:1">
      <c r="A50" t="s">
        <v>96</v>
      </c>
    </row>
    <row r="51" spans="1:1">
      <c r="A51" t="s">
        <v>97</v>
      </c>
    </row>
    <row r="52" spans="1:1">
      <c r="A5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225</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161</v>
      </c>
      <c r="B3" s="15">
        <v>1.7459866001708799</v>
      </c>
      <c r="C3" s="15">
        <v>2.5470090232058298</v>
      </c>
      <c r="D3" s="24">
        <v>1.0452067866688901</v>
      </c>
      <c r="E3" s="15">
        <v>1.5495042229991001</v>
      </c>
      <c r="F3" s="20" t="s">
        <v>80</v>
      </c>
      <c r="G3" s="26" t="s">
        <v>80</v>
      </c>
      <c r="H3" s="15">
        <v>2.0304570110913098</v>
      </c>
      <c r="I3" s="15">
        <v>3.1363498075751099</v>
      </c>
      <c r="J3" s="26" t="s">
        <v>80</v>
      </c>
      <c r="K3" s="20" t="s">
        <v>80</v>
      </c>
      <c r="L3" s="20" t="s">
        <v>80</v>
      </c>
      <c r="M3" s="26" t="s">
        <v>80</v>
      </c>
      <c r="N3" s="20" t="s">
        <v>80</v>
      </c>
      <c r="O3" s="20" t="s">
        <v>80</v>
      </c>
      <c r="P3" s="26" t="s">
        <v>80</v>
      </c>
    </row>
    <row r="4" spans="1:16">
      <c r="A4" s="9" t="s">
        <v>162</v>
      </c>
      <c r="B4" s="15">
        <v>12.3725544878178</v>
      </c>
      <c r="C4" s="15">
        <v>8.6369724180199903</v>
      </c>
      <c r="D4" s="24">
        <v>15.6406533960554</v>
      </c>
      <c r="E4" s="15">
        <v>12.9296834499041</v>
      </c>
      <c r="F4" s="15">
        <v>8.4837856531290807</v>
      </c>
      <c r="G4" s="24">
        <v>16.842064758408998</v>
      </c>
      <c r="H4" s="15">
        <v>12.2474432984435</v>
      </c>
      <c r="I4" s="15">
        <v>8.7771952384567395</v>
      </c>
      <c r="J4" s="24">
        <v>15.310766181639799</v>
      </c>
      <c r="K4" s="20" t="s">
        <v>80</v>
      </c>
      <c r="L4" s="20" t="s">
        <v>80</v>
      </c>
      <c r="M4" s="26" t="s">
        <v>80</v>
      </c>
      <c r="N4" s="20" t="s">
        <v>80</v>
      </c>
      <c r="O4" s="20" t="s">
        <v>80</v>
      </c>
      <c r="P4" s="26" t="s">
        <v>80</v>
      </c>
    </row>
    <row r="5" spans="1:16">
      <c r="A5" s="9" t="s">
        <v>163</v>
      </c>
      <c r="B5" s="15">
        <v>6.5107484183724402</v>
      </c>
      <c r="C5" s="15">
        <v>1.7381236254865899</v>
      </c>
      <c r="D5" s="24">
        <v>10.6861110750151</v>
      </c>
      <c r="E5" s="15">
        <v>7.2386663257121597</v>
      </c>
      <c r="F5" s="15">
        <v>2.1949541955676901</v>
      </c>
      <c r="G5" s="24">
        <v>11.677123070662599</v>
      </c>
      <c r="H5" s="15">
        <v>5.7041242132230199</v>
      </c>
      <c r="I5" s="20" t="s">
        <v>80</v>
      </c>
      <c r="J5" s="24">
        <v>9.6782580577257793</v>
      </c>
      <c r="K5" s="20" t="s">
        <v>80</v>
      </c>
      <c r="L5" s="20" t="s">
        <v>80</v>
      </c>
      <c r="M5" s="26" t="s">
        <v>80</v>
      </c>
      <c r="N5" s="20" t="s">
        <v>80</v>
      </c>
      <c r="O5" s="20" t="s">
        <v>80</v>
      </c>
      <c r="P5" s="26" t="s">
        <v>80</v>
      </c>
    </row>
    <row r="6" spans="1:16">
      <c r="A6" s="9" t="s">
        <v>164</v>
      </c>
      <c r="B6" s="15">
        <v>11.841351517530301</v>
      </c>
      <c r="C6" s="15">
        <v>10.354047787068399</v>
      </c>
      <c r="D6" s="24">
        <v>13.1425291136642</v>
      </c>
      <c r="E6" s="15">
        <v>14.5272821100285</v>
      </c>
      <c r="F6" s="15">
        <v>11.0323348207286</v>
      </c>
      <c r="G6" s="24">
        <v>17.602828844095502</v>
      </c>
      <c r="H6" s="15">
        <v>9.4829886807585204</v>
      </c>
      <c r="I6" s="15">
        <v>9.8173302519366992</v>
      </c>
      <c r="J6" s="24">
        <v>9.1878523769296105</v>
      </c>
      <c r="K6" s="20" t="s">
        <v>80</v>
      </c>
      <c r="L6" s="20" t="s">
        <v>80</v>
      </c>
      <c r="M6" s="26" t="s">
        <v>80</v>
      </c>
      <c r="N6" s="20" t="s">
        <v>80</v>
      </c>
      <c r="O6" s="20" t="s">
        <v>80</v>
      </c>
      <c r="P6" s="26" t="s">
        <v>80</v>
      </c>
    </row>
    <row r="7" spans="1:16">
      <c r="A7" s="9" t="s">
        <v>165</v>
      </c>
      <c r="B7" s="15">
        <v>0.75207702473803495</v>
      </c>
      <c r="C7" s="15">
        <v>1.40396790038204</v>
      </c>
      <c r="D7" s="26" t="s">
        <v>80</v>
      </c>
      <c r="E7" s="20" t="s">
        <v>80</v>
      </c>
      <c r="F7" s="20" t="s">
        <v>80</v>
      </c>
      <c r="G7" s="26" t="s">
        <v>80</v>
      </c>
      <c r="H7" s="20" t="s">
        <v>80</v>
      </c>
      <c r="I7" s="20" t="s">
        <v>80</v>
      </c>
      <c r="J7" s="26" t="s">
        <v>80</v>
      </c>
      <c r="K7" s="20" t="s">
        <v>80</v>
      </c>
      <c r="L7" s="20" t="s">
        <v>80</v>
      </c>
      <c r="M7" s="26" t="s">
        <v>80</v>
      </c>
      <c r="N7" s="20" t="s">
        <v>80</v>
      </c>
      <c r="O7" s="20" t="s">
        <v>80</v>
      </c>
      <c r="P7" s="26" t="s">
        <v>80</v>
      </c>
    </row>
    <row r="8" spans="1:16">
      <c r="A8" s="9" t="s">
        <v>166</v>
      </c>
      <c r="B8" s="15">
        <v>0.84436240977244503</v>
      </c>
      <c r="C8" s="15">
        <v>1.2772314880670399</v>
      </c>
      <c r="D8" s="26" t="s">
        <v>80</v>
      </c>
      <c r="E8" s="20" t="s">
        <v>80</v>
      </c>
      <c r="F8" s="20" t="s">
        <v>80</v>
      </c>
      <c r="G8" s="26" t="s">
        <v>80</v>
      </c>
      <c r="H8" s="20" t="s">
        <v>80</v>
      </c>
      <c r="I8" s="20" t="s">
        <v>80</v>
      </c>
      <c r="J8" s="26" t="s">
        <v>80</v>
      </c>
      <c r="K8" s="20" t="s">
        <v>80</v>
      </c>
      <c r="L8" s="20" t="s">
        <v>80</v>
      </c>
      <c r="M8" s="26" t="s">
        <v>80</v>
      </c>
      <c r="N8" s="20" t="s">
        <v>80</v>
      </c>
      <c r="O8" s="20" t="s">
        <v>80</v>
      </c>
      <c r="P8" s="26" t="s">
        <v>80</v>
      </c>
    </row>
    <row r="9" spans="1:16">
      <c r="A9" s="9" t="s">
        <v>167</v>
      </c>
      <c r="B9" s="15">
        <v>0.51931830388003997</v>
      </c>
      <c r="C9" s="20" t="s">
        <v>80</v>
      </c>
      <c r="D9" s="26" t="s">
        <v>80</v>
      </c>
      <c r="E9" s="20" t="s">
        <v>80</v>
      </c>
      <c r="F9" s="20" t="s">
        <v>80</v>
      </c>
      <c r="G9" s="26" t="s">
        <v>80</v>
      </c>
      <c r="H9" s="20" t="s">
        <v>80</v>
      </c>
      <c r="I9" s="20" t="s">
        <v>80</v>
      </c>
      <c r="J9" s="26" t="s">
        <v>80</v>
      </c>
      <c r="K9" s="20" t="s">
        <v>80</v>
      </c>
      <c r="L9" s="20" t="s">
        <v>80</v>
      </c>
      <c r="M9" s="26" t="s">
        <v>80</v>
      </c>
      <c r="N9" s="20" t="s">
        <v>80</v>
      </c>
      <c r="O9" s="20" t="s">
        <v>80</v>
      </c>
      <c r="P9" s="26" t="s">
        <v>80</v>
      </c>
    </row>
    <row r="10" spans="1:16">
      <c r="A10" s="9" t="s">
        <v>168</v>
      </c>
      <c r="B10" s="15">
        <v>0.94667200171643695</v>
      </c>
      <c r="C10" s="20" t="s">
        <v>80</v>
      </c>
      <c r="D10" s="24">
        <v>1.20255890924168</v>
      </c>
      <c r="E10" s="15">
        <v>1.30278102124409</v>
      </c>
      <c r="F10" s="20" t="s">
        <v>80</v>
      </c>
      <c r="G10" s="26" t="s">
        <v>80</v>
      </c>
      <c r="H10" s="20" t="s">
        <v>80</v>
      </c>
      <c r="I10" s="20" t="s">
        <v>80</v>
      </c>
      <c r="J10" s="26" t="s">
        <v>80</v>
      </c>
      <c r="K10" s="20" t="s">
        <v>80</v>
      </c>
      <c r="L10" s="20" t="s">
        <v>80</v>
      </c>
      <c r="M10" s="26" t="s">
        <v>80</v>
      </c>
      <c r="N10" s="20" t="s">
        <v>80</v>
      </c>
      <c r="O10" s="20" t="s">
        <v>80</v>
      </c>
      <c r="P10" s="26" t="s">
        <v>80</v>
      </c>
    </row>
    <row r="11" spans="1:16">
      <c r="A11" s="9" t="s">
        <v>169</v>
      </c>
      <c r="B11" s="15">
        <v>1.45436731682137</v>
      </c>
      <c r="C11" s="15">
        <v>2.0147673259232</v>
      </c>
      <c r="D11" s="26" t="s">
        <v>80</v>
      </c>
      <c r="E11" s="15">
        <v>1.17928467404389</v>
      </c>
      <c r="F11" s="20" t="s">
        <v>80</v>
      </c>
      <c r="G11" s="26" t="s">
        <v>80</v>
      </c>
      <c r="H11" s="15">
        <v>1.62494741030183</v>
      </c>
      <c r="I11" s="15">
        <v>2.2241160010124998</v>
      </c>
      <c r="J11" s="26" t="s">
        <v>80</v>
      </c>
      <c r="K11" s="20" t="s">
        <v>80</v>
      </c>
      <c r="L11" s="20" t="s">
        <v>80</v>
      </c>
      <c r="M11" s="26" t="s">
        <v>80</v>
      </c>
      <c r="N11" s="20" t="s">
        <v>80</v>
      </c>
      <c r="O11" s="20" t="s">
        <v>80</v>
      </c>
      <c r="P11" s="26" t="s">
        <v>80</v>
      </c>
    </row>
    <row r="12" spans="1:16">
      <c r="A12" s="9" t="s">
        <v>170</v>
      </c>
      <c r="B12" s="15">
        <v>0.48599344200675298</v>
      </c>
      <c r="C12" s="20" t="s">
        <v>80</v>
      </c>
      <c r="D12" s="26" t="s">
        <v>80</v>
      </c>
      <c r="E12" s="20" t="s">
        <v>80</v>
      </c>
      <c r="F12" s="20" t="s">
        <v>80</v>
      </c>
      <c r="G12" s="26" t="s">
        <v>80</v>
      </c>
      <c r="H12" s="20" t="s">
        <v>80</v>
      </c>
      <c r="I12" s="20" t="s">
        <v>80</v>
      </c>
      <c r="J12" s="26" t="s">
        <v>80</v>
      </c>
      <c r="K12" s="20" t="s">
        <v>80</v>
      </c>
      <c r="L12" s="20" t="s">
        <v>80</v>
      </c>
      <c r="M12" s="26" t="s">
        <v>80</v>
      </c>
      <c r="N12" s="20" t="s">
        <v>80</v>
      </c>
      <c r="O12" s="20" t="s">
        <v>80</v>
      </c>
      <c r="P12" s="26" t="s">
        <v>80</v>
      </c>
    </row>
    <row r="13" spans="1:16">
      <c r="A13" s="9" t="s">
        <v>171</v>
      </c>
      <c r="B13" s="15">
        <v>0.62187140187868195</v>
      </c>
      <c r="C13" s="20" t="s">
        <v>80</v>
      </c>
      <c r="D13" s="26" t="s">
        <v>80</v>
      </c>
      <c r="E13" s="20" t="s">
        <v>80</v>
      </c>
      <c r="F13" s="20" t="s">
        <v>80</v>
      </c>
      <c r="G13" s="26" t="s">
        <v>80</v>
      </c>
      <c r="H13" s="20" t="s">
        <v>80</v>
      </c>
      <c r="I13" s="20" t="s">
        <v>80</v>
      </c>
      <c r="J13" s="26" t="s">
        <v>80</v>
      </c>
      <c r="K13" s="20" t="s">
        <v>80</v>
      </c>
      <c r="L13" s="20" t="s">
        <v>80</v>
      </c>
      <c r="M13" s="26" t="s">
        <v>80</v>
      </c>
      <c r="N13" s="20" t="s">
        <v>80</v>
      </c>
      <c r="O13" s="20" t="s">
        <v>80</v>
      </c>
      <c r="P13" s="26" t="s">
        <v>80</v>
      </c>
    </row>
    <row r="14" spans="1:16">
      <c r="A14" s="9" t="s">
        <v>172</v>
      </c>
      <c r="B14" s="15">
        <v>2.5536133596416799</v>
      </c>
      <c r="C14" s="15">
        <v>3.1414909984166601</v>
      </c>
      <c r="D14" s="24">
        <v>2.0393046833603998</v>
      </c>
      <c r="E14" s="15">
        <v>1.9771682577293099</v>
      </c>
      <c r="F14" s="15">
        <v>2.5894316090689098</v>
      </c>
      <c r="G14" s="26" t="s">
        <v>80</v>
      </c>
      <c r="H14" s="15">
        <v>2.89073748289952</v>
      </c>
      <c r="I14" s="15">
        <v>3.498009117903</v>
      </c>
      <c r="J14" s="24">
        <v>2.3546752004155098</v>
      </c>
      <c r="K14" s="20" t="s">
        <v>80</v>
      </c>
      <c r="L14" s="20" t="s">
        <v>80</v>
      </c>
      <c r="M14" s="26" t="s">
        <v>80</v>
      </c>
      <c r="N14" s="20" t="s">
        <v>80</v>
      </c>
      <c r="O14" s="20" t="s">
        <v>80</v>
      </c>
      <c r="P14" s="26" t="s">
        <v>80</v>
      </c>
    </row>
    <row r="15" spans="1:16">
      <c r="A15" s="9" t="s">
        <v>173</v>
      </c>
      <c r="B15" s="15">
        <v>14.375973289362401</v>
      </c>
      <c r="C15" s="15">
        <v>17.0046945683968</v>
      </c>
      <c r="D15" s="24">
        <v>12.0762189320613</v>
      </c>
      <c r="E15" s="15">
        <v>14.922166977415401</v>
      </c>
      <c r="F15" s="15">
        <v>17.395878939766899</v>
      </c>
      <c r="G15" s="24">
        <v>12.745305320552999</v>
      </c>
      <c r="H15" s="15">
        <v>13.8706814311291</v>
      </c>
      <c r="I15" s="15">
        <v>16.755540348665999</v>
      </c>
      <c r="J15" s="24">
        <v>11.324104303464701</v>
      </c>
      <c r="K15" s="20" t="s">
        <v>80</v>
      </c>
      <c r="L15" s="20" t="s">
        <v>80</v>
      </c>
      <c r="M15" s="26" t="s">
        <v>80</v>
      </c>
      <c r="N15" s="20" t="s">
        <v>80</v>
      </c>
      <c r="O15" s="20" t="s">
        <v>80</v>
      </c>
      <c r="P15" s="26" t="s">
        <v>80</v>
      </c>
    </row>
    <row r="16" spans="1:16">
      <c r="A16" s="9" t="s">
        <v>174</v>
      </c>
      <c r="B16" s="20" t="s">
        <v>80</v>
      </c>
      <c r="C16" s="20" t="s">
        <v>80</v>
      </c>
      <c r="D16" s="26" t="s">
        <v>80</v>
      </c>
      <c r="E16" s="20" t="s">
        <v>80</v>
      </c>
      <c r="F16" s="20" t="s">
        <v>80</v>
      </c>
      <c r="G16" s="26" t="s">
        <v>80</v>
      </c>
      <c r="H16" s="20" t="s">
        <v>80</v>
      </c>
      <c r="I16" s="20" t="s">
        <v>80</v>
      </c>
      <c r="J16" s="26" t="s">
        <v>80</v>
      </c>
      <c r="K16" s="20" t="s">
        <v>80</v>
      </c>
      <c r="L16" s="20" t="s">
        <v>80</v>
      </c>
      <c r="M16" s="26" t="s">
        <v>80</v>
      </c>
      <c r="N16" s="20" t="s">
        <v>80</v>
      </c>
      <c r="O16" s="20" t="s">
        <v>80</v>
      </c>
      <c r="P16" s="26" t="s">
        <v>80</v>
      </c>
    </row>
    <row r="17" spans="1:16">
      <c r="A17" s="9" t="s">
        <v>175</v>
      </c>
      <c r="B17" s="15">
        <v>2.13332693901532</v>
      </c>
      <c r="C17" s="15">
        <v>4.2773534893241001</v>
      </c>
      <c r="D17" s="26" t="s">
        <v>80</v>
      </c>
      <c r="E17" s="15">
        <v>2.3192905893492499</v>
      </c>
      <c r="F17" s="15">
        <v>4.6773008463618204</v>
      </c>
      <c r="G17" s="26" t="s">
        <v>80</v>
      </c>
      <c r="H17" s="15">
        <v>1.9705460129571599</v>
      </c>
      <c r="I17" s="15">
        <v>3.92439886490292</v>
      </c>
      <c r="J17" s="26" t="s">
        <v>80</v>
      </c>
      <c r="K17" s="20" t="s">
        <v>80</v>
      </c>
      <c r="L17" s="20" t="s">
        <v>80</v>
      </c>
      <c r="M17" s="26" t="s">
        <v>80</v>
      </c>
      <c r="N17" s="20" t="s">
        <v>80</v>
      </c>
      <c r="O17" s="20" t="s">
        <v>80</v>
      </c>
      <c r="P17" s="26" t="s">
        <v>80</v>
      </c>
    </row>
    <row r="18" spans="1:16">
      <c r="A18" s="9" t="s">
        <v>176</v>
      </c>
      <c r="B18" s="15">
        <v>5.7093907268570696</v>
      </c>
      <c r="C18" s="15">
        <v>9.4597446771624707</v>
      </c>
      <c r="D18" s="24">
        <v>2.4283685403573001</v>
      </c>
      <c r="E18" s="15">
        <v>4.5134214963005199</v>
      </c>
      <c r="F18" s="15">
        <v>8.33777313630398</v>
      </c>
      <c r="G18" s="26" t="s">
        <v>80</v>
      </c>
      <c r="H18" s="15">
        <v>6.9084288668727796</v>
      </c>
      <c r="I18" s="15">
        <v>10.853536619955699</v>
      </c>
      <c r="J18" s="24">
        <v>3.4259288703911999</v>
      </c>
      <c r="K18" s="20" t="s">
        <v>80</v>
      </c>
      <c r="L18" s="20" t="s">
        <v>80</v>
      </c>
      <c r="M18" s="26" t="s">
        <v>80</v>
      </c>
      <c r="N18" s="20" t="s">
        <v>80</v>
      </c>
      <c r="O18" s="20" t="s">
        <v>80</v>
      </c>
      <c r="P18" s="26" t="s">
        <v>80</v>
      </c>
    </row>
    <row r="19" spans="1:16">
      <c r="A19" s="9" t="s">
        <v>177</v>
      </c>
      <c r="B19" s="15">
        <v>13.3614176038369</v>
      </c>
      <c r="C19" s="15">
        <v>14.5190567154834</v>
      </c>
      <c r="D19" s="24">
        <v>12.348649299937801</v>
      </c>
      <c r="E19" s="15">
        <v>14.106665451129199</v>
      </c>
      <c r="F19" s="15">
        <v>14.367655829015099</v>
      </c>
      <c r="G19" s="24">
        <v>13.8769944324024</v>
      </c>
      <c r="H19" s="15">
        <v>12.729574846864599</v>
      </c>
      <c r="I19" s="15">
        <v>14.656374968542501</v>
      </c>
      <c r="J19" s="24">
        <v>11.028713466913601</v>
      </c>
      <c r="K19" s="20" t="s">
        <v>80</v>
      </c>
      <c r="L19" s="20" t="s">
        <v>80</v>
      </c>
      <c r="M19" s="26" t="s">
        <v>80</v>
      </c>
      <c r="N19" s="20" t="s">
        <v>80</v>
      </c>
      <c r="O19" s="20" t="s">
        <v>80</v>
      </c>
      <c r="P19" s="26" t="s">
        <v>80</v>
      </c>
    </row>
    <row r="20" spans="1:16">
      <c r="A20" s="9" t="s">
        <v>178</v>
      </c>
      <c r="B20" s="20" t="s">
        <v>80</v>
      </c>
      <c r="C20" s="20" t="s">
        <v>80</v>
      </c>
      <c r="D20" s="26" t="s">
        <v>80</v>
      </c>
      <c r="E20" s="20" t="s">
        <v>80</v>
      </c>
      <c r="F20" s="20" t="s">
        <v>80</v>
      </c>
      <c r="G20" s="26" t="s">
        <v>80</v>
      </c>
      <c r="H20" s="20" t="s">
        <v>80</v>
      </c>
      <c r="I20" s="20" t="s">
        <v>80</v>
      </c>
      <c r="J20" s="26" t="s">
        <v>80</v>
      </c>
      <c r="K20" s="20" t="s">
        <v>80</v>
      </c>
      <c r="L20" s="20" t="s">
        <v>80</v>
      </c>
      <c r="M20" s="26" t="s">
        <v>80</v>
      </c>
      <c r="N20" s="20" t="s">
        <v>80</v>
      </c>
      <c r="O20" s="20" t="s">
        <v>80</v>
      </c>
      <c r="P20" s="26" t="s">
        <v>80</v>
      </c>
    </row>
    <row r="21" spans="1:16">
      <c r="A21" s="9" t="s">
        <v>179</v>
      </c>
      <c r="B21" s="15">
        <v>5.2479992231005204</v>
      </c>
      <c r="C21" s="15">
        <v>3.9124643582553298</v>
      </c>
      <c r="D21" s="24">
        <v>6.41640081411414</v>
      </c>
      <c r="E21" s="15">
        <v>3.1231720288133098</v>
      </c>
      <c r="F21" s="15">
        <v>4.5887511068795099</v>
      </c>
      <c r="G21" s="26" t="s">
        <v>80</v>
      </c>
      <c r="H21" s="15">
        <v>7.3247580999822901</v>
      </c>
      <c r="I21" s="15">
        <v>3.30121391982735</v>
      </c>
      <c r="J21" s="24">
        <v>10.8764969801899</v>
      </c>
      <c r="K21" s="20" t="s">
        <v>80</v>
      </c>
      <c r="L21" s="20" t="s">
        <v>80</v>
      </c>
      <c r="M21" s="26" t="s">
        <v>80</v>
      </c>
      <c r="N21" s="20" t="s">
        <v>80</v>
      </c>
      <c r="O21" s="20" t="s">
        <v>80</v>
      </c>
      <c r="P21" s="26" t="s">
        <v>80</v>
      </c>
    </row>
    <row r="22" spans="1:16">
      <c r="A22" s="9" t="s">
        <v>180</v>
      </c>
      <c r="B22" s="15">
        <v>0.63949441835170595</v>
      </c>
      <c r="C22" s="20" t="s">
        <v>80</v>
      </c>
      <c r="D22" s="26" t="s">
        <v>80</v>
      </c>
      <c r="E22" s="20" t="s">
        <v>80</v>
      </c>
      <c r="F22" s="20" t="s">
        <v>80</v>
      </c>
      <c r="G22" s="26" t="s">
        <v>80</v>
      </c>
      <c r="H22" s="20" t="s">
        <v>80</v>
      </c>
      <c r="I22" s="20" t="s">
        <v>80</v>
      </c>
      <c r="J22" s="26" t="s">
        <v>80</v>
      </c>
      <c r="K22" s="20" t="s">
        <v>80</v>
      </c>
      <c r="L22" s="20" t="s">
        <v>80</v>
      </c>
      <c r="M22" s="26" t="s">
        <v>80</v>
      </c>
      <c r="N22" s="20" t="s">
        <v>80</v>
      </c>
      <c r="O22" s="20" t="s">
        <v>80</v>
      </c>
      <c r="P22" s="26" t="s">
        <v>80</v>
      </c>
    </row>
    <row r="23" spans="1:16">
      <c r="A23" s="9" t="s">
        <v>181</v>
      </c>
      <c r="B23" s="15">
        <v>4.28140970758606</v>
      </c>
      <c r="C23" s="15">
        <v>5.8023222036677398</v>
      </c>
      <c r="D23" s="24">
        <v>2.95082925851607</v>
      </c>
      <c r="E23" s="15">
        <v>3.5994801847758202</v>
      </c>
      <c r="F23" s="15">
        <v>5.2628999429477998</v>
      </c>
      <c r="G23" s="24">
        <v>2.1356740723657301</v>
      </c>
      <c r="H23" s="15">
        <v>4.9693541490310498</v>
      </c>
      <c r="I23" s="15">
        <v>6.5765447355450704</v>
      </c>
      <c r="J23" s="24">
        <v>3.5506245319486198</v>
      </c>
      <c r="K23" s="20" t="s">
        <v>80</v>
      </c>
      <c r="L23" s="20" t="s">
        <v>80</v>
      </c>
      <c r="M23" s="26" t="s">
        <v>80</v>
      </c>
      <c r="N23" s="20" t="s">
        <v>80</v>
      </c>
      <c r="O23" s="20" t="s">
        <v>80</v>
      </c>
      <c r="P23" s="26" t="s">
        <v>80</v>
      </c>
    </row>
    <row r="24" spans="1:16">
      <c r="A24" s="9" t="s">
        <v>182</v>
      </c>
      <c r="B24" s="15">
        <v>21.040309782236701</v>
      </c>
      <c r="C24" s="15">
        <v>23.744946327224699</v>
      </c>
      <c r="D24" s="24">
        <v>18.674140447792599</v>
      </c>
      <c r="E24" s="15">
        <v>27.0528005521682</v>
      </c>
      <c r="F24" s="15">
        <v>28.1785864032598</v>
      </c>
      <c r="G24" s="24">
        <v>26.0621112195468</v>
      </c>
      <c r="H24" s="15">
        <v>15.4278408926815</v>
      </c>
      <c r="I24" s="15">
        <v>19.692094403983301</v>
      </c>
      <c r="J24" s="24">
        <v>11.663618527272099</v>
      </c>
      <c r="K24" s="20" t="s">
        <v>80</v>
      </c>
      <c r="L24" s="20" t="s">
        <v>80</v>
      </c>
      <c r="M24" s="26" t="s">
        <v>80</v>
      </c>
      <c r="N24" s="20" t="s">
        <v>80</v>
      </c>
      <c r="O24" s="20" t="s">
        <v>80</v>
      </c>
      <c r="P24" s="26" t="s">
        <v>80</v>
      </c>
    </row>
    <row r="25" spans="1:16">
      <c r="A25" s="9" t="s">
        <v>183</v>
      </c>
      <c r="B25" s="20" t="s">
        <v>80</v>
      </c>
      <c r="C25" s="20" t="s">
        <v>80</v>
      </c>
      <c r="D25" s="26" t="s">
        <v>80</v>
      </c>
      <c r="E25" s="20" t="s">
        <v>80</v>
      </c>
      <c r="F25" s="20" t="s">
        <v>80</v>
      </c>
      <c r="G25" s="26" t="s">
        <v>80</v>
      </c>
      <c r="H25" s="20" t="s">
        <v>80</v>
      </c>
      <c r="I25" s="20" t="s">
        <v>80</v>
      </c>
      <c r="J25" s="26" t="s">
        <v>80</v>
      </c>
      <c r="K25" s="20" t="s">
        <v>80</v>
      </c>
      <c r="L25" s="20" t="s">
        <v>80</v>
      </c>
      <c r="M25" s="26" t="s">
        <v>80</v>
      </c>
      <c r="N25" s="20" t="s">
        <v>80</v>
      </c>
      <c r="O25" s="20" t="s">
        <v>80</v>
      </c>
      <c r="P25" s="26" t="s">
        <v>80</v>
      </c>
    </row>
    <row r="26" spans="1:16">
      <c r="A26" s="9" t="s">
        <v>184</v>
      </c>
      <c r="B26" s="15">
        <v>0.89864378779034304</v>
      </c>
      <c r="C26" s="15">
        <v>1.2815110442345301</v>
      </c>
      <c r="D26" s="26" t="s">
        <v>80</v>
      </c>
      <c r="E26" s="20" t="s">
        <v>80</v>
      </c>
      <c r="F26" s="20" t="s">
        <v>80</v>
      </c>
      <c r="G26" s="26" t="s">
        <v>80</v>
      </c>
      <c r="H26" s="20" t="s">
        <v>80</v>
      </c>
      <c r="I26" s="20" t="s">
        <v>80</v>
      </c>
      <c r="J26" s="26" t="s">
        <v>80</v>
      </c>
      <c r="K26" s="20" t="s">
        <v>80</v>
      </c>
      <c r="L26" s="20" t="s">
        <v>80</v>
      </c>
      <c r="M26" s="26" t="s">
        <v>80</v>
      </c>
      <c r="N26" s="20" t="s">
        <v>80</v>
      </c>
      <c r="O26" s="20" t="s">
        <v>80</v>
      </c>
      <c r="P26" s="26" t="s">
        <v>80</v>
      </c>
    </row>
    <row r="27" spans="1:16">
      <c r="A27" s="9" t="s">
        <v>185</v>
      </c>
      <c r="B27" s="15">
        <v>2.0438152795540598</v>
      </c>
      <c r="C27" s="15">
        <v>2.5299520433126799</v>
      </c>
      <c r="D27" s="24">
        <v>1.6185152868866199</v>
      </c>
      <c r="E27" s="15">
        <v>1.70770060195675</v>
      </c>
      <c r="F27" s="20" t="s">
        <v>80</v>
      </c>
      <c r="G27" s="26" t="s">
        <v>80</v>
      </c>
      <c r="H27" s="15">
        <v>2.4310650756075201</v>
      </c>
      <c r="I27" s="15">
        <v>3.2975363739461101</v>
      </c>
      <c r="J27" s="26" t="s">
        <v>80</v>
      </c>
      <c r="K27" s="20" t="s">
        <v>80</v>
      </c>
      <c r="L27" s="20" t="s">
        <v>80</v>
      </c>
      <c r="M27" s="26" t="s">
        <v>80</v>
      </c>
      <c r="N27" s="20" t="s">
        <v>80</v>
      </c>
      <c r="O27" s="20" t="s">
        <v>80</v>
      </c>
      <c r="P27" s="26" t="s">
        <v>80</v>
      </c>
    </row>
    <row r="28" spans="1:16">
      <c r="A28" s="9" t="s">
        <v>186</v>
      </c>
      <c r="B28" s="20" t="s">
        <v>80</v>
      </c>
      <c r="C28" s="20" t="s">
        <v>80</v>
      </c>
      <c r="D28" s="26" t="s">
        <v>80</v>
      </c>
      <c r="E28" s="20" t="s">
        <v>80</v>
      </c>
      <c r="F28" s="20" t="s">
        <v>80</v>
      </c>
      <c r="G28" s="26" t="s">
        <v>80</v>
      </c>
      <c r="H28" s="20" t="s">
        <v>80</v>
      </c>
      <c r="I28" s="20" t="s">
        <v>80</v>
      </c>
      <c r="J28" s="26" t="s">
        <v>80</v>
      </c>
      <c r="K28" s="20" t="s">
        <v>80</v>
      </c>
      <c r="L28" s="20" t="s">
        <v>80</v>
      </c>
      <c r="M28" s="26" t="s">
        <v>80</v>
      </c>
      <c r="N28" s="20" t="s">
        <v>80</v>
      </c>
      <c r="O28" s="20" t="s">
        <v>80</v>
      </c>
      <c r="P28" s="26" t="s">
        <v>80</v>
      </c>
    </row>
    <row r="29" spans="1:16">
      <c r="A29" s="9" t="s">
        <v>187</v>
      </c>
      <c r="B29" s="20" t="s">
        <v>80</v>
      </c>
      <c r="C29" s="20" t="s">
        <v>80</v>
      </c>
      <c r="D29" s="26" t="s">
        <v>80</v>
      </c>
      <c r="E29" s="20" t="s">
        <v>80</v>
      </c>
      <c r="F29" s="20" t="s">
        <v>80</v>
      </c>
      <c r="G29" s="26" t="s">
        <v>80</v>
      </c>
      <c r="H29" s="20" t="s">
        <v>80</v>
      </c>
      <c r="I29" s="20" t="s">
        <v>80</v>
      </c>
      <c r="J29" s="26" t="s">
        <v>80</v>
      </c>
      <c r="K29" s="20" t="s">
        <v>80</v>
      </c>
      <c r="L29" s="20" t="s">
        <v>80</v>
      </c>
      <c r="M29" s="26" t="s">
        <v>80</v>
      </c>
      <c r="N29" s="20" t="s">
        <v>80</v>
      </c>
      <c r="O29" s="20" t="s">
        <v>80</v>
      </c>
      <c r="P29" s="26" t="s">
        <v>80</v>
      </c>
    </row>
    <row r="30" spans="1:16">
      <c r="A30" s="9" t="s">
        <v>188</v>
      </c>
      <c r="B30" s="20" t="s">
        <v>80</v>
      </c>
      <c r="C30" s="20" t="s">
        <v>80</v>
      </c>
      <c r="D30" s="26" t="s">
        <v>80</v>
      </c>
      <c r="E30" s="20" t="s">
        <v>80</v>
      </c>
      <c r="F30" s="20" t="s">
        <v>80</v>
      </c>
      <c r="G30" s="26" t="s">
        <v>80</v>
      </c>
      <c r="H30" s="20" t="s">
        <v>80</v>
      </c>
      <c r="I30" s="20" t="s">
        <v>80</v>
      </c>
      <c r="J30" s="26" t="s">
        <v>80</v>
      </c>
      <c r="K30" s="20" t="s">
        <v>80</v>
      </c>
      <c r="L30" s="20" t="s">
        <v>80</v>
      </c>
      <c r="M30" s="26" t="s">
        <v>80</v>
      </c>
      <c r="N30" s="20" t="s">
        <v>80</v>
      </c>
      <c r="O30" s="20" t="s">
        <v>80</v>
      </c>
      <c r="P30" s="26" t="s">
        <v>80</v>
      </c>
    </row>
    <row r="31" spans="1:16">
      <c r="A31" s="9" t="s">
        <v>189</v>
      </c>
      <c r="B31" s="20" t="s">
        <v>80</v>
      </c>
      <c r="C31" s="20" t="s">
        <v>80</v>
      </c>
      <c r="D31" s="26" t="s">
        <v>80</v>
      </c>
      <c r="E31" s="20" t="s">
        <v>80</v>
      </c>
      <c r="F31" s="20" t="s">
        <v>80</v>
      </c>
      <c r="G31" s="26" t="s">
        <v>80</v>
      </c>
      <c r="H31" s="20" t="s">
        <v>80</v>
      </c>
      <c r="I31" s="20" t="s">
        <v>80</v>
      </c>
      <c r="J31" s="26" t="s">
        <v>80</v>
      </c>
      <c r="K31" s="20" t="s">
        <v>80</v>
      </c>
      <c r="L31" s="20" t="s">
        <v>80</v>
      </c>
      <c r="M31" s="26" t="s">
        <v>80</v>
      </c>
      <c r="N31" s="20" t="s">
        <v>80</v>
      </c>
      <c r="O31" s="20" t="s">
        <v>80</v>
      </c>
      <c r="P31" s="26" t="s">
        <v>80</v>
      </c>
    </row>
    <row r="32" spans="1:16">
      <c r="A32" s="9" t="s">
        <v>190</v>
      </c>
      <c r="B32" s="20" t="s">
        <v>80</v>
      </c>
      <c r="C32" s="20" t="s">
        <v>80</v>
      </c>
      <c r="D32" s="26" t="s">
        <v>80</v>
      </c>
      <c r="E32" s="20" t="s">
        <v>80</v>
      </c>
      <c r="F32" s="20" t="s">
        <v>80</v>
      </c>
      <c r="G32" s="26" t="s">
        <v>80</v>
      </c>
      <c r="H32" s="20" t="s">
        <v>80</v>
      </c>
      <c r="I32" s="20" t="s">
        <v>80</v>
      </c>
      <c r="J32" s="26" t="s">
        <v>80</v>
      </c>
      <c r="K32" s="20" t="s">
        <v>80</v>
      </c>
      <c r="L32" s="20" t="s">
        <v>80</v>
      </c>
      <c r="M32" s="26" t="s">
        <v>80</v>
      </c>
      <c r="N32" s="20" t="s">
        <v>80</v>
      </c>
      <c r="O32" s="20" t="s">
        <v>80</v>
      </c>
      <c r="P32" s="26" t="s">
        <v>80</v>
      </c>
    </row>
    <row r="33" spans="1:16">
      <c r="A33" s="9" t="s">
        <v>191</v>
      </c>
      <c r="B33" s="15">
        <v>2.4281576147270298</v>
      </c>
      <c r="C33" s="15">
        <v>4.0987293767370199</v>
      </c>
      <c r="D33" s="26" t="s">
        <v>80</v>
      </c>
      <c r="E33" s="15">
        <v>2.21619810589439</v>
      </c>
      <c r="F33" s="15">
        <v>3.5852686283351498</v>
      </c>
      <c r="G33" s="26" t="s">
        <v>80</v>
      </c>
      <c r="H33" s="15">
        <v>2.6404001097438599</v>
      </c>
      <c r="I33" s="15">
        <v>4.6146874003214604</v>
      </c>
      <c r="J33" s="26" t="s">
        <v>80</v>
      </c>
      <c r="K33" s="20" t="s">
        <v>80</v>
      </c>
      <c r="L33" s="20" t="s">
        <v>80</v>
      </c>
      <c r="M33" s="26" t="s">
        <v>80</v>
      </c>
      <c r="N33" s="20" t="s">
        <v>80</v>
      </c>
      <c r="O33" s="20" t="s">
        <v>80</v>
      </c>
      <c r="P33" s="26" t="s">
        <v>80</v>
      </c>
    </row>
    <row r="34" spans="1:16">
      <c r="A34" s="9" t="s">
        <v>192</v>
      </c>
      <c r="B34" s="15">
        <v>0.63438521920625102</v>
      </c>
      <c r="C34" s="20" t="s">
        <v>80</v>
      </c>
      <c r="D34" s="26" t="s">
        <v>80</v>
      </c>
      <c r="E34" s="20" t="s">
        <v>80</v>
      </c>
      <c r="F34" s="20" t="s">
        <v>80</v>
      </c>
      <c r="G34" s="26" t="s">
        <v>80</v>
      </c>
      <c r="H34" s="20" t="s">
        <v>80</v>
      </c>
      <c r="I34" s="20" t="s">
        <v>80</v>
      </c>
      <c r="J34" s="26" t="s">
        <v>80</v>
      </c>
      <c r="K34" s="20" t="s">
        <v>80</v>
      </c>
      <c r="L34" s="20" t="s">
        <v>80</v>
      </c>
      <c r="M34" s="26" t="s">
        <v>80</v>
      </c>
      <c r="N34" s="20" t="s">
        <v>80</v>
      </c>
      <c r="O34" s="20" t="s">
        <v>80</v>
      </c>
      <c r="P34" s="26" t="s">
        <v>80</v>
      </c>
    </row>
    <row r="35" spans="1:16">
      <c r="A35" s="9" t="s">
        <v>193</v>
      </c>
      <c r="B35" s="20" t="s">
        <v>80</v>
      </c>
      <c r="C35" s="20" t="s">
        <v>80</v>
      </c>
      <c r="D35" s="26" t="s">
        <v>80</v>
      </c>
      <c r="E35" s="20" t="s">
        <v>80</v>
      </c>
      <c r="F35" s="20" t="s">
        <v>80</v>
      </c>
      <c r="G35" s="26" t="s">
        <v>80</v>
      </c>
      <c r="H35" s="20" t="s">
        <v>80</v>
      </c>
      <c r="I35" s="20" t="s">
        <v>80</v>
      </c>
      <c r="J35" s="26" t="s">
        <v>80</v>
      </c>
      <c r="K35" s="20" t="s">
        <v>80</v>
      </c>
      <c r="L35" s="20" t="s">
        <v>80</v>
      </c>
      <c r="M35" s="26" t="s">
        <v>80</v>
      </c>
      <c r="N35" s="20" t="s">
        <v>80</v>
      </c>
      <c r="O35" s="20" t="s">
        <v>80</v>
      </c>
      <c r="P35" s="26" t="s">
        <v>80</v>
      </c>
    </row>
    <row r="36" spans="1:16">
      <c r="A36" s="9" t="s">
        <v>194</v>
      </c>
      <c r="B36" s="15">
        <v>14.8970197406578</v>
      </c>
      <c r="C36" s="15">
        <v>16.5593896631324</v>
      </c>
      <c r="D36" s="24">
        <v>13.4426843178999</v>
      </c>
      <c r="E36" s="15">
        <v>6.4891957424017397</v>
      </c>
      <c r="F36" s="15">
        <v>10.8150403968734</v>
      </c>
      <c r="G36" s="24">
        <v>2.68246096277469</v>
      </c>
      <c r="H36" s="15">
        <v>23.5776856447659</v>
      </c>
      <c r="I36" s="15">
        <v>22.755551388966399</v>
      </c>
      <c r="J36" s="24">
        <v>24.3034155163243</v>
      </c>
      <c r="K36" s="20" t="s">
        <v>80</v>
      </c>
      <c r="L36" s="20" t="s">
        <v>80</v>
      </c>
      <c r="M36" s="26" t="s">
        <v>80</v>
      </c>
      <c r="N36" s="20" t="s">
        <v>80</v>
      </c>
      <c r="O36" s="20" t="s">
        <v>80</v>
      </c>
      <c r="P36" s="26" t="s">
        <v>80</v>
      </c>
    </row>
    <row r="37" spans="1:16">
      <c r="A37" s="9" t="s">
        <v>195</v>
      </c>
      <c r="B37" s="15">
        <v>1.7373890398749801</v>
      </c>
      <c r="C37" s="15">
        <v>2.5574290094921501</v>
      </c>
      <c r="D37" s="26" t="s">
        <v>80</v>
      </c>
      <c r="E37" s="15">
        <v>1.49105539133584</v>
      </c>
      <c r="F37" s="20" t="s">
        <v>80</v>
      </c>
      <c r="G37" s="26" t="s">
        <v>80</v>
      </c>
      <c r="H37" s="15">
        <v>1.7198337729670301</v>
      </c>
      <c r="I37" s="15">
        <v>3.0950747047625899</v>
      </c>
      <c r="J37" s="26" t="s">
        <v>80</v>
      </c>
      <c r="K37" s="20" t="s">
        <v>80</v>
      </c>
      <c r="L37" s="20" t="s">
        <v>80</v>
      </c>
      <c r="M37" s="26" t="s">
        <v>80</v>
      </c>
      <c r="N37" s="20" t="s">
        <v>80</v>
      </c>
      <c r="O37" s="20" t="s">
        <v>80</v>
      </c>
      <c r="P37" s="26" t="s">
        <v>80</v>
      </c>
    </row>
    <row r="38" spans="1:16">
      <c r="A38" s="9" t="s">
        <v>196</v>
      </c>
      <c r="B38" s="15">
        <v>3.5553481937006501</v>
      </c>
      <c r="C38" s="15">
        <v>4.3326132566291502</v>
      </c>
      <c r="D38" s="24">
        <v>2.8753526652647601</v>
      </c>
      <c r="E38" s="15">
        <v>3.6495265901748</v>
      </c>
      <c r="F38" s="15">
        <v>4.4407408958911097</v>
      </c>
      <c r="G38" s="24">
        <v>2.95325955881128</v>
      </c>
      <c r="H38" s="15">
        <v>3.4504975305978598</v>
      </c>
      <c r="I38" s="15">
        <v>4.0861002906126798</v>
      </c>
      <c r="J38" s="24">
        <v>2.8894262625734299</v>
      </c>
      <c r="K38" s="20" t="s">
        <v>80</v>
      </c>
      <c r="L38" s="20" t="s">
        <v>80</v>
      </c>
      <c r="M38" s="26" t="s">
        <v>80</v>
      </c>
      <c r="N38" s="20" t="s">
        <v>80</v>
      </c>
      <c r="O38" s="20" t="s">
        <v>80</v>
      </c>
      <c r="P38" s="26" t="s">
        <v>80</v>
      </c>
    </row>
    <row r="39" spans="1:16">
      <c r="A39" s="9" t="s">
        <v>197</v>
      </c>
      <c r="B39" s="15">
        <v>0.84683753144151097</v>
      </c>
      <c r="C39" s="20" t="s">
        <v>80</v>
      </c>
      <c r="D39" s="26" t="s">
        <v>80</v>
      </c>
      <c r="E39" s="15">
        <v>1.00368891977756</v>
      </c>
      <c r="F39" s="20" t="s">
        <v>80</v>
      </c>
      <c r="G39" s="26" t="s">
        <v>80</v>
      </c>
      <c r="H39" s="20" t="s">
        <v>80</v>
      </c>
      <c r="I39" s="20" t="s">
        <v>80</v>
      </c>
      <c r="J39" s="26" t="s">
        <v>80</v>
      </c>
      <c r="K39" s="20" t="s">
        <v>80</v>
      </c>
      <c r="L39" s="20" t="s">
        <v>80</v>
      </c>
      <c r="M39" s="26" t="s">
        <v>80</v>
      </c>
      <c r="N39" s="20" t="s">
        <v>80</v>
      </c>
      <c r="O39" s="20" t="s">
        <v>80</v>
      </c>
      <c r="P39" s="26" t="s">
        <v>80</v>
      </c>
    </row>
    <row r="40" spans="1:16">
      <c r="A40" s="9" t="s">
        <v>198</v>
      </c>
      <c r="B40" s="15">
        <v>0.83090407268255295</v>
      </c>
      <c r="C40" s="20" t="s">
        <v>80</v>
      </c>
      <c r="D40" s="26" t="s">
        <v>80</v>
      </c>
      <c r="E40" s="20" t="s">
        <v>80</v>
      </c>
      <c r="F40" s="20" t="s">
        <v>80</v>
      </c>
      <c r="G40" s="26" t="s">
        <v>80</v>
      </c>
      <c r="H40" s="20" t="s">
        <v>80</v>
      </c>
      <c r="I40" s="20" t="s">
        <v>80</v>
      </c>
      <c r="J40" s="26" t="s">
        <v>80</v>
      </c>
      <c r="K40" s="20" t="s">
        <v>80</v>
      </c>
      <c r="L40" s="20" t="s">
        <v>80</v>
      </c>
      <c r="M40" s="26" t="s">
        <v>80</v>
      </c>
      <c r="N40" s="20" t="s">
        <v>80</v>
      </c>
      <c r="O40" s="20" t="s">
        <v>80</v>
      </c>
      <c r="P40" s="26" t="s">
        <v>80</v>
      </c>
    </row>
    <row r="41" spans="1:16">
      <c r="A41" s="9" t="s">
        <v>199</v>
      </c>
      <c r="B41" s="15">
        <v>13.4939286839227</v>
      </c>
      <c r="C41" s="15">
        <v>13.6864233552849</v>
      </c>
      <c r="D41" s="24">
        <v>13.325523435807201</v>
      </c>
      <c r="E41" s="15">
        <v>13.2059738104302</v>
      </c>
      <c r="F41" s="15">
        <v>13.1865177651125</v>
      </c>
      <c r="G41" s="24">
        <v>13.2230950920067</v>
      </c>
      <c r="H41" s="15">
        <v>13.933251266086501</v>
      </c>
      <c r="I41" s="15">
        <v>14.1094599952709</v>
      </c>
      <c r="J41" s="24">
        <v>13.7777049699719</v>
      </c>
      <c r="K41" s="20" t="s">
        <v>80</v>
      </c>
      <c r="L41" s="20" t="s">
        <v>80</v>
      </c>
      <c r="M41" s="26" t="s">
        <v>80</v>
      </c>
      <c r="N41" s="20" t="s">
        <v>80</v>
      </c>
      <c r="O41" s="20" t="s">
        <v>80</v>
      </c>
      <c r="P41" s="26" t="s">
        <v>80</v>
      </c>
    </row>
    <row r="42" spans="1:16">
      <c r="A42" s="9" t="s">
        <v>200</v>
      </c>
      <c r="B42" s="15">
        <v>0.72887063864941803</v>
      </c>
      <c r="C42" s="15">
        <v>1.12224150326158</v>
      </c>
      <c r="D42" s="26" t="s">
        <v>80</v>
      </c>
      <c r="E42" s="20" t="s">
        <v>80</v>
      </c>
      <c r="F42" s="20" t="s">
        <v>80</v>
      </c>
      <c r="G42" s="26" t="s">
        <v>80</v>
      </c>
      <c r="H42" s="20" t="s">
        <v>80</v>
      </c>
      <c r="I42" s="20" t="s">
        <v>80</v>
      </c>
      <c r="J42" s="26" t="s">
        <v>80</v>
      </c>
      <c r="K42" s="20" t="s">
        <v>80</v>
      </c>
      <c r="L42" s="20" t="s">
        <v>80</v>
      </c>
      <c r="M42" s="26" t="s">
        <v>80</v>
      </c>
      <c r="N42" s="20" t="s">
        <v>80</v>
      </c>
      <c r="O42" s="20" t="s">
        <v>80</v>
      </c>
      <c r="P42" s="26" t="s">
        <v>80</v>
      </c>
    </row>
    <row r="43" spans="1:16">
      <c r="A43" s="9" t="s">
        <v>201</v>
      </c>
      <c r="B43" s="15">
        <v>15.252639651628201</v>
      </c>
      <c r="C43" s="15">
        <v>13.2826916413965</v>
      </c>
      <c r="D43" s="24">
        <v>16.976061817500099</v>
      </c>
      <c r="E43" s="15">
        <v>20.160816022532401</v>
      </c>
      <c r="F43" s="15">
        <v>15.7962657856989</v>
      </c>
      <c r="G43" s="24">
        <v>24.001611638438099</v>
      </c>
      <c r="H43" s="15">
        <v>10.559446149449199</v>
      </c>
      <c r="I43" s="15">
        <v>10.8372969917201</v>
      </c>
      <c r="J43" s="24">
        <v>10.314176408343901</v>
      </c>
      <c r="K43" s="20" t="s">
        <v>80</v>
      </c>
      <c r="L43" s="20" t="s">
        <v>80</v>
      </c>
      <c r="M43" s="26" t="s">
        <v>80</v>
      </c>
      <c r="N43" s="20" t="s">
        <v>80</v>
      </c>
      <c r="O43" s="20" t="s">
        <v>80</v>
      </c>
      <c r="P43" s="26" t="s">
        <v>80</v>
      </c>
    </row>
    <row r="44" spans="1:16">
      <c r="A44" s="9" t="s">
        <v>202</v>
      </c>
      <c r="B44" s="15">
        <v>12.695784825404999</v>
      </c>
      <c r="C44" s="15">
        <v>17.1362044641075</v>
      </c>
      <c r="D44" s="24">
        <v>8.8110540653214997</v>
      </c>
      <c r="E44" s="15">
        <v>13.9179967554252</v>
      </c>
      <c r="F44" s="15">
        <v>17.935701970031499</v>
      </c>
      <c r="G44" s="24">
        <v>10.3824240762443</v>
      </c>
      <c r="H44" s="15">
        <v>11.6854616296473</v>
      </c>
      <c r="I44" s="15">
        <v>16.553985308657701</v>
      </c>
      <c r="J44" s="24">
        <v>7.3878264936298503</v>
      </c>
      <c r="K44" s="20" t="s">
        <v>80</v>
      </c>
      <c r="L44" s="20" t="s">
        <v>80</v>
      </c>
      <c r="M44" s="26" t="s">
        <v>80</v>
      </c>
      <c r="N44" s="20" t="s">
        <v>80</v>
      </c>
      <c r="O44" s="20" t="s">
        <v>80</v>
      </c>
      <c r="P44" s="26" t="s">
        <v>80</v>
      </c>
    </row>
    <row r="45" spans="1:16">
      <c r="A45" s="9" t="s">
        <v>203</v>
      </c>
      <c r="B45" s="15">
        <v>1.07423750631727</v>
      </c>
      <c r="C45" s="15">
        <v>2.0062307566127702</v>
      </c>
      <c r="D45" s="26" t="s">
        <v>80</v>
      </c>
      <c r="E45" s="20" t="s">
        <v>80</v>
      </c>
      <c r="F45" s="20" t="s">
        <v>80</v>
      </c>
      <c r="G45" s="26" t="s">
        <v>80</v>
      </c>
      <c r="H45" s="15">
        <v>1.1330934046457299</v>
      </c>
      <c r="I45" s="15">
        <v>2.4167044829375599</v>
      </c>
      <c r="J45" s="26" t="s">
        <v>80</v>
      </c>
      <c r="K45" s="20" t="s">
        <v>80</v>
      </c>
      <c r="L45" s="20" t="s">
        <v>80</v>
      </c>
      <c r="M45" s="26" t="s">
        <v>80</v>
      </c>
      <c r="N45" s="20" t="s">
        <v>80</v>
      </c>
      <c r="O45" s="20" t="s">
        <v>80</v>
      </c>
      <c r="P45" s="26" t="s">
        <v>80</v>
      </c>
    </row>
    <row r="46" spans="1:16">
      <c r="A46" s="9" t="s">
        <v>204</v>
      </c>
      <c r="B46" s="15">
        <v>0.52769866787199204</v>
      </c>
      <c r="C46" s="20" t="s">
        <v>80</v>
      </c>
      <c r="D46" s="26" t="s">
        <v>80</v>
      </c>
      <c r="E46" s="20" t="s">
        <v>80</v>
      </c>
      <c r="F46" s="20" t="s">
        <v>80</v>
      </c>
      <c r="G46" s="26" t="s">
        <v>80</v>
      </c>
      <c r="H46" s="20" t="s">
        <v>80</v>
      </c>
      <c r="I46" s="20" t="s">
        <v>80</v>
      </c>
      <c r="J46" s="26" t="s">
        <v>80</v>
      </c>
      <c r="K46" s="20" t="s">
        <v>80</v>
      </c>
      <c r="L46" s="20" t="s">
        <v>80</v>
      </c>
      <c r="M46" s="26" t="s">
        <v>80</v>
      </c>
      <c r="N46" s="20" t="s">
        <v>80</v>
      </c>
      <c r="O46" s="20" t="s">
        <v>80</v>
      </c>
      <c r="P46" s="26" t="s">
        <v>80</v>
      </c>
    </row>
    <row r="47" spans="1:16">
      <c r="A47" s="9" t="s">
        <v>205</v>
      </c>
      <c r="B47" s="20" t="s">
        <v>80</v>
      </c>
      <c r="C47" s="20" t="s">
        <v>80</v>
      </c>
      <c r="D47" s="26" t="s">
        <v>80</v>
      </c>
      <c r="E47" s="20" t="s">
        <v>80</v>
      </c>
      <c r="F47" s="20" t="s">
        <v>80</v>
      </c>
      <c r="G47" s="26" t="s">
        <v>80</v>
      </c>
      <c r="H47" s="20" t="s">
        <v>80</v>
      </c>
      <c r="I47" s="20" t="s">
        <v>80</v>
      </c>
      <c r="J47" s="26" t="s">
        <v>80</v>
      </c>
      <c r="K47" s="20" t="s">
        <v>80</v>
      </c>
      <c r="L47" s="20" t="s">
        <v>80</v>
      </c>
      <c r="M47" s="26" t="s">
        <v>80</v>
      </c>
      <c r="N47" s="20" t="s">
        <v>80</v>
      </c>
      <c r="O47" s="20" t="s">
        <v>80</v>
      </c>
      <c r="P47" s="26" t="s">
        <v>80</v>
      </c>
    </row>
    <row r="48" spans="1:16">
      <c r="A48" s="9" t="s">
        <v>206</v>
      </c>
      <c r="B48" s="15">
        <v>1.003769578145</v>
      </c>
      <c r="C48" s="15">
        <v>1.1819019651279701</v>
      </c>
      <c r="D48" s="26" t="s">
        <v>80</v>
      </c>
      <c r="E48" s="20" t="s">
        <v>80</v>
      </c>
      <c r="F48" s="20" t="s">
        <v>80</v>
      </c>
      <c r="G48" s="26" t="s">
        <v>80</v>
      </c>
      <c r="H48" s="20" t="s">
        <v>80</v>
      </c>
      <c r="I48" s="20" t="s">
        <v>80</v>
      </c>
      <c r="J48" s="26" t="s">
        <v>80</v>
      </c>
      <c r="K48" s="20" t="s">
        <v>80</v>
      </c>
      <c r="L48" s="20" t="s">
        <v>80</v>
      </c>
      <c r="M48" s="26" t="s">
        <v>80</v>
      </c>
      <c r="N48" s="20" t="s">
        <v>80</v>
      </c>
      <c r="O48" s="20" t="s">
        <v>80</v>
      </c>
      <c r="P48" s="26" t="s">
        <v>80</v>
      </c>
    </row>
    <row r="49" spans="1:16">
      <c r="A49" s="9" t="s">
        <v>207</v>
      </c>
      <c r="B49" s="15">
        <v>1.9549298604545</v>
      </c>
      <c r="C49" s="15">
        <v>2.2936980908443498</v>
      </c>
      <c r="D49" s="24">
        <v>1.65855621286855</v>
      </c>
      <c r="E49" s="15">
        <v>1.7492373174753499</v>
      </c>
      <c r="F49" s="20" t="s">
        <v>80</v>
      </c>
      <c r="G49" s="24">
        <v>1.6421355146574601</v>
      </c>
      <c r="H49" s="15">
        <v>1.9814949180258401</v>
      </c>
      <c r="I49" s="15">
        <v>2.5743772267256801</v>
      </c>
      <c r="J49" s="26" t="s">
        <v>80</v>
      </c>
      <c r="K49" s="20" t="s">
        <v>80</v>
      </c>
      <c r="L49" s="20" t="s">
        <v>80</v>
      </c>
      <c r="M49" s="26" t="s">
        <v>80</v>
      </c>
      <c r="N49" s="20" t="s">
        <v>80</v>
      </c>
      <c r="O49" s="20" t="s">
        <v>80</v>
      </c>
      <c r="P49" s="26" t="s">
        <v>80</v>
      </c>
    </row>
    <row r="50" spans="1:16">
      <c r="A50" s="9" t="s">
        <v>208</v>
      </c>
      <c r="B50" s="15">
        <v>12.3547086921116</v>
      </c>
      <c r="C50" s="15">
        <v>23.627503146657801</v>
      </c>
      <c r="D50" s="24">
        <v>2.4926292192645798</v>
      </c>
      <c r="E50" s="15">
        <v>12.1746957320149</v>
      </c>
      <c r="F50" s="15">
        <v>22.7953465929921</v>
      </c>
      <c r="G50" s="24">
        <v>2.8285438832736598</v>
      </c>
      <c r="H50" s="15">
        <v>12.681842729731899</v>
      </c>
      <c r="I50" s="15">
        <v>25.105094192678202</v>
      </c>
      <c r="J50" s="24">
        <v>1.7153556566750601</v>
      </c>
      <c r="K50" s="20" t="s">
        <v>80</v>
      </c>
      <c r="L50" s="20" t="s">
        <v>80</v>
      </c>
      <c r="M50" s="26" t="s">
        <v>80</v>
      </c>
      <c r="N50" s="20" t="s">
        <v>80</v>
      </c>
      <c r="O50" s="20" t="s">
        <v>80</v>
      </c>
      <c r="P50" s="26" t="s">
        <v>80</v>
      </c>
    </row>
    <row r="51" spans="1:16">
      <c r="A51" s="9" t="s">
        <v>209</v>
      </c>
      <c r="B51" s="15">
        <v>3.2096581128240098</v>
      </c>
      <c r="C51" s="15">
        <v>3.1264396706501398</v>
      </c>
      <c r="D51" s="24">
        <v>3.2824623224309999</v>
      </c>
      <c r="E51" s="15">
        <v>3.1768527573657699</v>
      </c>
      <c r="F51" s="15">
        <v>3.4469176597106501</v>
      </c>
      <c r="G51" s="24">
        <v>2.9391961749801401</v>
      </c>
      <c r="H51" s="15">
        <v>3.2197602670441698</v>
      </c>
      <c r="I51" s="15">
        <v>2.8969068971224199</v>
      </c>
      <c r="J51" s="24">
        <v>3.5047554889713601</v>
      </c>
      <c r="K51" s="20" t="s">
        <v>80</v>
      </c>
      <c r="L51" s="20" t="s">
        <v>80</v>
      </c>
      <c r="M51" s="26" t="s">
        <v>80</v>
      </c>
      <c r="N51" s="20" t="s">
        <v>80</v>
      </c>
      <c r="O51" s="20" t="s">
        <v>80</v>
      </c>
      <c r="P51" s="26" t="s">
        <v>80</v>
      </c>
    </row>
    <row r="52" spans="1:16">
      <c r="A52" s="9" t="s">
        <v>210</v>
      </c>
      <c r="B52" s="20" t="s">
        <v>80</v>
      </c>
      <c r="C52" s="20" t="s">
        <v>80</v>
      </c>
      <c r="D52" s="26" t="s">
        <v>80</v>
      </c>
      <c r="E52" s="20" t="s">
        <v>80</v>
      </c>
      <c r="F52" s="20" t="s">
        <v>80</v>
      </c>
      <c r="G52" s="26" t="s">
        <v>80</v>
      </c>
      <c r="H52" s="20" t="s">
        <v>80</v>
      </c>
      <c r="I52" s="20" t="s">
        <v>80</v>
      </c>
      <c r="J52" s="26" t="s">
        <v>80</v>
      </c>
      <c r="K52" s="20" t="s">
        <v>80</v>
      </c>
      <c r="L52" s="20" t="s">
        <v>80</v>
      </c>
      <c r="M52" s="26" t="s">
        <v>80</v>
      </c>
      <c r="N52" s="20" t="s">
        <v>80</v>
      </c>
      <c r="O52" s="20" t="s">
        <v>80</v>
      </c>
      <c r="P52" s="26" t="s">
        <v>80</v>
      </c>
    </row>
    <row r="53" spans="1:16">
      <c r="A53" s="9" t="s">
        <v>211</v>
      </c>
      <c r="B53" s="15">
        <v>8.00246691040679</v>
      </c>
      <c r="C53" s="15">
        <v>5.8873076132729496</v>
      </c>
      <c r="D53" s="24">
        <v>9.8529281398894693</v>
      </c>
      <c r="E53" s="15">
        <v>8.3589496543884199</v>
      </c>
      <c r="F53" s="15">
        <v>6.1015389741324304</v>
      </c>
      <c r="G53" s="24">
        <v>10.3454666088401</v>
      </c>
      <c r="H53" s="15">
        <v>7.6431433161801499</v>
      </c>
      <c r="I53" s="15">
        <v>5.7602297692211204</v>
      </c>
      <c r="J53" s="24">
        <v>9.3052643103496404</v>
      </c>
      <c r="K53" s="20" t="s">
        <v>80</v>
      </c>
      <c r="L53" s="20" t="s">
        <v>80</v>
      </c>
      <c r="M53" s="26" t="s">
        <v>80</v>
      </c>
      <c r="N53" s="20" t="s">
        <v>80</v>
      </c>
      <c r="O53" s="20" t="s">
        <v>80</v>
      </c>
      <c r="P53" s="26" t="s">
        <v>80</v>
      </c>
    </row>
    <row r="54" spans="1:16">
      <c r="A54" s="9" t="s">
        <v>212</v>
      </c>
      <c r="B54" s="15">
        <v>1.74166878537573</v>
      </c>
      <c r="C54" s="15">
        <v>3.0231559133279098</v>
      </c>
      <c r="D54" s="26" t="s">
        <v>80</v>
      </c>
      <c r="E54" s="15">
        <v>1.51471944220928</v>
      </c>
      <c r="F54" s="15">
        <v>2.53590691131373</v>
      </c>
      <c r="G54" s="26" t="s">
        <v>80</v>
      </c>
      <c r="H54" s="15">
        <v>1.97480605075837</v>
      </c>
      <c r="I54" s="15">
        <v>3.52509918175598</v>
      </c>
      <c r="J54" s="26" t="s">
        <v>80</v>
      </c>
      <c r="K54" s="20" t="s">
        <v>80</v>
      </c>
      <c r="L54" s="20" t="s">
        <v>80</v>
      </c>
      <c r="M54" s="26" t="s">
        <v>80</v>
      </c>
      <c r="N54" s="20" t="s">
        <v>80</v>
      </c>
      <c r="O54" s="20" t="s">
        <v>80</v>
      </c>
      <c r="P54" s="26" t="s">
        <v>80</v>
      </c>
    </row>
    <row r="55" spans="1:16">
      <c r="A55" s="9" t="s">
        <v>213</v>
      </c>
      <c r="B55" s="15">
        <v>0.52869580929698701</v>
      </c>
      <c r="C55" s="20" t="s">
        <v>80</v>
      </c>
      <c r="D55" s="26" t="s">
        <v>80</v>
      </c>
      <c r="E55" s="20" t="s">
        <v>80</v>
      </c>
      <c r="F55" s="20" t="s">
        <v>80</v>
      </c>
      <c r="G55" s="26" t="s">
        <v>80</v>
      </c>
      <c r="H55" s="20" t="s">
        <v>80</v>
      </c>
      <c r="I55" s="20" t="s">
        <v>80</v>
      </c>
      <c r="J55" s="26" t="s">
        <v>80</v>
      </c>
      <c r="K55" s="20" t="s">
        <v>80</v>
      </c>
      <c r="L55" s="20" t="s">
        <v>80</v>
      </c>
      <c r="M55" s="26" t="s">
        <v>80</v>
      </c>
      <c r="N55" s="20" t="s">
        <v>80</v>
      </c>
      <c r="O55" s="20" t="s">
        <v>80</v>
      </c>
      <c r="P55" s="26" t="s">
        <v>80</v>
      </c>
    </row>
    <row r="56" spans="1:16">
      <c r="A56" s="9" t="s">
        <v>214</v>
      </c>
      <c r="B56" s="15">
        <v>2.2227844611297898</v>
      </c>
      <c r="C56" s="15">
        <v>1.84642083537194</v>
      </c>
      <c r="D56" s="24">
        <v>2.5520486912973102</v>
      </c>
      <c r="E56" s="15">
        <v>2.0106128925387199</v>
      </c>
      <c r="F56" s="20" t="s">
        <v>80</v>
      </c>
      <c r="G56" s="26" t="s">
        <v>80</v>
      </c>
      <c r="H56" s="15">
        <v>2.3868891004402402</v>
      </c>
      <c r="I56" s="20" t="s">
        <v>80</v>
      </c>
      <c r="J56" s="26" t="s">
        <v>80</v>
      </c>
      <c r="K56" s="20" t="s">
        <v>80</v>
      </c>
      <c r="L56" s="20" t="s">
        <v>80</v>
      </c>
      <c r="M56" s="26" t="s">
        <v>80</v>
      </c>
      <c r="N56" s="20" t="s">
        <v>80</v>
      </c>
      <c r="O56" s="20" t="s">
        <v>80</v>
      </c>
      <c r="P56" s="26" t="s">
        <v>80</v>
      </c>
    </row>
    <row r="57" spans="1:16">
      <c r="A57" s="9" t="s">
        <v>215</v>
      </c>
      <c r="B57" s="15">
        <v>1.8646656607719401</v>
      </c>
      <c r="C57" s="15">
        <v>3.02843632022301</v>
      </c>
      <c r="D57" s="26" t="s">
        <v>80</v>
      </c>
      <c r="E57" s="15">
        <v>1.88143071961769</v>
      </c>
      <c r="F57" s="15">
        <v>2.7131005670152</v>
      </c>
      <c r="G57" s="26" t="s">
        <v>80</v>
      </c>
      <c r="H57" s="15">
        <v>1.77426437353932</v>
      </c>
      <c r="I57" s="15">
        <v>3.4454961218725901</v>
      </c>
      <c r="J57" s="26" t="s">
        <v>80</v>
      </c>
      <c r="K57" s="20" t="s">
        <v>80</v>
      </c>
      <c r="L57" s="20" t="s">
        <v>80</v>
      </c>
      <c r="M57" s="26" t="s">
        <v>80</v>
      </c>
      <c r="N57" s="20" t="s">
        <v>80</v>
      </c>
      <c r="O57" s="20" t="s">
        <v>80</v>
      </c>
      <c r="P57" s="26" t="s">
        <v>80</v>
      </c>
    </row>
    <row r="58" spans="1:16">
      <c r="A58" s="9" t="s">
        <v>216</v>
      </c>
      <c r="B58" s="15">
        <v>1.51828797736301</v>
      </c>
      <c r="C58" s="20" t="s">
        <v>80</v>
      </c>
      <c r="D58" s="24">
        <v>2.3150297483261402</v>
      </c>
      <c r="E58" s="15">
        <v>1.9056207787994699</v>
      </c>
      <c r="F58" s="20" t="s">
        <v>80</v>
      </c>
      <c r="G58" s="24">
        <v>3.0966814220583498</v>
      </c>
      <c r="H58" s="20" t="s">
        <v>80</v>
      </c>
      <c r="I58" s="20" t="s">
        <v>80</v>
      </c>
      <c r="J58" s="26" t="s">
        <v>80</v>
      </c>
      <c r="K58" s="20" t="s">
        <v>80</v>
      </c>
      <c r="L58" s="20" t="s">
        <v>80</v>
      </c>
      <c r="M58" s="26" t="s">
        <v>80</v>
      </c>
      <c r="N58" s="20" t="s">
        <v>80</v>
      </c>
      <c r="O58" s="20" t="s">
        <v>80</v>
      </c>
      <c r="P58" s="26" t="s">
        <v>80</v>
      </c>
    </row>
    <row r="59" spans="1:16">
      <c r="A59" s="9" t="s">
        <v>217</v>
      </c>
      <c r="B59" s="15">
        <v>0.92205856921709695</v>
      </c>
      <c r="C59" s="20" t="s">
        <v>80</v>
      </c>
      <c r="D59" s="24">
        <v>0.97318792421922196</v>
      </c>
      <c r="E59" s="20" t="s">
        <v>80</v>
      </c>
      <c r="F59" s="20" t="s">
        <v>80</v>
      </c>
      <c r="G59" s="26" t="s">
        <v>80</v>
      </c>
      <c r="H59" s="20" t="s">
        <v>80</v>
      </c>
      <c r="I59" s="20" t="s">
        <v>80</v>
      </c>
      <c r="J59" s="26" t="s">
        <v>80</v>
      </c>
      <c r="K59" s="20" t="s">
        <v>80</v>
      </c>
      <c r="L59" s="20" t="s">
        <v>80</v>
      </c>
      <c r="M59" s="26" t="s">
        <v>80</v>
      </c>
      <c r="N59" s="20" t="s">
        <v>80</v>
      </c>
      <c r="O59" s="20" t="s">
        <v>80</v>
      </c>
      <c r="P59" s="26" t="s">
        <v>80</v>
      </c>
    </row>
    <row r="60" spans="1:16">
      <c r="A60" s="9" t="s">
        <v>218</v>
      </c>
      <c r="B60" s="20" t="s">
        <v>80</v>
      </c>
      <c r="C60" s="20" t="s">
        <v>80</v>
      </c>
      <c r="D60" s="26" t="s">
        <v>80</v>
      </c>
      <c r="E60" s="20" t="s">
        <v>80</v>
      </c>
      <c r="F60" s="20" t="s">
        <v>80</v>
      </c>
      <c r="G60" s="26" t="s">
        <v>80</v>
      </c>
      <c r="H60" s="20" t="s">
        <v>80</v>
      </c>
      <c r="I60" s="20" t="s">
        <v>80</v>
      </c>
      <c r="J60" s="26" t="s">
        <v>80</v>
      </c>
      <c r="K60" s="20" t="s">
        <v>80</v>
      </c>
      <c r="L60" s="20" t="s">
        <v>80</v>
      </c>
      <c r="M60" s="26" t="s">
        <v>80</v>
      </c>
      <c r="N60" s="20" t="s">
        <v>80</v>
      </c>
      <c r="O60" s="20" t="s">
        <v>80</v>
      </c>
      <c r="P60" s="26" t="s">
        <v>80</v>
      </c>
    </row>
    <row r="61" spans="1:16">
      <c r="A61" s="9" t="s">
        <v>219</v>
      </c>
      <c r="B61" s="20" t="s">
        <v>80</v>
      </c>
      <c r="C61" s="20" t="s">
        <v>80</v>
      </c>
      <c r="D61" s="26" t="s">
        <v>80</v>
      </c>
      <c r="E61" s="20" t="s">
        <v>80</v>
      </c>
      <c r="F61" s="20" t="s">
        <v>80</v>
      </c>
      <c r="G61" s="26" t="s">
        <v>80</v>
      </c>
      <c r="H61" s="20" t="s">
        <v>80</v>
      </c>
      <c r="I61" s="20" t="s">
        <v>80</v>
      </c>
      <c r="J61" s="26" t="s">
        <v>80</v>
      </c>
      <c r="K61" s="20" t="s">
        <v>80</v>
      </c>
      <c r="L61" s="20" t="s">
        <v>80</v>
      </c>
      <c r="M61" s="26" t="s">
        <v>80</v>
      </c>
      <c r="N61" s="20" t="s">
        <v>80</v>
      </c>
      <c r="O61" s="20" t="s">
        <v>80</v>
      </c>
      <c r="P61" s="26" t="s">
        <v>80</v>
      </c>
    </row>
    <row r="62" spans="1:16">
      <c r="A62" s="9" t="s">
        <v>220</v>
      </c>
      <c r="B62" s="20" t="s">
        <v>80</v>
      </c>
      <c r="C62" s="20" t="s">
        <v>80</v>
      </c>
      <c r="D62" s="26" t="s">
        <v>80</v>
      </c>
      <c r="E62" s="20" t="s">
        <v>80</v>
      </c>
      <c r="F62" s="20" t="s">
        <v>80</v>
      </c>
      <c r="G62" s="26" t="s">
        <v>80</v>
      </c>
      <c r="H62" s="20" t="s">
        <v>80</v>
      </c>
      <c r="I62" s="20" t="s">
        <v>80</v>
      </c>
      <c r="J62" s="26" t="s">
        <v>80</v>
      </c>
      <c r="K62" s="20" t="s">
        <v>80</v>
      </c>
      <c r="L62" s="20" t="s">
        <v>80</v>
      </c>
      <c r="M62" s="26" t="s">
        <v>80</v>
      </c>
      <c r="N62" s="20" t="s">
        <v>80</v>
      </c>
      <c r="O62" s="20" t="s">
        <v>80</v>
      </c>
      <c r="P62" s="26" t="s">
        <v>80</v>
      </c>
    </row>
    <row r="63" spans="1:16">
      <c r="A63" s="9" t="s">
        <v>221</v>
      </c>
      <c r="B63" s="20" t="s">
        <v>80</v>
      </c>
      <c r="C63" s="20" t="s">
        <v>80</v>
      </c>
      <c r="D63" s="26" t="s">
        <v>80</v>
      </c>
      <c r="E63" s="20" t="s">
        <v>80</v>
      </c>
      <c r="F63" s="20" t="s">
        <v>80</v>
      </c>
      <c r="G63" s="26" t="s">
        <v>80</v>
      </c>
      <c r="H63" s="20" t="s">
        <v>80</v>
      </c>
      <c r="I63" s="20" t="s">
        <v>80</v>
      </c>
      <c r="J63" s="26" t="s">
        <v>80</v>
      </c>
      <c r="K63" s="20" t="s">
        <v>80</v>
      </c>
      <c r="L63" s="20" t="s">
        <v>80</v>
      </c>
      <c r="M63" s="26" t="s">
        <v>80</v>
      </c>
      <c r="N63" s="20" t="s">
        <v>80</v>
      </c>
      <c r="O63" s="20" t="s">
        <v>80</v>
      </c>
      <c r="P63" s="26" t="s">
        <v>80</v>
      </c>
    </row>
    <row r="64" spans="1:16">
      <c r="A64" s="11" t="s">
        <v>222</v>
      </c>
      <c r="B64" s="16">
        <v>1.9156528440533001</v>
      </c>
      <c r="C64" s="16">
        <v>2.4053374704518502</v>
      </c>
      <c r="D64" s="25">
        <v>1.48724898007384</v>
      </c>
      <c r="E64" s="16">
        <v>2.0263219245409001</v>
      </c>
      <c r="F64" s="16">
        <v>2.3641916999616499</v>
      </c>
      <c r="G64" s="29" t="s">
        <v>80</v>
      </c>
      <c r="H64" s="16">
        <v>1.7347912642077901</v>
      </c>
      <c r="I64" s="16">
        <v>2.3512285061278599</v>
      </c>
      <c r="J64" s="29" t="s">
        <v>80</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S71"/>
  <sheetViews>
    <sheetView zoomScale="55" workbookViewId="0"/>
  </sheetViews>
  <sheetFormatPr defaultColWidth="10.90625" defaultRowHeight="15"/>
  <cols>
    <col min="1" max="1" width="51.6796875" customWidth="1"/>
    <col min="2" max="44" width="13.6796875" customWidth="1"/>
  </cols>
  <sheetData>
    <row r="1" spans="1:45" ht="39.9" customHeight="1">
      <c r="A1" s="10" t="s">
        <v>226</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c r="A3" s="9" t="s">
        <v>161</v>
      </c>
      <c r="B3" s="36">
        <v>1.90207180532728</v>
      </c>
      <c r="C3" s="32">
        <v>1.32353549926734</v>
      </c>
      <c r="D3" s="32">
        <v>1.7459866001708799</v>
      </c>
      <c r="E3" s="32">
        <v>2.5470090232058298</v>
      </c>
      <c r="F3" s="20" t="s">
        <v>80</v>
      </c>
      <c r="G3" s="20" t="s">
        <v>80</v>
      </c>
      <c r="H3" s="20" t="s">
        <v>80</v>
      </c>
      <c r="I3" s="20" t="s">
        <v>80</v>
      </c>
      <c r="J3" s="20" t="s">
        <v>80</v>
      </c>
      <c r="K3" s="20" t="s">
        <v>80</v>
      </c>
      <c r="L3" s="20" t="s">
        <v>80</v>
      </c>
      <c r="M3" s="20" t="s">
        <v>80</v>
      </c>
      <c r="N3" s="20" t="s">
        <v>80</v>
      </c>
      <c r="O3" s="20" t="s">
        <v>80</v>
      </c>
      <c r="P3" s="15">
        <v>5.7851239669421499</v>
      </c>
      <c r="Q3" s="20" t="s">
        <v>80</v>
      </c>
      <c r="R3" s="20" t="s">
        <v>80</v>
      </c>
      <c r="S3" s="20" t="s">
        <v>80</v>
      </c>
      <c r="T3" s="20" t="s">
        <v>80</v>
      </c>
      <c r="U3" s="20" t="s">
        <v>80</v>
      </c>
      <c r="V3" s="20" t="s">
        <v>80</v>
      </c>
      <c r="W3" s="15">
        <v>10.869565217391299</v>
      </c>
      <c r="X3" s="20" t="s">
        <v>80</v>
      </c>
      <c r="Y3" s="20" t="s">
        <v>80</v>
      </c>
      <c r="Z3" s="20" t="s">
        <v>80</v>
      </c>
      <c r="AA3" s="20" t="s">
        <v>80</v>
      </c>
      <c r="AB3" s="20" t="s">
        <v>80</v>
      </c>
      <c r="AC3" s="20" t="s">
        <v>80</v>
      </c>
      <c r="AD3" s="20" t="s">
        <v>80</v>
      </c>
      <c r="AE3" s="20" t="s">
        <v>80</v>
      </c>
      <c r="AF3" s="20" t="s">
        <v>80</v>
      </c>
      <c r="AG3" s="20" t="s">
        <v>80</v>
      </c>
      <c r="AH3" s="20" t="s">
        <v>80</v>
      </c>
      <c r="AI3" s="20" t="s">
        <v>80</v>
      </c>
      <c r="AJ3" s="32">
        <v>1.0452067866688901</v>
      </c>
      <c r="AK3" s="20" t="s">
        <v>80</v>
      </c>
      <c r="AL3" s="15">
        <v>1.0893246187363801</v>
      </c>
      <c r="AM3" s="20" t="s">
        <v>80</v>
      </c>
      <c r="AN3" s="15">
        <v>6.5693430656934302</v>
      </c>
      <c r="AO3" s="20" t="s">
        <v>80</v>
      </c>
      <c r="AP3" s="15">
        <v>1.0660980810234499</v>
      </c>
      <c r="AQ3" s="20" t="s">
        <v>80</v>
      </c>
      <c r="AR3" s="26" t="s">
        <v>80</v>
      </c>
      <c r="AS3" s="38"/>
    </row>
    <row r="4" spans="1:45">
      <c r="A4" s="9" t="s">
        <v>162</v>
      </c>
      <c r="B4" s="36">
        <v>9.6614135791084994</v>
      </c>
      <c r="C4" s="32">
        <v>10.4226032058444</v>
      </c>
      <c r="D4" s="32">
        <v>12.3725544878178</v>
      </c>
      <c r="E4" s="32">
        <v>8.6369724180199903</v>
      </c>
      <c r="F4" s="20" t="s">
        <v>80</v>
      </c>
      <c r="G4" s="20" t="s">
        <v>80</v>
      </c>
      <c r="H4" s="15">
        <v>12.290502793296101</v>
      </c>
      <c r="I4" s="15">
        <v>8.9108910891089099</v>
      </c>
      <c r="J4" s="20" t="s">
        <v>80</v>
      </c>
      <c r="K4" s="20" t="s">
        <v>80</v>
      </c>
      <c r="L4" s="15">
        <v>9.3457943925233593</v>
      </c>
      <c r="M4" s="15">
        <v>9.5238095238095202</v>
      </c>
      <c r="N4" s="20" t="s">
        <v>80</v>
      </c>
      <c r="O4" s="20" t="s">
        <v>80</v>
      </c>
      <c r="P4" s="15">
        <v>24.793388429752099</v>
      </c>
      <c r="Q4" s="20" t="s">
        <v>80</v>
      </c>
      <c r="R4" s="15">
        <v>12.7659574468085</v>
      </c>
      <c r="S4" s="20" t="s">
        <v>80</v>
      </c>
      <c r="T4" s="20" t="s">
        <v>80</v>
      </c>
      <c r="U4" s="20" t="s">
        <v>80</v>
      </c>
      <c r="V4" s="15">
        <v>13.157894736842101</v>
      </c>
      <c r="W4" s="15">
        <v>13.0434782608696</v>
      </c>
      <c r="X4" s="15">
        <v>24.324324324324301</v>
      </c>
      <c r="Y4" s="15">
        <v>3.7878787878787898</v>
      </c>
      <c r="Z4" s="20" t="s">
        <v>80</v>
      </c>
      <c r="AA4" s="20" t="s">
        <v>80</v>
      </c>
      <c r="AB4" s="20" t="s">
        <v>80</v>
      </c>
      <c r="AC4" s="20" t="s">
        <v>80</v>
      </c>
      <c r="AD4" s="20" t="s">
        <v>80</v>
      </c>
      <c r="AE4" s="20" t="s">
        <v>80</v>
      </c>
      <c r="AF4" s="20" t="s">
        <v>80</v>
      </c>
      <c r="AG4" s="20" t="s">
        <v>80</v>
      </c>
      <c r="AH4" s="15">
        <v>7.5268817204301097</v>
      </c>
      <c r="AI4" s="20" t="s">
        <v>80</v>
      </c>
      <c r="AJ4" s="32">
        <v>15.6406533960554</v>
      </c>
      <c r="AK4" s="15">
        <v>9.4674556213017809</v>
      </c>
      <c r="AL4" s="15">
        <v>6.3180827886710196</v>
      </c>
      <c r="AM4" s="15">
        <v>18.686868686868699</v>
      </c>
      <c r="AN4" s="15">
        <v>32.846715328467099</v>
      </c>
      <c r="AO4" s="15">
        <v>17.964071856287401</v>
      </c>
      <c r="AP4" s="15">
        <v>17.270788912579999</v>
      </c>
      <c r="AQ4" s="15">
        <v>30.882352941176499</v>
      </c>
      <c r="AR4" s="24">
        <v>18.181818181818201</v>
      </c>
      <c r="AS4" s="38"/>
    </row>
    <row r="5" spans="1:45">
      <c r="A5" s="9" t="s">
        <v>163</v>
      </c>
      <c r="B5" s="36">
        <v>7.6432491092914301</v>
      </c>
      <c r="C5" s="32">
        <v>6.6443254696329896</v>
      </c>
      <c r="D5" s="32">
        <v>6.5107484183724402</v>
      </c>
      <c r="E5" s="32">
        <v>1.7381236254865899</v>
      </c>
      <c r="F5" s="20" t="s">
        <v>80</v>
      </c>
      <c r="G5" s="20" t="s">
        <v>80</v>
      </c>
      <c r="H5" s="20" t="s">
        <v>80</v>
      </c>
      <c r="I5" s="20" t="s">
        <v>80</v>
      </c>
      <c r="J5" s="20" t="s">
        <v>80</v>
      </c>
      <c r="K5" s="20" t="s">
        <v>80</v>
      </c>
      <c r="L5" s="20" t="s">
        <v>80</v>
      </c>
      <c r="M5" s="20" t="s">
        <v>80</v>
      </c>
      <c r="N5" s="20" t="s">
        <v>80</v>
      </c>
      <c r="O5" s="20" t="s">
        <v>80</v>
      </c>
      <c r="P5" s="20" t="s">
        <v>80</v>
      </c>
      <c r="Q5" s="20" t="s">
        <v>80</v>
      </c>
      <c r="R5" s="20" t="s">
        <v>80</v>
      </c>
      <c r="S5" s="20" t="s">
        <v>80</v>
      </c>
      <c r="T5" s="20" t="s">
        <v>80</v>
      </c>
      <c r="U5" s="20" t="s">
        <v>80</v>
      </c>
      <c r="V5" s="20" t="s">
        <v>80</v>
      </c>
      <c r="W5" s="20" t="s">
        <v>80</v>
      </c>
      <c r="X5" s="20" t="s">
        <v>80</v>
      </c>
      <c r="Y5" s="20" t="s">
        <v>80</v>
      </c>
      <c r="Z5" s="20" t="s">
        <v>80</v>
      </c>
      <c r="AA5" s="20" t="s">
        <v>80</v>
      </c>
      <c r="AB5" s="20" t="s">
        <v>80</v>
      </c>
      <c r="AC5" s="20" t="s">
        <v>80</v>
      </c>
      <c r="AD5" s="20" t="s">
        <v>80</v>
      </c>
      <c r="AE5" s="20" t="s">
        <v>80</v>
      </c>
      <c r="AF5" s="20" t="s">
        <v>80</v>
      </c>
      <c r="AG5" s="20" t="s">
        <v>80</v>
      </c>
      <c r="AH5" s="20" t="s">
        <v>80</v>
      </c>
      <c r="AI5" s="20" t="s">
        <v>80</v>
      </c>
      <c r="AJ5" s="32">
        <v>10.6861110750151</v>
      </c>
      <c r="AK5" s="15">
        <v>10.3550295857988</v>
      </c>
      <c r="AL5" s="15">
        <v>2.6143790849673199</v>
      </c>
      <c r="AM5" s="15">
        <v>4.0404040404040398</v>
      </c>
      <c r="AN5" s="15">
        <v>31.3868613138686</v>
      </c>
      <c r="AO5" s="15">
        <v>5.0898203592814397</v>
      </c>
      <c r="AP5" s="15">
        <v>21.7484008528785</v>
      </c>
      <c r="AQ5" s="15">
        <v>4.4117647058823497</v>
      </c>
      <c r="AR5" s="24">
        <v>4.2424242424242404</v>
      </c>
      <c r="AS5" s="38"/>
    </row>
    <row r="6" spans="1:45">
      <c r="A6" s="9" t="s">
        <v>164</v>
      </c>
      <c r="B6" s="36">
        <v>12.950828808395</v>
      </c>
      <c r="C6" s="32">
        <v>11.8291417625242</v>
      </c>
      <c r="D6" s="32">
        <v>11.841351517530301</v>
      </c>
      <c r="E6" s="32">
        <v>10.354047787068399</v>
      </c>
      <c r="F6" s="15">
        <v>11.764705882352899</v>
      </c>
      <c r="G6" s="15">
        <v>22.727272727272702</v>
      </c>
      <c r="H6" s="15">
        <v>8.3798882681564208</v>
      </c>
      <c r="I6" s="15">
        <v>5.9405940594059397</v>
      </c>
      <c r="J6" s="20" t="s">
        <v>80</v>
      </c>
      <c r="K6" s="20" t="s">
        <v>80</v>
      </c>
      <c r="L6" s="15">
        <v>17.757009345794401</v>
      </c>
      <c r="M6" s="20" t="s">
        <v>80</v>
      </c>
      <c r="N6" s="15">
        <v>4.8611111111111098</v>
      </c>
      <c r="O6" s="15">
        <v>8.8709677419354804</v>
      </c>
      <c r="P6" s="15">
        <v>5.7851239669421499</v>
      </c>
      <c r="Q6" s="20" t="s">
        <v>80</v>
      </c>
      <c r="R6" s="15">
        <v>12.7659574468085</v>
      </c>
      <c r="S6" s="20" t="s">
        <v>80</v>
      </c>
      <c r="T6" s="15">
        <v>18.604651162790699</v>
      </c>
      <c r="U6" s="20" t="s">
        <v>80</v>
      </c>
      <c r="V6" s="15">
        <v>26.315789473684202</v>
      </c>
      <c r="W6" s="15">
        <v>15.2173913043478</v>
      </c>
      <c r="X6" s="15">
        <v>16.2162162162162</v>
      </c>
      <c r="Y6" s="15">
        <v>6.8181818181818201</v>
      </c>
      <c r="Z6" s="15">
        <v>34.482758620689701</v>
      </c>
      <c r="AA6" s="20" t="s">
        <v>80</v>
      </c>
      <c r="AB6" s="20" t="s">
        <v>80</v>
      </c>
      <c r="AC6" s="20" t="s">
        <v>80</v>
      </c>
      <c r="AD6" s="20" t="s">
        <v>80</v>
      </c>
      <c r="AE6" s="20" t="s">
        <v>80</v>
      </c>
      <c r="AF6" s="15">
        <v>13.636363636363599</v>
      </c>
      <c r="AG6" s="20" t="s">
        <v>80</v>
      </c>
      <c r="AH6" s="15">
        <v>8.6021505376344098</v>
      </c>
      <c r="AI6" s="15">
        <v>10.714285714285699</v>
      </c>
      <c r="AJ6" s="32">
        <v>13.1425291136642</v>
      </c>
      <c r="AK6" s="15">
        <v>6.3609467455621296</v>
      </c>
      <c r="AL6" s="15">
        <v>11.546840958605699</v>
      </c>
      <c r="AM6" s="15">
        <v>15.6565656565657</v>
      </c>
      <c r="AN6" s="15">
        <v>31.3868613138686</v>
      </c>
      <c r="AO6" s="15">
        <v>14.371257485029901</v>
      </c>
      <c r="AP6" s="15">
        <v>14.712153518123699</v>
      </c>
      <c r="AQ6" s="15">
        <v>25</v>
      </c>
      <c r="AR6" s="24">
        <v>9.0909090909090899</v>
      </c>
      <c r="AS6" s="38"/>
    </row>
    <row r="7" spans="1:45">
      <c r="A7" s="9" t="s">
        <v>165</v>
      </c>
      <c r="B7" s="36">
        <v>1.11469054239633</v>
      </c>
      <c r="C7" s="32">
        <v>0.99265512225854102</v>
      </c>
      <c r="D7" s="32">
        <v>0.75207702473803495</v>
      </c>
      <c r="E7" s="32">
        <v>1.40396790038204</v>
      </c>
      <c r="F7" s="20" t="s">
        <v>80</v>
      </c>
      <c r="G7" s="20" t="s">
        <v>80</v>
      </c>
      <c r="H7" s="20" t="s">
        <v>80</v>
      </c>
      <c r="I7" s="20" t="s">
        <v>80</v>
      </c>
      <c r="J7" s="20" t="s">
        <v>80</v>
      </c>
      <c r="K7" s="20" t="s">
        <v>80</v>
      </c>
      <c r="L7" s="20" t="s">
        <v>80</v>
      </c>
      <c r="M7" s="20" t="s">
        <v>80</v>
      </c>
      <c r="N7" s="20" t="s">
        <v>80</v>
      </c>
      <c r="O7" s="20" t="s">
        <v>80</v>
      </c>
      <c r="P7" s="15">
        <v>5.7851239669421499</v>
      </c>
      <c r="Q7" s="20" t="s">
        <v>80</v>
      </c>
      <c r="R7" s="20" t="s">
        <v>80</v>
      </c>
      <c r="S7" s="20" t="s">
        <v>80</v>
      </c>
      <c r="T7" s="20" t="s">
        <v>80</v>
      </c>
      <c r="U7" s="20" t="s">
        <v>80</v>
      </c>
      <c r="V7" s="20" t="s">
        <v>80</v>
      </c>
      <c r="W7" s="20" t="s">
        <v>80</v>
      </c>
      <c r="X7" s="20" t="s">
        <v>80</v>
      </c>
      <c r="Y7" s="20" t="s">
        <v>80</v>
      </c>
      <c r="Z7" s="20" t="s">
        <v>80</v>
      </c>
      <c r="AA7" s="20" t="s">
        <v>80</v>
      </c>
      <c r="AB7" s="20" t="s">
        <v>80</v>
      </c>
      <c r="AC7" s="20" t="s">
        <v>80</v>
      </c>
      <c r="AD7" s="20" t="s">
        <v>80</v>
      </c>
      <c r="AE7" s="20" t="s">
        <v>80</v>
      </c>
      <c r="AF7" s="20" t="s">
        <v>80</v>
      </c>
      <c r="AG7" s="20" t="s">
        <v>80</v>
      </c>
      <c r="AH7" s="20" t="s">
        <v>80</v>
      </c>
      <c r="AI7" s="20" t="s">
        <v>80</v>
      </c>
      <c r="AJ7" s="34" t="s">
        <v>80</v>
      </c>
      <c r="AK7" s="20" t="s">
        <v>80</v>
      </c>
      <c r="AL7" s="20" t="s">
        <v>80</v>
      </c>
      <c r="AM7" s="20" t="s">
        <v>80</v>
      </c>
      <c r="AN7" s="20" t="s">
        <v>80</v>
      </c>
      <c r="AO7" s="20" t="s">
        <v>80</v>
      </c>
      <c r="AP7" s="20" t="s">
        <v>80</v>
      </c>
      <c r="AQ7" s="20" t="s">
        <v>80</v>
      </c>
      <c r="AR7" s="26" t="s">
        <v>80</v>
      </c>
      <c r="AS7" s="38"/>
    </row>
    <row r="8" spans="1:45">
      <c r="A8" s="9" t="s">
        <v>166</v>
      </c>
      <c r="B8" s="36">
        <v>0.74390752112428904</v>
      </c>
      <c r="C8" s="32">
        <v>0.34839369310059398</v>
      </c>
      <c r="D8" s="32">
        <v>0.84436240977244503</v>
      </c>
      <c r="E8" s="32">
        <v>1.2772314880670399</v>
      </c>
      <c r="F8" s="20" t="s">
        <v>80</v>
      </c>
      <c r="G8" s="20" t="s">
        <v>80</v>
      </c>
      <c r="H8" s="20" t="s">
        <v>80</v>
      </c>
      <c r="I8" s="20" t="s">
        <v>80</v>
      </c>
      <c r="J8" s="20" t="s">
        <v>80</v>
      </c>
      <c r="K8" s="20" t="s">
        <v>80</v>
      </c>
      <c r="L8" s="20" t="s">
        <v>80</v>
      </c>
      <c r="M8" s="20" t="s">
        <v>80</v>
      </c>
      <c r="N8" s="20" t="s">
        <v>80</v>
      </c>
      <c r="O8" s="20" t="s">
        <v>80</v>
      </c>
      <c r="P8" s="15">
        <v>8.2644628099173598</v>
      </c>
      <c r="Q8" s="20" t="s">
        <v>80</v>
      </c>
      <c r="R8" s="20" t="s">
        <v>80</v>
      </c>
      <c r="S8" s="20" t="s">
        <v>80</v>
      </c>
      <c r="T8" s="20" t="s">
        <v>80</v>
      </c>
      <c r="U8" s="20" t="s">
        <v>80</v>
      </c>
      <c r="V8" s="20" t="s">
        <v>80</v>
      </c>
      <c r="W8" s="20" t="s">
        <v>80</v>
      </c>
      <c r="X8" s="20" t="s">
        <v>80</v>
      </c>
      <c r="Y8" s="20" t="s">
        <v>80</v>
      </c>
      <c r="Z8" s="20" t="s">
        <v>80</v>
      </c>
      <c r="AA8" s="20" t="s">
        <v>80</v>
      </c>
      <c r="AB8" s="20" t="s">
        <v>80</v>
      </c>
      <c r="AC8" s="20" t="s">
        <v>80</v>
      </c>
      <c r="AD8" s="20" t="s">
        <v>80</v>
      </c>
      <c r="AE8" s="20" t="s">
        <v>80</v>
      </c>
      <c r="AF8" s="20" t="s">
        <v>80</v>
      </c>
      <c r="AG8" s="20" t="s">
        <v>80</v>
      </c>
      <c r="AH8" s="20" t="s">
        <v>80</v>
      </c>
      <c r="AI8" s="20" t="s">
        <v>80</v>
      </c>
      <c r="AJ8" s="34" t="s">
        <v>80</v>
      </c>
      <c r="AK8" s="20" t="s">
        <v>80</v>
      </c>
      <c r="AL8" s="20" t="s">
        <v>80</v>
      </c>
      <c r="AM8" s="15">
        <v>2.52525252525253</v>
      </c>
      <c r="AN8" s="20" t="s">
        <v>80</v>
      </c>
      <c r="AO8" s="20" t="s">
        <v>80</v>
      </c>
      <c r="AP8" s="20" t="s">
        <v>80</v>
      </c>
      <c r="AQ8" s="20" t="s">
        <v>80</v>
      </c>
      <c r="AR8" s="26" t="s">
        <v>80</v>
      </c>
      <c r="AS8" s="38"/>
    </row>
    <row r="9" spans="1:45">
      <c r="A9" s="9" t="s">
        <v>167</v>
      </c>
      <c r="B9" s="36">
        <v>0.93591155050893504</v>
      </c>
      <c r="C9" s="32">
        <v>0.71464423287554102</v>
      </c>
      <c r="D9" s="32">
        <v>0.51931830388003997</v>
      </c>
      <c r="E9" s="34" t="s">
        <v>80</v>
      </c>
      <c r="F9" s="20" t="s">
        <v>80</v>
      </c>
      <c r="G9" s="20" t="s">
        <v>80</v>
      </c>
      <c r="H9" s="20" t="s">
        <v>80</v>
      </c>
      <c r="I9" s="20" t="s">
        <v>80</v>
      </c>
      <c r="J9" s="20" t="s">
        <v>80</v>
      </c>
      <c r="K9" s="20" t="s">
        <v>80</v>
      </c>
      <c r="L9" s="20" t="s">
        <v>80</v>
      </c>
      <c r="M9" s="20" t="s">
        <v>80</v>
      </c>
      <c r="N9" s="20" t="s">
        <v>80</v>
      </c>
      <c r="O9" s="20" t="s">
        <v>80</v>
      </c>
      <c r="P9" s="20" t="s">
        <v>80</v>
      </c>
      <c r="Q9" s="20" t="s">
        <v>80</v>
      </c>
      <c r="R9" s="20" t="s">
        <v>80</v>
      </c>
      <c r="S9" s="20" t="s">
        <v>80</v>
      </c>
      <c r="T9" s="20" t="s">
        <v>80</v>
      </c>
      <c r="U9" s="20" t="s">
        <v>80</v>
      </c>
      <c r="V9" s="20" t="s">
        <v>80</v>
      </c>
      <c r="W9" s="20" t="s">
        <v>80</v>
      </c>
      <c r="X9" s="20" t="s">
        <v>80</v>
      </c>
      <c r="Y9" s="15">
        <v>3.7878787878787898</v>
      </c>
      <c r="Z9" s="20" t="s">
        <v>80</v>
      </c>
      <c r="AA9" s="20" t="s">
        <v>80</v>
      </c>
      <c r="AB9" s="20" t="s">
        <v>80</v>
      </c>
      <c r="AC9" s="20" t="s">
        <v>80</v>
      </c>
      <c r="AD9" s="20" t="s">
        <v>80</v>
      </c>
      <c r="AE9" s="20" t="s">
        <v>80</v>
      </c>
      <c r="AF9" s="20" t="s">
        <v>80</v>
      </c>
      <c r="AG9" s="20" t="s">
        <v>80</v>
      </c>
      <c r="AH9" s="20" t="s">
        <v>80</v>
      </c>
      <c r="AI9" s="20" t="s">
        <v>80</v>
      </c>
      <c r="AJ9" s="34" t="s">
        <v>80</v>
      </c>
      <c r="AK9" s="20" t="s">
        <v>80</v>
      </c>
      <c r="AL9" s="15">
        <v>1.7429193899782101</v>
      </c>
      <c r="AM9" s="20" t="s">
        <v>80</v>
      </c>
      <c r="AN9" s="20" t="s">
        <v>80</v>
      </c>
      <c r="AO9" s="20" t="s">
        <v>80</v>
      </c>
      <c r="AP9" s="20" t="s">
        <v>80</v>
      </c>
      <c r="AQ9" s="20" t="s">
        <v>80</v>
      </c>
      <c r="AR9" s="26" t="s">
        <v>80</v>
      </c>
      <c r="AS9" s="38"/>
    </row>
    <row r="10" spans="1:45">
      <c r="A10" s="9" t="s">
        <v>168</v>
      </c>
      <c r="B10" s="36">
        <v>1.2446848439082601</v>
      </c>
      <c r="C10" s="32">
        <v>1.04400763361938</v>
      </c>
      <c r="D10" s="32">
        <v>0.94667200171643695</v>
      </c>
      <c r="E10" s="34" t="s">
        <v>80</v>
      </c>
      <c r="F10" s="20" t="s">
        <v>80</v>
      </c>
      <c r="G10" s="20" t="s">
        <v>80</v>
      </c>
      <c r="H10" s="20" t="s">
        <v>80</v>
      </c>
      <c r="I10" s="20" t="s">
        <v>80</v>
      </c>
      <c r="J10" s="20" t="s">
        <v>80</v>
      </c>
      <c r="K10" s="20" t="s">
        <v>80</v>
      </c>
      <c r="L10" s="20" t="s">
        <v>80</v>
      </c>
      <c r="M10" s="20" t="s">
        <v>80</v>
      </c>
      <c r="N10" s="20" t="s">
        <v>80</v>
      </c>
      <c r="O10" s="20" t="s">
        <v>80</v>
      </c>
      <c r="P10" s="20" t="s">
        <v>80</v>
      </c>
      <c r="Q10" s="20" t="s">
        <v>80</v>
      </c>
      <c r="R10" s="20" t="s">
        <v>80</v>
      </c>
      <c r="S10" s="20" t="s">
        <v>80</v>
      </c>
      <c r="T10" s="20" t="s">
        <v>80</v>
      </c>
      <c r="U10" s="20" t="s">
        <v>80</v>
      </c>
      <c r="V10" s="20" t="s">
        <v>80</v>
      </c>
      <c r="W10" s="20" t="s">
        <v>80</v>
      </c>
      <c r="X10" s="20" t="s">
        <v>80</v>
      </c>
      <c r="Y10" s="20" t="s">
        <v>80</v>
      </c>
      <c r="Z10" s="20" t="s">
        <v>80</v>
      </c>
      <c r="AA10" s="20" t="s">
        <v>80</v>
      </c>
      <c r="AB10" s="20" t="s">
        <v>80</v>
      </c>
      <c r="AC10" s="20" t="s">
        <v>80</v>
      </c>
      <c r="AD10" s="20" t="s">
        <v>80</v>
      </c>
      <c r="AE10" s="20" t="s">
        <v>80</v>
      </c>
      <c r="AF10" s="20" t="s">
        <v>80</v>
      </c>
      <c r="AG10" s="20" t="s">
        <v>80</v>
      </c>
      <c r="AH10" s="20" t="s">
        <v>80</v>
      </c>
      <c r="AI10" s="20" t="s">
        <v>80</v>
      </c>
      <c r="AJ10" s="32">
        <v>1.20255890924168</v>
      </c>
      <c r="AK10" s="20" t="s">
        <v>80</v>
      </c>
      <c r="AL10" s="20" t="s">
        <v>80</v>
      </c>
      <c r="AM10" s="20" t="s">
        <v>80</v>
      </c>
      <c r="AN10" s="20" t="s">
        <v>80</v>
      </c>
      <c r="AO10" s="20" t="s">
        <v>80</v>
      </c>
      <c r="AP10" s="15">
        <v>3.41151385927505</v>
      </c>
      <c r="AQ10" s="20" t="s">
        <v>80</v>
      </c>
      <c r="AR10" s="26" t="s">
        <v>80</v>
      </c>
      <c r="AS10" s="38"/>
    </row>
    <row r="11" spans="1:45">
      <c r="A11" s="9" t="s">
        <v>169</v>
      </c>
      <c r="B11" s="36">
        <v>1.5255837415087501</v>
      </c>
      <c r="C11" s="32">
        <v>1.0771688728947999</v>
      </c>
      <c r="D11" s="32">
        <v>1.45436731682137</v>
      </c>
      <c r="E11" s="32">
        <v>2.0147673259232</v>
      </c>
      <c r="F11" s="20" t="s">
        <v>80</v>
      </c>
      <c r="G11" s="20" t="s">
        <v>80</v>
      </c>
      <c r="H11" s="15">
        <v>2.7932960893854699</v>
      </c>
      <c r="I11" s="20" t="s">
        <v>80</v>
      </c>
      <c r="J11" s="20" t="s">
        <v>80</v>
      </c>
      <c r="K11" s="20" t="s">
        <v>80</v>
      </c>
      <c r="L11" s="20" t="s">
        <v>80</v>
      </c>
      <c r="M11" s="20" t="s">
        <v>80</v>
      </c>
      <c r="N11" s="20" t="s">
        <v>80</v>
      </c>
      <c r="O11" s="20" t="s">
        <v>80</v>
      </c>
      <c r="P11" s="20" t="s">
        <v>80</v>
      </c>
      <c r="Q11" s="20" t="s">
        <v>80</v>
      </c>
      <c r="R11" s="20" t="s">
        <v>80</v>
      </c>
      <c r="S11" s="20" t="s">
        <v>80</v>
      </c>
      <c r="T11" s="20" t="s">
        <v>80</v>
      </c>
      <c r="U11" s="20" t="s">
        <v>80</v>
      </c>
      <c r="V11" s="20" t="s">
        <v>80</v>
      </c>
      <c r="W11" s="20" t="s">
        <v>80</v>
      </c>
      <c r="X11" s="20" t="s">
        <v>80</v>
      </c>
      <c r="Y11" s="20" t="s">
        <v>80</v>
      </c>
      <c r="Z11" s="20" t="s">
        <v>80</v>
      </c>
      <c r="AA11" s="20" t="s">
        <v>80</v>
      </c>
      <c r="AB11" s="20" t="s">
        <v>80</v>
      </c>
      <c r="AC11" s="20" t="s">
        <v>80</v>
      </c>
      <c r="AD11" s="20" t="s">
        <v>80</v>
      </c>
      <c r="AE11" s="20" t="s">
        <v>80</v>
      </c>
      <c r="AF11" s="20" t="s">
        <v>80</v>
      </c>
      <c r="AG11" s="20" t="s">
        <v>80</v>
      </c>
      <c r="AH11" s="20" t="s">
        <v>80</v>
      </c>
      <c r="AI11" s="20" t="s">
        <v>80</v>
      </c>
      <c r="AJ11" s="34" t="s">
        <v>80</v>
      </c>
      <c r="AK11" s="20" t="s">
        <v>80</v>
      </c>
      <c r="AL11" s="15">
        <v>1.7429193899782101</v>
      </c>
      <c r="AM11" s="20" t="s">
        <v>80</v>
      </c>
      <c r="AN11" s="20" t="s">
        <v>80</v>
      </c>
      <c r="AO11" s="20" t="s">
        <v>80</v>
      </c>
      <c r="AP11" s="20" t="s">
        <v>80</v>
      </c>
      <c r="AQ11" s="20" t="s">
        <v>80</v>
      </c>
      <c r="AR11" s="26" t="s">
        <v>80</v>
      </c>
      <c r="AS11" s="38"/>
    </row>
    <row r="12" spans="1:45">
      <c r="A12" s="9" t="s">
        <v>170</v>
      </c>
      <c r="B12" s="36">
        <v>0.79365793232437898</v>
      </c>
      <c r="C12" s="32">
        <v>0.50960545448690098</v>
      </c>
      <c r="D12" s="32">
        <v>0.48599344200675298</v>
      </c>
      <c r="E12" s="34" t="s">
        <v>80</v>
      </c>
      <c r="F12" s="20" t="s">
        <v>80</v>
      </c>
      <c r="G12" s="20" t="s">
        <v>80</v>
      </c>
      <c r="H12" s="20" t="s">
        <v>80</v>
      </c>
      <c r="I12" s="20" t="s">
        <v>80</v>
      </c>
      <c r="J12" s="20" t="s">
        <v>80</v>
      </c>
      <c r="K12" s="20" t="s">
        <v>80</v>
      </c>
      <c r="L12" s="20" t="s">
        <v>80</v>
      </c>
      <c r="M12" s="20" t="s">
        <v>80</v>
      </c>
      <c r="N12" s="20" t="s">
        <v>80</v>
      </c>
      <c r="O12" s="20" t="s">
        <v>80</v>
      </c>
      <c r="P12" s="15">
        <v>4.95867768595041</v>
      </c>
      <c r="Q12" s="20" t="s">
        <v>80</v>
      </c>
      <c r="R12" s="20" t="s">
        <v>80</v>
      </c>
      <c r="S12" s="20" t="s">
        <v>80</v>
      </c>
      <c r="T12" s="20" t="s">
        <v>80</v>
      </c>
      <c r="U12" s="20" t="s">
        <v>80</v>
      </c>
      <c r="V12" s="20" t="s">
        <v>80</v>
      </c>
      <c r="W12" s="20" t="s">
        <v>80</v>
      </c>
      <c r="X12" s="20" t="s">
        <v>80</v>
      </c>
      <c r="Y12" s="15">
        <v>7.5757575757575797</v>
      </c>
      <c r="Z12" s="20" t="s">
        <v>80</v>
      </c>
      <c r="AA12" s="20" t="s">
        <v>80</v>
      </c>
      <c r="AB12" s="20" t="s">
        <v>80</v>
      </c>
      <c r="AC12" s="20" t="s">
        <v>80</v>
      </c>
      <c r="AD12" s="20" t="s">
        <v>80</v>
      </c>
      <c r="AE12" s="20" t="s">
        <v>80</v>
      </c>
      <c r="AF12" s="20" t="s">
        <v>80</v>
      </c>
      <c r="AG12" s="20" t="s">
        <v>80</v>
      </c>
      <c r="AH12" s="20" t="s">
        <v>80</v>
      </c>
      <c r="AI12" s="20" t="s">
        <v>80</v>
      </c>
      <c r="AJ12" s="34" t="s">
        <v>80</v>
      </c>
      <c r="AK12" s="20" t="s">
        <v>80</v>
      </c>
      <c r="AL12" s="20" t="s">
        <v>80</v>
      </c>
      <c r="AM12" s="20" t="s">
        <v>80</v>
      </c>
      <c r="AN12" s="20" t="s">
        <v>80</v>
      </c>
      <c r="AO12" s="20" t="s">
        <v>80</v>
      </c>
      <c r="AP12" s="20" t="s">
        <v>80</v>
      </c>
      <c r="AQ12" s="20" t="s">
        <v>80</v>
      </c>
      <c r="AR12" s="26" t="s">
        <v>80</v>
      </c>
      <c r="AS12" s="38"/>
    </row>
    <row r="13" spans="1:45">
      <c r="A13" s="9" t="s">
        <v>171</v>
      </c>
      <c r="B13" s="36">
        <v>0.82747420445404496</v>
      </c>
      <c r="C13" s="32">
        <v>0.66449403247837402</v>
      </c>
      <c r="D13" s="32">
        <v>0.62187140187868195</v>
      </c>
      <c r="E13" s="34" t="s">
        <v>80</v>
      </c>
      <c r="F13" s="20" t="s">
        <v>80</v>
      </c>
      <c r="G13" s="20" t="s">
        <v>80</v>
      </c>
      <c r="H13" s="20" t="s">
        <v>80</v>
      </c>
      <c r="I13" s="20" t="s">
        <v>80</v>
      </c>
      <c r="J13" s="20" t="s">
        <v>80</v>
      </c>
      <c r="K13" s="20" t="s">
        <v>80</v>
      </c>
      <c r="L13" s="20" t="s">
        <v>80</v>
      </c>
      <c r="M13" s="20" t="s">
        <v>80</v>
      </c>
      <c r="N13" s="20" t="s">
        <v>80</v>
      </c>
      <c r="O13" s="20" t="s">
        <v>80</v>
      </c>
      <c r="P13" s="20" t="s">
        <v>80</v>
      </c>
      <c r="Q13" s="20" t="s">
        <v>80</v>
      </c>
      <c r="R13" s="20" t="s">
        <v>80</v>
      </c>
      <c r="S13" s="20" t="s">
        <v>80</v>
      </c>
      <c r="T13" s="20" t="s">
        <v>80</v>
      </c>
      <c r="U13" s="20" t="s">
        <v>80</v>
      </c>
      <c r="V13" s="20" t="s">
        <v>80</v>
      </c>
      <c r="W13" s="20" t="s">
        <v>80</v>
      </c>
      <c r="X13" s="20" t="s">
        <v>80</v>
      </c>
      <c r="Y13" s="20" t="s">
        <v>80</v>
      </c>
      <c r="Z13" s="20" t="s">
        <v>80</v>
      </c>
      <c r="AA13" s="20" t="s">
        <v>80</v>
      </c>
      <c r="AB13" s="20" t="s">
        <v>80</v>
      </c>
      <c r="AC13" s="20" t="s">
        <v>80</v>
      </c>
      <c r="AD13" s="20" t="s">
        <v>80</v>
      </c>
      <c r="AE13" s="20" t="s">
        <v>80</v>
      </c>
      <c r="AF13" s="20" t="s">
        <v>80</v>
      </c>
      <c r="AG13" s="20" t="s">
        <v>80</v>
      </c>
      <c r="AH13" s="20" t="s">
        <v>80</v>
      </c>
      <c r="AI13" s="20" t="s">
        <v>80</v>
      </c>
      <c r="AJ13" s="34" t="s">
        <v>80</v>
      </c>
      <c r="AK13" s="20" t="s">
        <v>80</v>
      </c>
      <c r="AL13" s="20" t="s">
        <v>80</v>
      </c>
      <c r="AM13" s="20" t="s">
        <v>80</v>
      </c>
      <c r="AN13" s="20" t="s">
        <v>80</v>
      </c>
      <c r="AO13" s="20" t="s">
        <v>80</v>
      </c>
      <c r="AP13" s="20" t="s">
        <v>80</v>
      </c>
      <c r="AQ13" s="20" t="s">
        <v>80</v>
      </c>
      <c r="AR13" s="26" t="s">
        <v>80</v>
      </c>
      <c r="AS13" s="38"/>
    </row>
    <row r="14" spans="1:45">
      <c r="A14" s="9" t="s">
        <v>172</v>
      </c>
      <c r="B14" s="36">
        <v>2.0447968472935401</v>
      </c>
      <c r="C14" s="32">
        <v>2.0283379860994599</v>
      </c>
      <c r="D14" s="32">
        <v>2.5536133596416799</v>
      </c>
      <c r="E14" s="32">
        <v>3.1414909984166601</v>
      </c>
      <c r="F14" s="15">
        <v>17.647058823529399</v>
      </c>
      <c r="G14" s="20" t="s">
        <v>80</v>
      </c>
      <c r="H14" s="15">
        <v>5.5865921787709496</v>
      </c>
      <c r="I14" s="15">
        <v>8.9108910891089099</v>
      </c>
      <c r="J14" s="20" t="s">
        <v>80</v>
      </c>
      <c r="K14" s="20" t="s">
        <v>80</v>
      </c>
      <c r="L14" s="20" t="s">
        <v>80</v>
      </c>
      <c r="M14" s="20" t="s">
        <v>80</v>
      </c>
      <c r="N14" s="20" t="s">
        <v>80</v>
      </c>
      <c r="O14" s="15">
        <v>4.0322580645161299</v>
      </c>
      <c r="P14" s="15">
        <v>4.1322314049586799</v>
      </c>
      <c r="Q14" s="20" t="s">
        <v>80</v>
      </c>
      <c r="R14" s="20" t="s">
        <v>80</v>
      </c>
      <c r="S14" s="20" t="s">
        <v>80</v>
      </c>
      <c r="T14" s="20" t="s">
        <v>80</v>
      </c>
      <c r="U14" s="20" t="s">
        <v>80</v>
      </c>
      <c r="V14" s="20" t="s">
        <v>80</v>
      </c>
      <c r="W14" s="20" t="s">
        <v>80</v>
      </c>
      <c r="X14" s="20" t="s">
        <v>80</v>
      </c>
      <c r="Y14" s="20" t="s">
        <v>80</v>
      </c>
      <c r="Z14" s="20" t="s">
        <v>80</v>
      </c>
      <c r="AA14" s="20" t="s">
        <v>80</v>
      </c>
      <c r="AB14" s="20" t="s">
        <v>80</v>
      </c>
      <c r="AC14" s="20" t="s">
        <v>80</v>
      </c>
      <c r="AD14" s="20" t="s">
        <v>80</v>
      </c>
      <c r="AE14" s="20" t="s">
        <v>80</v>
      </c>
      <c r="AF14" s="20" t="s">
        <v>80</v>
      </c>
      <c r="AG14" s="20" t="s">
        <v>80</v>
      </c>
      <c r="AH14" s="20" t="s">
        <v>80</v>
      </c>
      <c r="AI14" s="20" t="s">
        <v>80</v>
      </c>
      <c r="AJ14" s="32">
        <v>2.0393046833603998</v>
      </c>
      <c r="AK14" s="15">
        <v>4.8816568047337299</v>
      </c>
      <c r="AL14" s="15">
        <v>1.9607843137254899</v>
      </c>
      <c r="AM14" s="20" t="s">
        <v>80</v>
      </c>
      <c r="AN14" s="20" t="s">
        <v>80</v>
      </c>
      <c r="AO14" s="20" t="s">
        <v>80</v>
      </c>
      <c r="AP14" s="15">
        <v>2.5586353944562901</v>
      </c>
      <c r="AQ14" s="20" t="s">
        <v>80</v>
      </c>
      <c r="AR14" s="26" t="s">
        <v>80</v>
      </c>
      <c r="AS14" s="38"/>
    </row>
    <row r="15" spans="1:45">
      <c r="A15" s="9" t="s">
        <v>173</v>
      </c>
      <c r="B15" s="36">
        <v>9.9123946879888294</v>
      </c>
      <c r="C15" s="32">
        <v>11.314123937646899</v>
      </c>
      <c r="D15" s="32">
        <v>14.375973289362401</v>
      </c>
      <c r="E15" s="32">
        <v>17.0046945683968</v>
      </c>
      <c r="F15" s="15">
        <v>37.254901960784302</v>
      </c>
      <c r="G15" s="20" t="s">
        <v>80</v>
      </c>
      <c r="H15" s="15">
        <v>30.726256983240201</v>
      </c>
      <c r="I15" s="15">
        <v>22.7722772277228</v>
      </c>
      <c r="J15" s="15">
        <v>17.1428571428571</v>
      </c>
      <c r="K15" s="20" t="s">
        <v>80</v>
      </c>
      <c r="L15" s="15">
        <v>6.5420560747663501</v>
      </c>
      <c r="M15" s="15">
        <v>16.6666666666667</v>
      </c>
      <c r="N15" s="15">
        <v>8.3333333333333304</v>
      </c>
      <c r="O15" s="20" t="s">
        <v>80</v>
      </c>
      <c r="P15" s="15">
        <v>17.355371900826398</v>
      </c>
      <c r="Q15" s="15">
        <v>29.411764705882401</v>
      </c>
      <c r="R15" s="15">
        <v>12.7659574468085</v>
      </c>
      <c r="S15" s="15">
        <v>10.869565217391299</v>
      </c>
      <c r="T15" s="20" t="s">
        <v>80</v>
      </c>
      <c r="U15" s="15">
        <v>21.428571428571399</v>
      </c>
      <c r="V15" s="15">
        <v>23.684210526315798</v>
      </c>
      <c r="W15" s="15">
        <v>10.869565217391299</v>
      </c>
      <c r="X15" s="15">
        <v>33.3333333333333</v>
      </c>
      <c r="Y15" s="15">
        <v>6.0606060606060597</v>
      </c>
      <c r="Z15" s="20" t="s">
        <v>80</v>
      </c>
      <c r="AA15" s="20" t="s">
        <v>80</v>
      </c>
      <c r="AB15" s="20" t="s">
        <v>80</v>
      </c>
      <c r="AC15" s="15">
        <v>14.285714285714301</v>
      </c>
      <c r="AD15" s="20" t="s">
        <v>80</v>
      </c>
      <c r="AE15" s="15">
        <v>15.1515151515152</v>
      </c>
      <c r="AF15" s="15">
        <v>11.363636363636401</v>
      </c>
      <c r="AG15" s="15">
        <v>33.3333333333333</v>
      </c>
      <c r="AH15" s="15">
        <v>10.752688172042999</v>
      </c>
      <c r="AI15" s="15">
        <v>21.428571428571399</v>
      </c>
      <c r="AJ15" s="32">
        <v>12.0762189320613</v>
      </c>
      <c r="AK15" s="15">
        <v>6.8047337278106497</v>
      </c>
      <c r="AL15" s="15">
        <v>9.5860566448801805</v>
      </c>
      <c r="AM15" s="15">
        <v>17.6767676767677</v>
      </c>
      <c r="AN15" s="15">
        <v>33.576642335766401</v>
      </c>
      <c r="AO15" s="15">
        <v>17.365269461077801</v>
      </c>
      <c r="AP15" s="15">
        <v>11.9402985074627</v>
      </c>
      <c r="AQ15" s="15">
        <v>17.647058823529399</v>
      </c>
      <c r="AR15" s="24">
        <v>9.6969696969697008</v>
      </c>
      <c r="AS15" s="38"/>
    </row>
    <row r="16" spans="1:45">
      <c r="A16" s="9" t="s">
        <v>174</v>
      </c>
      <c r="B16" s="36">
        <v>0.37203131627804897</v>
      </c>
      <c r="C16" s="32">
        <v>0.65337019641155103</v>
      </c>
      <c r="D16" s="34" t="s">
        <v>80</v>
      </c>
      <c r="E16" s="34" t="s">
        <v>80</v>
      </c>
      <c r="F16" s="20" t="s">
        <v>80</v>
      </c>
      <c r="G16" s="20" t="s">
        <v>80</v>
      </c>
      <c r="H16" s="20" t="s">
        <v>80</v>
      </c>
      <c r="I16" s="20" t="s">
        <v>80</v>
      </c>
      <c r="J16" s="20" t="s">
        <v>80</v>
      </c>
      <c r="K16" s="20" t="s">
        <v>80</v>
      </c>
      <c r="L16" s="20" t="s">
        <v>80</v>
      </c>
      <c r="M16" s="20" t="s">
        <v>80</v>
      </c>
      <c r="N16" s="20" t="s">
        <v>80</v>
      </c>
      <c r="O16" s="20" t="s">
        <v>80</v>
      </c>
      <c r="P16" s="20" t="s">
        <v>80</v>
      </c>
      <c r="Q16" s="20" t="s">
        <v>80</v>
      </c>
      <c r="R16" s="20" t="s">
        <v>80</v>
      </c>
      <c r="S16" s="20" t="s">
        <v>80</v>
      </c>
      <c r="T16" s="20" t="s">
        <v>80</v>
      </c>
      <c r="U16" s="20" t="s">
        <v>80</v>
      </c>
      <c r="V16" s="20" t="s">
        <v>80</v>
      </c>
      <c r="W16" s="20" t="s">
        <v>80</v>
      </c>
      <c r="X16" s="15">
        <v>9.0090090090090094</v>
      </c>
      <c r="Y16" s="20" t="s">
        <v>80</v>
      </c>
      <c r="Z16" s="20" t="s">
        <v>80</v>
      </c>
      <c r="AA16" s="20" t="s">
        <v>80</v>
      </c>
      <c r="AB16" s="20" t="s">
        <v>80</v>
      </c>
      <c r="AC16" s="20" t="s">
        <v>80</v>
      </c>
      <c r="AD16" s="20" t="s">
        <v>80</v>
      </c>
      <c r="AE16" s="20" t="s">
        <v>80</v>
      </c>
      <c r="AF16" s="20" t="s">
        <v>80</v>
      </c>
      <c r="AG16" s="20" t="s">
        <v>80</v>
      </c>
      <c r="AH16" s="20" t="s">
        <v>80</v>
      </c>
      <c r="AI16" s="20" t="s">
        <v>80</v>
      </c>
      <c r="AJ16" s="34" t="s">
        <v>80</v>
      </c>
      <c r="AK16" s="20" t="s">
        <v>80</v>
      </c>
      <c r="AL16" s="20" t="s">
        <v>80</v>
      </c>
      <c r="AM16" s="20" t="s">
        <v>80</v>
      </c>
      <c r="AN16" s="20" t="s">
        <v>80</v>
      </c>
      <c r="AO16" s="20" t="s">
        <v>80</v>
      </c>
      <c r="AP16" s="20" t="s">
        <v>80</v>
      </c>
      <c r="AQ16" s="20" t="s">
        <v>80</v>
      </c>
      <c r="AR16" s="26" t="s">
        <v>80</v>
      </c>
      <c r="AS16" s="38"/>
    </row>
    <row r="17" spans="1:45">
      <c r="A17" s="9" t="s">
        <v>175</v>
      </c>
      <c r="B17" s="36">
        <v>2.41239215565317</v>
      </c>
      <c r="C17" s="32">
        <v>2.5078551425840598</v>
      </c>
      <c r="D17" s="32">
        <v>2.13332693901532</v>
      </c>
      <c r="E17" s="32">
        <v>4.2773534893241001</v>
      </c>
      <c r="F17" s="20" t="s">
        <v>80</v>
      </c>
      <c r="G17" s="20" t="s">
        <v>80</v>
      </c>
      <c r="H17" s="20" t="s">
        <v>80</v>
      </c>
      <c r="I17" s="15">
        <v>4.9504950495049496</v>
      </c>
      <c r="J17" s="20" t="s">
        <v>80</v>
      </c>
      <c r="K17" s="20" t="s">
        <v>80</v>
      </c>
      <c r="L17" s="20" t="s">
        <v>80</v>
      </c>
      <c r="M17" s="20" t="s">
        <v>80</v>
      </c>
      <c r="N17" s="15">
        <v>3.4722222222222201</v>
      </c>
      <c r="O17" s="15">
        <v>4.8387096774193497</v>
      </c>
      <c r="P17" s="15">
        <v>20.6611570247934</v>
      </c>
      <c r="Q17" s="20" t="s">
        <v>80</v>
      </c>
      <c r="R17" s="20" t="s">
        <v>80</v>
      </c>
      <c r="S17" s="20" t="s">
        <v>80</v>
      </c>
      <c r="T17" s="20" t="s">
        <v>80</v>
      </c>
      <c r="U17" s="20" t="s">
        <v>80</v>
      </c>
      <c r="V17" s="20" t="s">
        <v>80</v>
      </c>
      <c r="W17" s="20" t="s">
        <v>80</v>
      </c>
      <c r="X17" s="15">
        <v>10.8108108108108</v>
      </c>
      <c r="Y17" s="20" t="s">
        <v>80</v>
      </c>
      <c r="Z17" s="15">
        <v>20.689655172413801</v>
      </c>
      <c r="AA17" s="20" t="s">
        <v>80</v>
      </c>
      <c r="AB17" s="20" t="s">
        <v>80</v>
      </c>
      <c r="AC17" s="20" t="s">
        <v>80</v>
      </c>
      <c r="AD17" s="20" t="s">
        <v>80</v>
      </c>
      <c r="AE17" s="20" t="s">
        <v>80</v>
      </c>
      <c r="AF17" s="20" t="s">
        <v>80</v>
      </c>
      <c r="AG17" s="20" t="s">
        <v>80</v>
      </c>
      <c r="AH17" s="20" t="s">
        <v>80</v>
      </c>
      <c r="AI17" s="20" t="s">
        <v>80</v>
      </c>
      <c r="AJ17" s="34" t="s">
        <v>80</v>
      </c>
      <c r="AK17" s="20" t="s">
        <v>80</v>
      </c>
      <c r="AL17" s="20" t="s">
        <v>80</v>
      </c>
      <c r="AM17" s="20" t="s">
        <v>80</v>
      </c>
      <c r="AN17" s="20" t="s">
        <v>80</v>
      </c>
      <c r="AO17" s="20" t="s">
        <v>80</v>
      </c>
      <c r="AP17" s="20" t="s">
        <v>80</v>
      </c>
      <c r="AQ17" s="20" t="s">
        <v>80</v>
      </c>
      <c r="AR17" s="26" t="s">
        <v>80</v>
      </c>
      <c r="AS17" s="38"/>
    </row>
    <row r="18" spans="1:45">
      <c r="A18" s="9" t="s">
        <v>176</v>
      </c>
      <c r="B18" s="36">
        <v>7.6260250310764901</v>
      </c>
      <c r="C18" s="32">
        <v>6.49683537459065</v>
      </c>
      <c r="D18" s="32">
        <v>5.7093907268570696</v>
      </c>
      <c r="E18" s="32">
        <v>9.4597446771624707</v>
      </c>
      <c r="F18" s="15">
        <v>15.6862745098039</v>
      </c>
      <c r="G18" s="20" t="s">
        <v>80</v>
      </c>
      <c r="H18" s="15">
        <v>5.0279329608938497</v>
      </c>
      <c r="I18" s="15">
        <v>4.9504950495049496</v>
      </c>
      <c r="J18" s="20" t="s">
        <v>80</v>
      </c>
      <c r="K18" s="20" t="s">
        <v>80</v>
      </c>
      <c r="L18" s="15">
        <v>5.6074766355140202</v>
      </c>
      <c r="M18" s="15">
        <v>11.9047619047619</v>
      </c>
      <c r="N18" s="15">
        <v>22.2222222222222</v>
      </c>
      <c r="O18" s="15">
        <v>7.2580645161290303</v>
      </c>
      <c r="P18" s="15">
        <v>11.5702479338843</v>
      </c>
      <c r="Q18" s="15">
        <v>29.411764705882401</v>
      </c>
      <c r="R18" s="20" t="s">
        <v>80</v>
      </c>
      <c r="S18" s="20" t="s">
        <v>80</v>
      </c>
      <c r="T18" s="20" t="s">
        <v>80</v>
      </c>
      <c r="U18" s="20" t="s">
        <v>80</v>
      </c>
      <c r="V18" s="20" t="s">
        <v>80</v>
      </c>
      <c r="W18" s="20" t="s">
        <v>80</v>
      </c>
      <c r="X18" s="15">
        <v>5.4054054054054097</v>
      </c>
      <c r="Y18" s="15">
        <v>6.8181818181818201</v>
      </c>
      <c r="Z18" s="20" t="s">
        <v>80</v>
      </c>
      <c r="AA18" s="20" t="s">
        <v>80</v>
      </c>
      <c r="AB18" s="20" t="s">
        <v>80</v>
      </c>
      <c r="AC18" s="20" t="s">
        <v>80</v>
      </c>
      <c r="AD18" s="20" t="s">
        <v>80</v>
      </c>
      <c r="AE18" s="15">
        <v>18.181818181818201</v>
      </c>
      <c r="AF18" s="20" t="s">
        <v>80</v>
      </c>
      <c r="AG18" s="20" t="s">
        <v>80</v>
      </c>
      <c r="AH18" s="20" t="s">
        <v>80</v>
      </c>
      <c r="AI18" s="20" t="s">
        <v>80</v>
      </c>
      <c r="AJ18" s="32">
        <v>2.4283685403573001</v>
      </c>
      <c r="AK18" s="15">
        <v>1.0355029585798801</v>
      </c>
      <c r="AL18" s="15">
        <v>1.9607843137254899</v>
      </c>
      <c r="AM18" s="15">
        <v>8.0808080808080796</v>
      </c>
      <c r="AN18" s="20" t="s">
        <v>80</v>
      </c>
      <c r="AO18" s="15">
        <v>3.8922155688622802</v>
      </c>
      <c r="AP18" s="15">
        <v>3.83795309168443</v>
      </c>
      <c r="AQ18" s="20" t="s">
        <v>80</v>
      </c>
      <c r="AR18" s="24">
        <v>1.51515151515152</v>
      </c>
      <c r="AS18" s="38"/>
    </row>
    <row r="19" spans="1:45">
      <c r="A19" s="9" t="s">
        <v>177</v>
      </c>
      <c r="B19" s="36">
        <v>13.444610326324</v>
      </c>
      <c r="C19" s="32">
        <v>13.6645804119059</v>
      </c>
      <c r="D19" s="32">
        <v>13.3614176038369</v>
      </c>
      <c r="E19" s="32">
        <v>14.5190567154834</v>
      </c>
      <c r="F19" s="15">
        <v>19.6078431372549</v>
      </c>
      <c r="G19" s="15">
        <v>31.818181818181799</v>
      </c>
      <c r="H19" s="15">
        <v>11.173184357541899</v>
      </c>
      <c r="I19" s="15">
        <v>11.881188118811901</v>
      </c>
      <c r="J19" s="20" t="s">
        <v>80</v>
      </c>
      <c r="K19" s="20" t="s">
        <v>80</v>
      </c>
      <c r="L19" s="15">
        <v>24.299065420560702</v>
      </c>
      <c r="M19" s="15">
        <v>5.9523809523809499</v>
      </c>
      <c r="N19" s="15">
        <v>4.1666666666666696</v>
      </c>
      <c r="O19" s="15">
        <v>4.8387096774193497</v>
      </c>
      <c r="P19" s="15">
        <v>13.223140495867799</v>
      </c>
      <c r="Q19" s="15">
        <v>41.176470588235297</v>
      </c>
      <c r="R19" s="15">
        <v>10.6382978723404</v>
      </c>
      <c r="S19" s="20" t="s">
        <v>80</v>
      </c>
      <c r="T19" s="20" t="s">
        <v>80</v>
      </c>
      <c r="U19" s="15">
        <v>10.714285714285699</v>
      </c>
      <c r="V19" s="20" t="s">
        <v>80</v>
      </c>
      <c r="W19" s="15">
        <v>19.565217391304301</v>
      </c>
      <c r="X19" s="15">
        <v>23.423423423423401</v>
      </c>
      <c r="Y19" s="15">
        <v>20.454545454545499</v>
      </c>
      <c r="Z19" s="15">
        <v>17.241379310344801</v>
      </c>
      <c r="AA19" s="15">
        <v>10.869565217391299</v>
      </c>
      <c r="AB19" s="20" t="s">
        <v>80</v>
      </c>
      <c r="AC19" s="15">
        <v>16.6666666666667</v>
      </c>
      <c r="AD19" s="20" t="s">
        <v>80</v>
      </c>
      <c r="AE19" s="20" t="s">
        <v>80</v>
      </c>
      <c r="AF19" s="15">
        <v>20.454545454545499</v>
      </c>
      <c r="AG19" s="15">
        <v>33.3333333333333</v>
      </c>
      <c r="AH19" s="15">
        <v>6.4516129032258096</v>
      </c>
      <c r="AI19" s="15">
        <v>30.3571428571429</v>
      </c>
      <c r="AJ19" s="32">
        <v>12.348649299937801</v>
      </c>
      <c r="AK19" s="15">
        <v>12.2781065088757</v>
      </c>
      <c r="AL19" s="15">
        <v>12.636165577342</v>
      </c>
      <c r="AM19" s="15">
        <v>10.6060606060606</v>
      </c>
      <c r="AN19" s="15">
        <v>17.518248175182499</v>
      </c>
      <c r="AO19" s="15">
        <v>11.6766467065868</v>
      </c>
      <c r="AP19" s="15">
        <v>13.4328358208955</v>
      </c>
      <c r="AQ19" s="15">
        <v>22.0588235294118</v>
      </c>
      <c r="AR19" s="24">
        <v>11.2121212121212</v>
      </c>
      <c r="AS19" s="38"/>
    </row>
    <row r="20" spans="1:45">
      <c r="A20" s="9" t="s">
        <v>178</v>
      </c>
      <c r="B20" s="36">
        <v>0.46537175562595501</v>
      </c>
      <c r="C20" s="32">
        <v>0.39205599649332301</v>
      </c>
      <c r="D20" s="34" t="s">
        <v>80</v>
      </c>
      <c r="E20" s="34" t="s">
        <v>80</v>
      </c>
      <c r="F20" s="20" t="s">
        <v>80</v>
      </c>
      <c r="G20" s="20" t="s">
        <v>80</v>
      </c>
      <c r="H20" s="20" t="s">
        <v>80</v>
      </c>
      <c r="I20" s="20" t="s">
        <v>80</v>
      </c>
      <c r="J20" s="20" t="s">
        <v>80</v>
      </c>
      <c r="K20" s="20" t="s">
        <v>80</v>
      </c>
      <c r="L20" s="20" t="s">
        <v>80</v>
      </c>
      <c r="M20" s="20" t="s">
        <v>80</v>
      </c>
      <c r="N20" s="20" t="s">
        <v>80</v>
      </c>
      <c r="O20" s="20" t="s">
        <v>80</v>
      </c>
      <c r="P20" s="20" t="s">
        <v>80</v>
      </c>
      <c r="Q20" s="20" t="s">
        <v>80</v>
      </c>
      <c r="R20" s="20" t="s">
        <v>80</v>
      </c>
      <c r="S20" s="20" t="s">
        <v>80</v>
      </c>
      <c r="T20" s="20" t="s">
        <v>80</v>
      </c>
      <c r="U20" s="20" t="s">
        <v>80</v>
      </c>
      <c r="V20" s="20" t="s">
        <v>80</v>
      </c>
      <c r="W20" s="20" t="s">
        <v>80</v>
      </c>
      <c r="X20" s="20" t="s">
        <v>80</v>
      </c>
      <c r="Y20" s="20" t="s">
        <v>80</v>
      </c>
      <c r="Z20" s="20" t="s">
        <v>80</v>
      </c>
      <c r="AA20" s="20" t="s">
        <v>80</v>
      </c>
      <c r="AB20" s="20" t="s">
        <v>80</v>
      </c>
      <c r="AC20" s="20" t="s">
        <v>80</v>
      </c>
      <c r="AD20" s="20" t="s">
        <v>80</v>
      </c>
      <c r="AE20" s="20" t="s">
        <v>80</v>
      </c>
      <c r="AF20" s="20" t="s">
        <v>80</v>
      </c>
      <c r="AG20" s="20" t="s">
        <v>80</v>
      </c>
      <c r="AH20" s="20" t="s">
        <v>80</v>
      </c>
      <c r="AI20" s="20" t="s">
        <v>80</v>
      </c>
      <c r="AJ20" s="34" t="s">
        <v>80</v>
      </c>
      <c r="AK20" s="20" t="s">
        <v>80</v>
      </c>
      <c r="AL20" s="20" t="s">
        <v>80</v>
      </c>
      <c r="AM20" s="20" t="s">
        <v>80</v>
      </c>
      <c r="AN20" s="20" t="s">
        <v>80</v>
      </c>
      <c r="AO20" s="20" t="s">
        <v>80</v>
      </c>
      <c r="AP20" s="20" t="s">
        <v>80</v>
      </c>
      <c r="AQ20" s="20" t="s">
        <v>80</v>
      </c>
      <c r="AR20" s="26" t="s">
        <v>80</v>
      </c>
      <c r="AS20" s="38"/>
    </row>
    <row r="21" spans="1:45">
      <c r="A21" s="9" t="s">
        <v>179</v>
      </c>
      <c r="B21" s="36">
        <v>5.0151953745656197</v>
      </c>
      <c r="C21" s="32">
        <v>5.0388810987608803</v>
      </c>
      <c r="D21" s="32">
        <v>5.2479992231005204</v>
      </c>
      <c r="E21" s="32">
        <v>3.9124643582553298</v>
      </c>
      <c r="F21" s="15">
        <v>33.3333333333333</v>
      </c>
      <c r="G21" s="20" t="s">
        <v>80</v>
      </c>
      <c r="H21" s="20" t="s">
        <v>80</v>
      </c>
      <c r="I21" s="20" t="s">
        <v>80</v>
      </c>
      <c r="J21" s="20" t="s">
        <v>80</v>
      </c>
      <c r="K21" s="20" t="s">
        <v>80</v>
      </c>
      <c r="L21" s="20" t="s">
        <v>80</v>
      </c>
      <c r="M21" s="20" t="s">
        <v>80</v>
      </c>
      <c r="N21" s="20" t="s">
        <v>80</v>
      </c>
      <c r="O21" s="20" t="s">
        <v>80</v>
      </c>
      <c r="P21" s="15">
        <v>9.0909090909090899</v>
      </c>
      <c r="Q21" s="20" t="s">
        <v>80</v>
      </c>
      <c r="R21" s="20" t="s">
        <v>80</v>
      </c>
      <c r="S21" s="20" t="s">
        <v>80</v>
      </c>
      <c r="T21" s="20" t="s">
        <v>80</v>
      </c>
      <c r="U21" s="20" t="s">
        <v>80</v>
      </c>
      <c r="V21" s="20" t="s">
        <v>80</v>
      </c>
      <c r="W21" s="20" t="s">
        <v>80</v>
      </c>
      <c r="X21" s="15">
        <v>5.4054054054054097</v>
      </c>
      <c r="Y21" s="20" t="s">
        <v>80</v>
      </c>
      <c r="Z21" s="20" t="s">
        <v>80</v>
      </c>
      <c r="AA21" s="20" t="s">
        <v>80</v>
      </c>
      <c r="AB21" s="20" t="s">
        <v>80</v>
      </c>
      <c r="AC21" s="20" t="s">
        <v>80</v>
      </c>
      <c r="AD21" s="20" t="s">
        <v>80</v>
      </c>
      <c r="AE21" s="20" t="s">
        <v>80</v>
      </c>
      <c r="AF21" s="20" t="s">
        <v>80</v>
      </c>
      <c r="AG21" s="20" t="s">
        <v>80</v>
      </c>
      <c r="AH21" s="20" t="s">
        <v>80</v>
      </c>
      <c r="AI21" s="15">
        <v>16.071428571428601</v>
      </c>
      <c r="AJ21" s="32">
        <v>6.41640081411414</v>
      </c>
      <c r="AK21" s="15">
        <v>6.3609467455621296</v>
      </c>
      <c r="AL21" s="15">
        <v>4.1394335511982598</v>
      </c>
      <c r="AM21" s="15">
        <v>5.0505050505050502</v>
      </c>
      <c r="AN21" s="15">
        <v>11.6788321167883</v>
      </c>
      <c r="AO21" s="15">
        <v>9.2814371257485</v>
      </c>
      <c r="AP21" s="15">
        <v>3.83795309168443</v>
      </c>
      <c r="AQ21" s="20" t="s">
        <v>80</v>
      </c>
      <c r="AR21" s="24">
        <v>6.9696969696969697</v>
      </c>
      <c r="AS21" s="38"/>
    </row>
    <row r="22" spans="1:45">
      <c r="A22" s="9" t="s">
        <v>180</v>
      </c>
      <c r="B22" s="36">
        <v>0.34575010849183002</v>
      </c>
      <c r="C22" s="32">
        <v>0.29777393610707098</v>
      </c>
      <c r="D22" s="32">
        <v>0.63949441835170595</v>
      </c>
      <c r="E22" s="34" t="s">
        <v>80</v>
      </c>
      <c r="F22" s="20" t="s">
        <v>80</v>
      </c>
      <c r="G22" s="20" t="s">
        <v>80</v>
      </c>
      <c r="H22" s="20" t="s">
        <v>80</v>
      </c>
      <c r="I22" s="20" t="s">
        <v>80</v>
      </c>
      <c r="J22" s="20" t="s">
        <v>80</v>
      </c>
      <c r="K22" s="20" t="s">
        <v>80</v>
      </c>
      <c r="L22" s="20" t="s">
        <v>80</v>
      </c>
      <c r="M22" s="20" t="s">
        <v>80</v>
      </c>
      <c r="N22" s="20" t="s">
        <v>80</v>
      </c>
      <c r="O22" s="20" t="s">
        <v>80</v>
      </c>
      <c r="P22" s="20" t="s">
        <v>80</v>
      </c>
      <c r="Q22" s="20" t="s">
        <v>80</v>
      </c>
      <c r="R22" s="20" t="s">
        <v>80</v>
      </c>
      <c r="S22" s="20" t="s">
        <v>80</v>
      </c>
      <c r="T22" s="20" t="s">
        <v>80</v>
      </c>
      <c r="U22" s="20" t="s">
        <v>80</v>
      </c>
      <c r="V22" s="20" t="s">
        <v>80</v>
      </c>
      <c r="W22" s="20" t="s">
        <v>80</v>
      </c>
      <c r="X22" s="20" t="s">
        <v>80</v>
      </c>
      <c r="Y22" s="20" t="s">
        <v>80</v>
      </c>
      <c r="Z22" s="20" t="s">
        <v>80</v>
      </c>
      <c r="AA22" s="20" t="s">
        <v>80</v>
      </c>
      <c r="AB22" s="20" t="s">
        <v>80</v>
      </c>
      <c r="AC22" s="20" t="s">
        <v>80</v>
      </c>
      <c r="AD22" s="20" t="s">
        <v>80</v>
      </c>
      <c r="AE22" s="20" t="s">
        <v>80</v>
      </c>
      <c r="AF22" s="20" t="s">
        <v>80</v>
      </c>
      <c r="AG22" s="20" t="s">
        <v>80</v>
      </c>
      <c r="AH22" s="20" t="s">
        <v>80</v>
      </c>
      <c r="AI22" s="20" t="s">
        <v>80</v>
      </c>
      <c r="AJ22" s="34" t="s">
        <v>80</v>
      </c>
      <c r="AK22" s="20" t="s">
        <v>80</v>
      </c>
      <c r="AL22" s="20" t="s">
        <v>80</v>
      </c>
      <c r="AM22" s="15">
        <v>9.5959595959596005</v>
      </c>
      <c r="AN22" s="20" t="s">
        <v>80</v>
      </c>
      <c r="AO22" s="20" t="s">
        <v>80</v>
      </c>
      <c r="AP22" s="20" t="s">
        <v>80</v>
      </c>
      <c r="AQ22" s="20" t="s">
        <v>80</v>
      </c>
      <c r="AR22" s="26" t="s">
        <v>80</v>
      </c>
      <c r="AS22" s="38"/>
    </row>
    <row r="23" spans="1:45">
      <c r="A23" s="9" t="s">
        <v>181</v>
      </c>
      <c r="B23" s="36">
        <v>5.9219482303521298</v>
      </c>
      <c r="C23" s="32">
        <v>5.8248496999331598</v>
      </c>
      <c r="D23" s="32">
        <v>4.28140970758606</v>
      </c>
      <c r="E23" s="32">
        <v>5.8023222036677398</v>
      </c>
      <c r="F23" s="15">
        <v>35.294117647058798</v>
      </c>
      <c r="G23" s="20" t="s">
        <v>80</v>
      </c>
      <c r="H23" s="15">
        <v>4.4692737430167604</v>
      </c>
      <c r="I23" s="20" t="s">
        <v>80</v>
      </c>
      <c r="J23" s="20" t="s">
        <v>80</v>
      </c>
      <c r="K23" s="20" t="s">
        <v>80</v>
      </c>
      <c r="L23" s="20" t="s">
        <v>80</v>
      </c>
      <c r="M23" s="20" t="s">
        <v>80</v>
      </c>
      <c r="N23" s="20" t="s">
        <v>80</v>
      </c>
      <c r="O23" s="15">
        <v>4.0322580645161299</v>
      </c>
      <c r="P23" s="15">
        <v>12.396694214876</v>
      </c>
      <c r="Q23" s="20" t="s">
        <v>80</v>
      </c>
      <c r="R23" s="20" t="s">
        <v>80</v>
      </c>
      <c r="S23" s="20" t="s">
        <v>80</v>
      </c>
      <c r="T23" s="20" t="s">
        <v>80</v>
      </c>
      <c r="U23" s="20" t="s">
        <v>80</v>
      </c>
      <c r="V23" s="20" t="s">
        <v>80</v>
      </c>
      <c r="W23" s="20" t="s">
        <v>80</v>
      </c>
      <c r="X23" s="15">
        <v>4.5045045045045002</v>
      </c>
      <c r="Y23" s="15">
        <v>8.3333333333333304</v>
      </c>
      <c r="Z23" s="15">
        <v>27.586206896551701</v>
      </c>
      <c r="AA23" s="20" t="s">
        <v>80</v>
      </c>
      <c r="AB23" s="20" t="s">
        <v>80</v>
      </c>
      <c r="AC23" s="20" t="s">
        <v>80</v>
      </c>
      <c r="AD23" s="20" t="s">
        <v>80</v>
      </c>
      <c r="AE23" s="20" t="s">
        <v>80</v>
      </c>
      <c r="AF23" s="20" t="s">
        <v>80</v>
      </c>
      <c r="AG23" s="20" t="s">
        <v>80</v>
      </c>
      <c r="AH23" s="20" t="s">
        <v>80</v>
      </c>
      <c r="AI23" s="20" t="s">
        <v>80</v>
      </c>
      <c r="AJ23" s="32">
        <v>2.95082925851607</v>
      </c>
      <c r="AK23" s="15">
        <v>2.3668639053254399</v>
      </c>
      <c r="AL23" s="15">
        <v>3.4858387799564299</v>
      </c>
      <c r="AM23" s="15">
        <v>5.0505050505050502</v>
      </c>
      <c r="AN23" s="15">
        <v>5.8394160583941597</v>
      </c>
      <c r="AO23" s="15">
        <v>4.7904191616766498</v>
      </c>
      <c r="AP23" s="15">
        <v>2.1321961620469101</v>
      </c>
      <c r="AQ23" s="20" t="s">
        <v>80</v>
      </c>
      <c r="AR23" s="24">
        <v>2.7272727272727302</v>
      </c>
      <c r="AS23" s="38"/>
    </row>
    <row r="24" spans="1:45">
      <c r="A24" s="9" t="s">
        <v>182</v>
      </c>
      <c r="B24" s="36">
        <v>20.415948364302501</v>
      </c>
      <c r="C24" s="32">
        <v>19.982362195565301</v>
      </c>
      <c r="D24" s="32">
        <v>21.040309782236701</v>
      </c>
      <c r="E24" s="32">
        <v>23.744946327224699</v>
      </c>
      <c r="F24" s="15">
        <v>49.019607843137301</v>
      </c>
      <c r="G24" s="15">
        <v>31.818181818181799</v>
      </c>
      <c r="H24" s="15">
        <v>32.960893854748598</v>
      </c>
      <c r="I24" s="15">
        <v>23.762376237623801</v>
      </c>
      <c r="J24" s="15">
        <v>15.714285714285699</v>
      </c>
      <c r="K24" s="20" t="s">
        <v>80</v>
      </c>
      <c r="L24" s="15">
        <v>14.018691588785</v>
      </c>
      <c r="M24" s="15">
        <v>35.714285714285701</v>
      </c>
      <c r="N24" s="15">
        <v>15.2777777777778</v>
      </c>
      <c r="O24" s="15">
        <v>31.451612903225801</v>
      </c>
      <c r="P24" s="15">
        <v>37.190082644628099</v>
      </c>
      <c r="Q24" s="15">
        <v>29.411764705882401</v>
      </c>
      <c r="R24" s="15">
        <v>12.7659574468085</v>
      </c>
      <c r="S24" s="15">
        <v>13.0434782608696</v>
      </c>
      <c r="T24" s="15">
        <v>20.930232558139501</v>
      </c>
      <c r="U24" s="15">
        <v>26.785714285714299</v>
      </c>
      <c r="V24" s="15">
        <v>21.052631578947398</v>
      </c>
      <c r="W24" s="15">
        <v>17.3913043478261</v>
      </c>
      <c r="X24" s="15">
        <v>26.126126126126099</v>
      </c>
      <c r="Y24" s="15">
        <v>18.181818181818201</v>
      </c>
      <c r="Z24" s="15">
        <v>48.275862068965502</v>
      </c>
      <c r="AA24" s="15">
        <v>10.869565217391299</v>
      </c>
      <c r="AB24" s="20" t="s">
        <v>80</v>
      </c>
      <c r="AC24" s="15">
        <v>21.428571428571399</v>
      </c>
      <c r="AD24" s="20" t="s">
        <v>80</v>
      </c>
      <c r="AE24" s="15">
        <v>24.2424242424242</v>
      </c>
      <c r="AF24" s="20" t="s">
        <v>80</v>
      </c>
      <c r="AG24" s="15">
        <v>53.3333333333333</v>
      </c>
      <c r="AH24" s="15">
        <v>11.8279569892473</v>
      </c>
      <c r="AI24" s="15">
        <v>28.571428571428601</v>
      </c>
      <c r="AJ24" s="32">
        <v>18.674140447792599</v>
      </c>
      <c r="AK24" s="15">
        <v>12.8698224852071</v>
      </c>
      <c r="AL24" s="15">
        <v>15.0326797385621</v>
      </c>
      <c r="AM24" s="15">
        <v>25.7575757575758</v>
      </c>
      <c r="AN24" s="15">
        <v>41.605839416058402</v>
      </c>
      <c r="AO24" s="15">
        <v>20.6586826347305</v>
      </c>
      <c r="AP24" s="15">
        <v>18.1236673773987</v>
      </c>
      <c r="AQ24" s="15">
        <v>26.470588235294102</v>
      </c>
      <c r="AR24" s="24">
        <v>16.969696969697001</v>
      </c>
      <c r="AS24" s="38"/>
    </row>
    <row r="25" spans="1:45">
      <c r="A25" s="9" t="s">
        <v>183</v>
      </c>
      <c r="B25" s="36">
        <v>0.42899329318620799</v>
      </c>
      <c r="C25" s="32">
        <v>0.38902869221368802</v>
      </c>
      <c r="D25" s="34" t="s">
        <v>80</v>
      </c>
      <c r="E25" s="34" t="s">
        <v>80</v>
      </c>
      <c r="F25" s="20" t="s">
        <v>80</v>
      </c>
      <c r="G25" s="20" t="s">
        <v>80</v>
      </c>
      <c r="H25" s="20" t="s">
        <v>80</v>
      </c>
      <c r="I25" s="20" t="s">
        <v>80</v>
      </c>
      <c r="J25" s="20" t="s">
        <v>80</v>
      </c>
      <c r="K25" s="20" t="s">
        <v>80</v>
      </c>
      <c r="L25" s="20" t="s">
        <v>80</v>
      </c>
      <c r="M25" s="20" t="s">
        <v>80</v>
      </c>
      <c r="N25" s="20" t="s">
        <v>80</v>
      </c>
      <c r="O25" s="20" t="s">
        <v>80</v>
      </c>
      <c r="P25" s="20" t="s">
        <v>80</v>
      </c>
      <c r="Q25" s="20" t="s">
        <v>80</v>
      </c>
      <c r="R25" s="20" t="s">
        <v>80</v>
      </c>
      <c r="S25" s="20" t="s">
        <v>80</v>
      </c>
      <c r="T25" s="20" t="s">
        <v>80</v>
      </c>
      <c r="U25" s="20" t="s">
        <v>80</v>
      </c>
      <c r="V25" s="20" t="s">
        <v>80</v>
      </c>
      <c r="W25" s="20" t="s">
        <v>80</v>
      </c>
      <c r="X25" s="20" t="s">
        <v>80</v>
      </c>
      <c r="Y25" s="20" t="s">
        <v>80</v>
      </c>
      <c r="Z25" s="20" t="s">
        <v>80</v>
      </c>
      <c r="AA25" s="20" t="s">
        <v>80</v>
      </c>
      <c r="AB25" s="20" t="s">
        <v>80</v>
      </c>
      <c r="AC25" s="20" t="s">
        <v>80</v>
      </c>
      <c r="AD25" s="20" t="s">
        <v>80</v>
      </c>
      <c r="AE25" s="20" t="s">
        <v>80</v>
      </c>
      <c r="AF25" s="20" t="s">
        <v>80</v>
      </c>
      <c r="AG25" s="20" t="s">
        <v>80</v>
      </c>
      <c r="AH25" s="20" t="s">
        <v>80</v>
      </c>
      <c r="AI25" s="20" t="s">
        <v>80</v>
      </c>
      <c r="AJ25" s="34" t="s">
        <v>80</v>
      </c>
      <c r="AK25" s="20" t="s">
        <v>80</v>
      </c>
      <c r="AL25" s="20" t="s">
        <v>80</v>
      </c>
      <c r="AM25" s="20" t="s">
        <v>80</v>
      </c>
      <c r="AN25" s="20" t="s">
        <v>80</v>
      </c>
      <c r="AO25" s="20" t="s">
        <v>80</v>
      </c>
      <c r="AP25" s="15">
        <v>1.0660980810234499</v>
      </c>
      <c r="AQ25" s="20" t="s">
        <v>80</v>
      </c>
      <c r="AR25" s="26" t="s">
        <v>80</v>
      </c>
      <c r="AS25" s="38"/>
    </row>
    <row r="26" spans="1:45">
      <c r="A26" s="9" t="s">
        <v>184</v>
      </c>
      <c r="B26" s="36">
        <v>0.93990188308522504</v>
      </c>
      <c r="C26" s="32">
        <v>0.69711002399192701</v>
      </c>
      <c r="D26" s="32">
        <v>0.89864378779034304</v>
      </c>
      <c r="E26" s="32">
        <v>1.2815110442345301</v>
      </c>
      <c r="F26" s="20" t="s">
        <v>80</v>
      </c>
      <c r="G26" s="20" t="s">
        <v>80</v>
      </c>
      <c r="H26" s="20" t="s">
        <v>80</v>
      </c>
      <c r="I26" s="20" t="s">
        <v>80</v>
      </c>
      <c r="J26" s="20" t="s">
        <v>80</v>
      </c>
      <c r="K26" s="20" t="s">
        <v>80</v>
      </c>
      <c r="L26" s="20" t="s">
        <v>80</v>
      </c>
      <c r="M26" s="20" t="s">
        <v>80</v>
      </c>
      <c r="N26" s="20" t="s">
        <v>80</v>
      </c>
      <c r="O26" s="15">
        <v>4.8387096774193497</v>
      </c>
      <c r="P26" s="20" t="s">
        <v>80</v>
      </c>
      <c r="Q26" s="20" t="s">
        <v>80</v>
      </c>
      <c r="R26" s="20" t="s">
        <v>80</v>
      </c>
      <c r="S26" s="20" t="s">
        <v>80</v>
      </c>
      <c r="T26" s="20" t="s">
        <v>80</v>
      </c>
      <c r="U26" s="20" t="s">
        <v>80</v>
      </c>
      <c r="V26" s="20" t="s">
        <v>80</v>
      </c>
      <c r="W26" s="20" t="s">
        <v>80</v>
      </c>
      <c r="X26" s="15">
        <v>7.20720720720721</v>
      </c>
      <c r="Y26" s="20" t="s">
        <v>80</v>
      </c>
      <c r="Z26" s="20" t="s">
        <v>80</v>
      </c>
      <c r="AA26" s="20" t="s">
        <v>80</v>
      </c>
      <c r="AB26" s="20" t="s">
        <v>80</v>
      </c>
      <c r="AC26" s="20" t="s">
        <v>80</v>
      </c>
      <c r="AD26" s="20" t="s">
        <v>80</v>
      </c>
      <c r="AE26" s="20" t="s">
        <v>80</v>
      </c>
      <c r="AF26" s="20" t="s">
        <v>80</v>
      </c>
      <c r="AG26" s="20" t="s">
        <v>80</v>
      </c>
      <c r="AH26" s="20" t="s">
        <v>80</v>
      </c>
      <c r="AI26" s="20" t="s">
        <v>80</v>
      </c>
      <c r="AJ26" s="34" t="s">
        <v>80</v>
      </c>
      <c r="AK26" s="20" t="s">
        <v>80</v>
      </c>
      <c r="AL26" s="20" t="s">
        <v>80</v>
      </c>
      <c r="AM26" s="20" t="s">
        <v>80</v>
      </c>
      <c r="AN26" s="20" t="s">
        <v>80</v>
      </c>
      <c r="AO26" s="20" t="s">
        <v>80</v>
      </c>
      <c r="AP26" s="20" t="s">
        <v>80</v>
      </c>
      <c r="AQ26" s="20" t="s">
        <v>80</v>
      </c>
      <c r="AR26" s="26" t="s">
        <v>80</v>
      </c>
      <c r="AS26" s="38"/>
    </row>
    <row r="27" spans="1:45">
      <c r="A27" s="9" t="s">
        <v>185</v>
      </c>
      <c r="B27" s="36">
        <v>3.62386696597919</v>
      </c>
      <c r="C27" s="32">
        <v>3.21663066456698</v>
      </c>
      <c r="D27" s="32">
        <v>2.0438152795540598</v>
      </c>
      <c r="E27" s="32">
        <v>2.5299520433126799</v>
      </c>
      <c r="F27" s="20" t="s">
        <v>80</v>
      </c>
      <c r="G27" s="20" t="s">
        <v>80</v>
      </c>
      <c r="H27" s="15">
        <v>2.7932960893854699</v>
      </c>
      <c r="I27" s="20" t="s">
        <v>80</v>
      </c>
      <c r="J27" s="20" t="s">
        <v>80</v>
      </c>
      <c r="K27" s="20" t="s">
        <v>80</v>
      </c>
      <c r="L27" s="20" t="s">
        <v>80</v>
      </c>
      <c r="M27" s="20" t="s">
        <v>80</v>
      </c>
      <c r="N27" s="20" t="s">
        <v>80</v>
      </c>
      <c r="O27" s="20" t="s">
        <v>80</v>
      </c>
      <c r="P27" s="20" t="s">
        <v>80</v>
      </c>
      <c r="Q27" s="20" t="s">
        <v>80</v>
      </c>
      <c r="R27" s="20" t="s">
        <v>80</v>
      </c>
      <c r="S27" s="20" t="s">
        <v>80</v>
      </c>
      <c r="T27" s="20" t="s">
        <v>80</v>
      </c>
      <c r="U27" s="20" t="s">
        <v>80</v>
      </c>
      <c r="V27" s="20" t="s">
        <v>80</v>
      </c>
      <c r="W27" s="20" t="s">
        <v>80</v>
      </c>
      <c r="X27" s="15">
        <v>17.1171171171171</v>
      </c>
      <c r="Y27" s="15">
        <v>3.7878787878787898</v>
      </c>
      <c r="Z27" s="20" t="s">
        <v>80</v>
      </c>
      <c r="AA27" s="20" t="s">
        <v>80</v>
      </c>
      <c r="AB27" s="20" t="s">
        <v>80</v>
      </c>
      <c r="AC27" s="20" t="s">
        <v>80</v>
      </c>
      <c r="AD27" s="20" t="s">
        <v>80</v>
      </c>
      <c r="AE27" s="20" t="s">
        <v>80</v>
      </c>
      <c r="AF27" s="20" t="s">
        <v>80</v>
      </c>
      <c r="AG27" s="20" t="s">
        <v>80</v>
      </c>
      <c r="AH27" s="20" t="s">
        <v>80</v>
      </c>
      <c r="AI27" s="20" t="s">
        <v>80</v>
      </c>
      <c r="AJ27" s="32">
        <v>1.6185152868866199</v>
      </c>
      <c r="AK27" s="20" t="s">
        <v>80</v>
      </c>
      <c r="AL27" s="15">
        <v>2.3965141612200398</v>
      </c>
      <c r="AM27" s="20" t="s">
        <v>80</v>
      </c>
      <c r="AN27" s="15">
        <v>5.10948905109489</v>
      </c>
      <c r="AO27" s="15">
        <v>3.5928143712574898</v>
      </c>
      <c r="AP27" s="15">
        <v>2.5586353944562901</v>
      </c>
      <c r="AQ27" s="20" t="s">
        <v>80</v>
      </c>
      <c r="AR27" s="24">
        <v>1.8181818181818199</v>
      </c>
      <c r="AS27" s="38"/>
    </row>
    <row r="28" spans="1:45">
      <c r="A28" s="9" t="s">
        <v>186</v>
      </c>
      <c r="B28" s="36">
        <v>0.494849613593491</v>
      </c>
      <c r="C28" s="32">
        <v>0.37790524932387898</v>
      </c>
      <c r="D28" s="34" t="s">
        <v>80</v>
      </c>
      <c r="E28" s="34" t="s">
        <v>80</v>
      </c>
      <c r="F28" s="20" t="s">
        <v>80</v>
      </c>
      <c r="G28" s="20" t="s">
        <v>80</v>
      </c>
      <c r="H28" s="20" t="s">
        <v>80</v>
      </c>
      <c r="I28" s="20" t="s">
        <v>80</v>
      </c>
      <c r="J28" s="20" t="s">
        <v>80</v>
      </c>
      <c r="K28" s="20" t="s">
        <v>80</v>
      </c>
      <c r="L28" s="20" t="s">
        <v>80</v>
      </c>
      <c r="M28" s="20" t="s">
        <v>80</v>
      </c>
      <c r="N28" s="20" t="s">
        <v>80</v>
      </c>
      <c r="O28" s="20" t="s">
        <v>80</v>
      </c>
      <c r="P28" s="20" t="s">
        <v>80</v>
      </c>
      <c r="Q28" s="20" t="s">
        <v>80</v>
      </c>
      <c r="R28" s="20" t="s">
        <v>80</v>
      </c>
      <c r="S28" s="20" t="s">
        <v>80</v>
      </c>
      <c r="T28" s="20" t="s">
        <v>80</v>
      </c>
      <c r="U28" s="20" t="s">
        <v>80</v>
      </c>
      <c r="V28" s="20" t="s">
        <v>80</v>
      </c>
      <c r="W28" s="20" t="s">
        <v>80</v>
      </c>
      <c r="X28" s="20" t="s">
        <v>80</v>
      </c>
      <c r="Y28" s="20" t="s">
        <v>80</v>
      </c>
      <c r="Z28" s="20" t="s">
        <v>80</v>
      </c>
      <c r="AA28" s="20" t="s">
        <v>80</v>
      </c>
      <c r="AB28" s="20" t="s">
        <v>80</v>
      </c>
      <c r="AC28" s="20" t="s">
        <v>80</v>
      </c>
      <c r="AD28" s="20" t="s">
        <v>80</v>
      </c>
      <c r="AE28" s="20" t="s">
        <v>80</v>
      </c>
      <c r="AF28" s="20" t="s">
        <v>80</v>
      </c>
      <c r="AG28" s="20" t="s">
        <v>80</v>
      </c>
      <c r="AH28" s="20" t="s">
        <v>80</v>
      </c>
      <c r="AI28" s="20" t="s">
        <v>80</v>
      </c>
      <c r="AJ28" s="34" t="s">
        <v>80</v>
      </c>
      <c r="AK28" s="20" t="s">
        <v>80</v>
      </c>
      <c r="AL28" s="20" t="s">
        <v>80</v>
      </c>
      <c r="AM28" s="20" t="s">
        <v>80</v>
      </c>
      <c r="AN28" s="20" t="s">
        <v>80</v>
      </c>
      <c r="AO28" s="20" t="s">
        <v>80</v>
      </c>
      <c r="AP28" s="20" t="s">
        <v>80</v>
      </c>
      <c r="AQ28" s="20" t="s">
        <v>80</v>
      </c>
      <c r="AR28" s="26" t="s">
        <v>80</v>
      </c>
      <c r="AS28" s="38"/>
    </row>
    <row r="29" spans="1:45">
      <c r="A29" s="9" t="s">
        <v>187</v>
      </c>
      <c r="B29" s="36">
        <v>0.30587880687441998</v>
      </c>
      <c r="C29" s="32">
        <v>0.269654709711659</v>
      </c>
      <c r="D29" s="34" t="s">
        <v>80</v>
      </c>
      <c r="E29" s="34" t="s">
        <v>80</v>
      </c>
      <c r="F29" s="20" t="s">
        <v>80</v>
      </c>
      <c r="G29" s="20" t="s">
        <v>80</v>
      </c>
      <c r="H29" s="20" t="s">
        <v>80</v>
      </c>
      <c r="I29" s="20" t="s">
        <v>80</v>
      </c>
      <c r="J29" s="20" t="s">
        <v>80</v>
      </c>
      <c r="K29" s="20" t="s">
        <v>80</v>
      </c>
      <c r="L29" s="20" t="s">
        <v>80</v>
      </c>
      <c r="M29" s="20" t="s">
        <v>80</v>
      </c>
      <c r="N29" s="20" t="s">
        <v>80</v>
      </c>
      <c r="O29" s="20" t="s">
        <v>80</v>
      </c>
      <c r="P29" s="20" t="s">
        <v>80</v>
      </c>
      <c r="Q29" s="20" t="s">
        <v>80</v>
      </c>
      <c r="R29" s="20" t="s">
        <v>80</v>
      </c>
      <c r="S29" s="20" t="s">
        <v>80</v>
      </c>
      <c r="T29" s="20" t="s">
        <v>80</v>
      </c>
      <c r="U29" s="20" t="s">
        <v>80</v>
      </c>
      <c r="V29" s="20" t="s">
        <v>80</v>
      </c>
      <c r="W29" s="20" t="s">
        <v>80</v>
      </c>
      <c r="X29" s="20" t="s">
        <v>80</v>
      </c>
      <c r="Y29" s="20" t="s">
        <v>80</v>
      </c>
      <c r="Z29" s="20" t="s">
        <v>80</v>
      </c>
      <c r="AA29" s="20" t="s">
        <v>80</v>
      </c>
      <c r="AB29" s="20" t="s">
        <v>80</v>
      </c>
      <c r="AC29" s="20" t="s">
        <v>80</v>
      </c>
      <c r="AD29" s="20" t="s">
        <v>80</v>
      </c>
      <c r="AE29" s="20" t="s">
        <v>80</v>
      </c>
      <c r="AF29" s="20" t="s">
        <v>80</v>
      </c>
      <c r="AG29" s="20" t="s">
        <v>80</v>
      </c>
      <c r="AH29" s="20" t="s">
        <v>80</v>
      </c>
      <c r="AI29" s="20" t="s">
        <v>80</v>
      </c>
      <c r="AJ29" s="34" t="s">
        <v>80</v>
      </c>
      <c r="AK29" s="20" t="s">
        <v>80</v>
      </c>
      <c r="AL29" s="20" t="s">
        <v>80</v>
      </c>
      <c r="AM29" s="20" t="s">
        <v>80</v>
      </c>
      <c r="AN29" s="20" t="s">
        <v>80</v>
      </c>
      <c r="AO29" s="20" t="s">
        <v>80</v>
      </c>
      <c r="AP29" s="20" t="s">
        <v>80</v>
      </c>
      <c r="AQ29" s="20" t="s">
        <v>80</v>
      </c>
      <c r="AR29" s="26" t="s">
        <v>80</v>
      </c>
      <c r="AS29" s="38"/>
    </row>
    <row r="30" spans="1:45">
      <c r="A30" s="9" t="s">
        <v>188</v>
      </c>
      <c r="B30" s="36">
        <v>0.69080509664419099</v>
      </c>
      <c r="C30" s="32">
        <v>0.71034136002096904</v>
      </c>
      <c r="D30" s="34" t="s">
        <v>80</v>
      </c>
      <c r="E30" s="34" t="s">
        <v>80</v>
      </c>
      <c r="F30" s="20" t="s">
        <v>80</v>
      </c>
      <c r="G30" s="20" t="s">
        <v>80</v>
      </c>
      <c r="H30" s="20" t="s">
        <v>80</v>
      </c>
      <c r="I30" s="20" t="s">
        <v>80</v>
      </c>
      <c r="J30" s="20" t="s">
        <v>80</v>
      </c>
      <c r="K30" s="20" t="s">
        <v>80</v>
      </c>
      <c r="L30" s="20" t="s">
        <v>80</v>
      </c>
      <c r="M30" s="20" t="s">
        <v>80</v>
      </c>
      <c r="N30" s="20" t="s">
        <v>80</v>
      </c>
      <c r="O30" s="20" t="s">
        <v>80</v>
      </c>
      <c r="P30" s="20" t="s">
        <v>80</v>
      </c>
      <c r="Q30" s="20" t="s">
        <v>80</v>
      </c>
      <c r="R30" s="20" t="s">
        <v>80</v>
      </c>
      <c r="S30" s="20" t="s">
        <v>80</v>
      </c>
      <c r="T30" s="20" t="s">
        <v>80</v>
      </c>
      <c r="U30" s="20" t="s">
        <v>80</v>
      </c>
      <c r="V30" s="20" t="s">
        <v>80</v>
      </c>
      <c r="W30" s="20" t="s">
        <v>80</v>
      </c>
      <c r="X30" s="20" t="s">
        <v>80</v>
      </c>
      <c r="Y30" s="20" t="s">
        <v>80</v>
      </c>
      <c r="Z30" s="20" t="s">
        <v>80</v>
      </c>
      <c r="AA30" s="20" t="s">
        <v>80</v>
      </c>
      <c r="AB30" s="20" t="s">
        <v>80</v>
      </c>
      <c r="AC30" s="20" t="s">
        <v>80</v>
      </c>
      <c r="AD30" s="20" t="s">
        <v>80</v>
      </c>
      <c r="AE30" s="20" t="s">
        <v>80</v>
      </c>
      <c r="AF30" s="20" t="s">
        <v>80</v>
      </c>
      <c r="AG30" s="20" t="s">
        <v>80</v>
      </c>
      <c r="AH30" s="20" t="s">
        <v>80</v>
      </c>
      <c r="AI30" s="20" t="s">
        <v>80</v>
      </c>
      <c r="AJ30" s="34" t="s">
        <v>80</v>
      </c>
      <c r="AK30" s="20" t="s">
        <v>80</v>
      </c>
      <c r="AL30" s="20" t="s">
        <v>80</v>
      </c>
      <c r="AM30" s="20" t="s">
        <v>80</v>
      </c>
      <c r="AN30" s="20" t="s">
        <v>80</v>
      </c>
      <c r="AO30" s="20" t="s">
        <v>80</v>
      </c>
      <c r="AP30" s="20" t="s">
        <v>80</v>
      </c>
      <c r="AQ30" s="20" t="s">
        <v>80</v>
      </c>
      <c r="AR30" s="26" t="s">
        <v>80</v>
      </c>
      <c r="AS30" s="38"/>
    </row>
    <row r="31" spans="1:45">
      <c r="A31" s="9" t="s">
        <v>189</v>
      </c>
      <c r="B31" s="36">
        <v>0.916821973887196</v>
      </c>
      <c r="C31" s="32">
        <v>0.45624124517822601</v>
      </c>
      <c r="D31" s="34" t="s">
        <v>80</v>
      </c>
      <c r="E31" s="34" t="s">
        <v>80</v>
      </c>
      <c r="F31" s="20" t="s">
        <v>80</v>
      </c>
      <c r="G31" s="20" t="s">
        <v>80</v>
      </c>
      <c r="H31" s="20" t="s">
        <v>80</v>
      </c>
      <c r="I31" s="20" t="s">
        <v>80</v>
      </c>
      <c r="J31" s="20" t="s">
        <v>80</v>
      </c>
      <c r="K31" s="20" t="s">
        <v>80</v>
      </c>
      <c r="L31" s="20" t="s">
        <v>80</v>
      </c>
      <c r="M31" s="20" t="s">
        <v>80</v>
      </c>
      <c r="N31" s="20" t="s">
        <v>80</v>
      </c>
      <c r="O31" s="20" t="s">
        <v>80</v>
      </c>
      <c r="P31" s="20" t="s">
        <v>80</v>
      </c>
      <c r="Q31" s="20" t="s">
        <v>80</v>
      </c>
      <c r="R31" s="20" t="s">
        <v>80</v>
      </c>
      <c r="S31" s="20" t="s">
        <v>80</v>
      </c>
      <c r="T31" s="20" t="s">
        <v>80</v>
      </c>
      <c r="U31" s="20" t="s">
        <v>80</v>
      </c>
      <c r="V31" s="20" t="s">
        <v>80</v>
      </c>
      <c r="W31" s="20" t="s">
        <v>80</v>
      </c>
      <c r="X31" s="20" t="s">
        <v>80</v>
      </c>
      <c r="Y31" s="20" t="s">
        <v>80</v>
      </c>
      <c r="Z31" s="20" t="s">
        <v>80</v>
      </c>
      <c r="AA31" s="20" t="s">
        <v>80</v>
      </c>
      <c r="AB31" s="20" t="s">
        <v>80</v>
      </c>
      <c r="AC31" s="20" t="s">
        <v>80</v>
      </c>
      <c r="AD31" s="20" t="s">
        <v>80</v>
      </c>
      <c r="AE31" s="20" t="s">
        <v>80</v>
      </c>
      <c r="AF31" s="20" t="s">
        <v>80</v>
      </c>
      <c r="AG31" s="20" t="s">
        <v>80</v>
      </c>
      <c r="AH31" s="20" t="s">
        <v>80</v>
      </c>
      <c r="AI31" s="20" t="s">
        <v>80</v>
      </c>
      <c r="AJ31" s="34" t="s">
        <v>80</v>
      </c>
      <c r="AK31" s="20" t="s">
        <v>80</v>
      </c>
      <c r="AL31" s="20" t="s">
        <v>80</v>
      </c>
      <c r="AM31" s="20" t="s">
        <v>80</v>
      </c>
      <c r="AN31" s="20" t="s">
        <v>80</v>
      </c>
      <c r="AO31" s="20" t="s">
        <v>80</v>
      </c>
      <c r="AP31" s="15">
        <v>1.0660980810234499</v>
      </c>
      <c r="AQ31" s="20" t="s">
        <v>80</v>
      </c>
      <c r="AR31" s="26" t="s">
        <v>80</v>
      </c>
      <c r="AS31" s="38"/>
    </row>
    <row r="32" spans="1:45">
      <c r="A32" s="9" t="s">
        <v>190</v>
      </c>
      <c r="B32" s="36">
        <v>0.32407974744160001</v>
      </c>
      <c r="C32" s="32">
        <v>0.26086868982774503</v>
      </c>
      <c r="D32" s="34" t="s">
        <v>80</v>
      </c>
      <c r="E32" s="34" t="s">
        <v>80</v>
      </c>
      <c r="F32" s="20" t="s">
        <v>80</v>
      </c>
      <c r="G32" s="20" t="s">
        <v>80</v>
      </c>
      <c r="H32" s="20" t="s">
        <v>80</v>
      </c>
      <c r="I32" s="20" t="s">
        <v>80</v>
      </c>
      <c r="J32" s="20" t="s">
        <v>80</v>
      </c>
      <c r="K32" s="20" t="s">
        <v>80</v>
      </c>
      <c r="L32" s="20" t="s">
        <v>80</v>
      </c>
      <c r="M32" s="20" t="s">
        <v>80</v>
      </c>
      <c r="N32" s="20" t="s">
        <v>80</v>
      </c>
      <c r="O32" s="20" t="s">
        <v>80</v>
      </c>
      <c r="P32" s="20" t="s">
        <v>80</v>
      </c>
      <c r="Q32" s="20" t="s">
        <v>80</v>
      </c>
      <c r="R32" s="20" t="s">
        <v>80</v>
      </c>
      <c r="S32" s="20" t="s">
        <v>80</v>
      </c>
      <c r="T32" s="20" t="s">
        <v>80</v>
      </c>
      <c r="U32" s="20" t="s">
        <v>80</v>
      </c>
      <c r="V32" s="20" t="s">
        <v>80</v>
      </c>
      <c r="W32" s="20" t="s">
        <v>80</v>
      </c>
      <c r="X32" s="20" t="s">
        <v>80</v>
      </c>
      <c r="Y32" s="20" t="s">
        <v>80</v>
      </c>
      <c r="Z32" s="20" t="s">
        <v>80</v>
      </c>
      <c r="AA32" s="20" t="s">
        <v>80</v>
      </c>
      <c r="AB32" s="20" t="s">
        <v>80</v>
      </c>
      <c r="AC32" s="20" t="s">
        <v>80</v>
      </c>
      <c r="AD32" s="20" t="s">
        <v>80</v>
      </c>
      <c r="AE32" s="20" t="s">
        <v>80</v>
      </c>
      <c r="AF32" s="20" t="s">
        <v>80</v>
      </c>
      <c r="AG32" s="20" t="s">
        <v>80</v>
      </c>
      <c r="AH32" s="20" t="s">
        <v>80</v>
      </c>
      <c r="AI32" s="20" t="s">
        <v>80</v>
      </c>
      <c r="AJ32" s="34" t="s">
        <v>80</v>
      </c>
      <c r="AK32" s="20" t="s">
        <v>80</v>
      </c>
      <c r="AL32" s="20" t="s">
        <v>80</v>
      </c>
      <c r="AM32" s="20" t="s">
        <v>80</v>
      </c>
      <c r="AN32" s="20" t="s">
        <v>80</v>
      </c>
      <c r="AO32" s="20" t="s">
        <v>80</v>
      </c>
      <c r="AP32" s="20" t="s">
        <v>80</v>
      </c>
      <c r="AQ32" s="20" t="s">
        <v>80</v>
      </c>
      <c r="AR32" s="26" t="s">
        <v>80</v>
      </c>
      <c r="AS32" s="38"/>
    </row>
    <row r="33" spans="1:45">
      <c r="A33" s="9" t="s">
        <v>191</v>
      </c>
      <c r="B33" s="36">
        <v>1.68156695795093</v>
      </c>
      <c r="C33" s="32">
        <v>1.5029644714986801</v>
      </c>
      <c r="D33" s="32">
        <v>2.4281576147270298</v>
      </c>
      <c r="E33" s="32">
        <v>4.0987293767370199</v>
      </c>
      <c r="F33" s="20" t="s">
        <v>80</v>
      </c>
      <c r="G33" s="20" t="s">
        <v>80</v>
      </c>
      <c r="H33" s="20" t="s">
        <v>80</v>
      </c>
      <c r="I33" s="20" t="s">
        <v>80</v>
      </c>
      <c r="J33" s="20" t="s">
        <v>80</v>
      </c>
      <c r="K33" s="20" t="s">
        <v>80</v>
      </c>
      <c r="L33" s="15">
        <v>4.6728971962616797</v>
      </c>
      <c r="M33" s="20" t="s">
        <v>80</v>
      </c>
      <c r="N33" s="20" t="s">
        <v>80</v>
      </c>
      <c r="O33" s="20" t="s">
        <v>80</v>
      </c>
      <c r="P33" s="15">
        <v>9.0909090909090899</v>
      </c>
      <c r="Q33" s="20" t="s">
        <v>80</v>
      </c>
      <c r="R33" s="20" t="s">
        <v>80</v>
      </c>
      <c r="S33" s="20" t="s">
        <v>80</v>
      </c>
      <c r="T33" s="20" t="s">
        <v>80</v>
      </c>
      <c r="U33" s="20" t="s">
        <v>80</v>
      </c>
      <c r="V33" s="20" t="s">
        <v>80</v>
      </c>
      <c r="W33" s="20" t="s">
        <v>80</v>
      </c>
      <c r="X33" s="15">
        <v>11.7117117117117</v>
      </c>
      <c r="Y33" s="20" t="s">
        <v>80</v>
      </c>
      <c r="Z33" s="20" t="s">
        <v>80</v>
      </c>
      <c r="AA33" s="20" t="s">
        <v>80</v>
      </c>
      <c r="AB33" s="20" t="s">
        <v>80</v>
      </c>
      <c r="AC33" s="20" t="s">
        <v>80</v>
      </c>
      <c r="AD33" s="20" t="s">
        <v>80</v>
      </c>
      <c r="AE33" s="20" t="s">
        <v>80</v>
      </c>
      <c r="AF33" s="20" t="s">
        <v>80</v>
      </c>
      <c r="AG33" s="20" t="s">
        <v>80</v>
      </c>
      <c r="AH33" s="20" t="s">
        <v>80</v>
      </c>
      <c r="AI33" s="20" t="s">
        <v>80</v>
      </c>
      <c r="AJ33" s="34" t="s">
        <v>80</v>
      </c>
      <c r="AK33" s="20" t="s">
        <v>80</v>
      </c>
      <c r="AL33" s="20" t="s">
        <v>80</v>
      </c>
      <c r="AM33" s="15">
        <v>2.52525252525253</v>
      </c>
      <c r="AN33" s="20" t="s">
        <v>80</v>
      </c>
      <c r="AO33" s="15">
        <v>3.2934131736526902</v>
      </c>
      <c r="AP33" s="20" t="s">
        <v>80</v>
      </c>
      <c r="AQ33" s="20" t="s">
        <v>80</v>
      </c>
      <c r="AR33" s="26" t="s">
        <v>80</v>
      </c>
      <c r="AS33" s="38"/>
    </row>
    <row r="34" spans="1:45">
      <c r="A34" s="9" t="s">
        <v>192</v>
      </c>
      <c r="B34" s="36">
        <v>0.59516711160022395</v>
      </c>
      <c r="C34" s="32">
        <v>0.70330094741365701</v>
      </c>
      <c r="D34" s="32">
        <v>0.63438521920625102</v>
      </c>
      <c r="E34" s="34" t="s">
        <v>80</v>
      </c>
      <c r="F34" s="15">
        <v>11.764705882352899</v>
      </c>
      <c r="G34" s="20" t="s">
        <v>80</v>
      </c>
      <c r="H34" s="20" t="s">
        <v>80</v>
      </c>
      <c r="I34" s="20" t="s">
        <v>80</v>
      </c>
      <c r="J34" s="20" t="s">
        <v>80</v>
      </c>
      <c r="K34" s="20" t="s">
        <v>80</v>
      </c>
      <c r="L34" s="20" t="s">
        <v>80</v>
      </c>
      <c r="M34" s="20" t="s">
        <v>80</v>
      </c>
      <c r="N34" s="20" t="s">
        <v>80</v>
      </c>
      <c r="O34" s="20" t="s">
        <v>80</v>
      </c>
      <c r="P34" s="20" t="s">
        <v>80</v>
      </c>
      <c r="Q34" s="20" t="s">
        <v>80</v>
      </c>
      <c r="R34" s="20" t="s">
        <v>80</v>
      </c>
      <c r="S34" s="20" t="s">
        <v>80</v>
      </c>
      <c r="T34" s="20" t="s">
        <v>80</v>
      </c>
      <c r="U34" s="20" t="s">
        <v>80</v>
      </c>
      <c r="V34" s="20" t="s">
        <v>80</v>
      </c>
      <c r="W34" s="20" t="s">
        <v>80</v>
      </c>
      <c r="X34" s="20" t="s">
        <v>80</v>
      </c>
      <c r="Y34" s="20" t="s">
        <v>80</v>
      </c>
      <c r="Z34" s="20" t="s">
        <v>80</v>
      </c>
      <c r="AA34" s="20" t="s">
        <v>80</v>
      </c>
      <c r="AB34" s="20" t="s">
        <v>80</v>
      </c>
      <c r="AC34" s="20" t="s">
        <v>80</v>
      </c>
      <c r="AD34" s="20" t="s">
        <v>80</v>
      </c>
      <c r="AE34" s="20" t="s">
        <v>80</v>
      </c>
      <c r="AF34" s="20" t="s">
        <v>80</v>
      </c>
      <c r="AG34" s="20" t="s">
        <v>80</v>
      </c>
      <c r="AH34" s="20" t="s">
        <v>80</v>
      </c>
      <c r="AI34" s="20" t="s">
        <v>80</v>
      </c>
      <c r="AJ34" s="34" t="s">
        <v>80</v>
      </c>
      <c r="AK34" s="20" t="s">
        <v>80</v>
      </c>
      <c r="AL34" s="20" t="s">
        <v>80</v>
      </c>
      <c r="AM34" s="20" t="s">
        <v>80</v>
      </c>
      <c r="AN34" s="20" t="s">
        <v>80</v>
      </c>
      <c r="AO34" s="20" t="s">
        <v>80</v>
      </c>
      <c r="AP34" s="20" t="s">
        <v>80</v>
      </c>
      <c r="AQ34" s="20" t="s">
        <v>80</v>
      </c>
      <c r="AR34" s="26" t="s">
        <v>80</v>
      </c>
      <c r="AS34" s="38"/>
    </row>
    <row r="35" spans="1:45">
      <c r="A35" s="9" t="s">
        <v>193</v>
      </c>
      <c r="B35" s="36">
        <v>0.62674619780405905</v>
      </c>
      <c r="C35" s="32">
        <v>0.56389114594362799</v>
      </c>
      <c r="D35" s="34" t="s">
        <v>80</v>
      </c>
      <c r="E35" s="34" t="s">
        <v>80</v>
      </c>
      <c r="F35" s="20" t="s">
        <v>80</v>
      </c>
      <c r="G35" s="20" t="s">
        <v>80</v>
      </c>
      <c r="H35" s="20" t="s">
        <v>80</v>
      </c>
      <c r="I35" s="20" t="s">
        <v>80</v>
      </c>
      <c r="J35" s="20" t="s">
        <v>80</v>
      </c>
      <c r="K35" s="20" t="s">
        <v>80</v>
      </c>
      <c r="L35" s="20" t="s">
        <v>80</v>
      </c>
      <c r="M35" s="20" t="s">
        <v>80</v>
      </c>
      <c r="N35" s="20" t="s">
        <v>80</v>
      </c>
      <c r="O35" s="20" t="s">
        <v>80</v>
      </c>
      <c r="P35" s="20" t="s">
        <v>80</v>
      </c>
      <c r="Q35" s="20" t="s">
        <v>80</v>
      </c>
      <c r="R35" s="20" t="s">
        <v>80</v>
      </c>
      <c r="S35" s="20" t="s">
        <v>80</v>
      </c>
      <c r="T35" s="20" t="s">
        <v>80</v>
      </c>
      <c r="U35" s="20" t="s">
        <v>80</v>
      </c>
      <c r="V35" s="20" t="s">
        <v>80</v>
      </c>
      <c r="W35" s="20" t="s">
        <v>80</v>
      </c>
      <c r="X35" s="20" t="s">
        <v>80</v>
      </c>
      <c r="Y35" s="20" t="s">
        <v>80</v>
      </c>
      <c r="Z35" s="20" t="s">
        <v>80</v>
      </c>
      <c r="AA35" s="20" t="s">
        <v>80</v>
      </c>
      <c r="AB35" s="20" t="s">
        <v>80</v>
      </c>
      <c r="AC35" s="20" t="s">
        <v>80</v>
      </c>
      <c r="AD35" s="20" t="s">
        <v>80</v>
      </c>
      <c r="AE35" s="20" t="s">
        <v>80</v>
      </c>
      <c r="AF35" s="20" t="s">
        <v>80</v>
      </c>
      <c r="AG35" s="20" t="s">
        <v>80</v>
      </c>
      <c r="AH35" s="20" t="s">
        <v>80</v>
      </c>
      <c r="AI35" s="20" t="s">
        <v>80</v>
      </c>
      <c r="AJ35" s="34" t="s">
        <v>80</v>
      </c>
      <c r="AK35" s="20" t="s">
        <v>80</v>
      </c>
      <c r="AL35" s="20" t="s">
        <v>80</v>
      </c>
      <c r="AM35" s="20" t="s">
        <v>80</v>
      </c>
      <c r="AN35" s="20" t="s">
        <v>80</v>
      </c>
      <c r="AO35" s="20" t="s">
        <v>80</v>
      </c>
      <c r="AP35" s="20" t="s">
        <v>80</v>
      </c>
      <c r="AQ35" s="20" t="s">
        <v>80</v>
      </c>
      <c r="AR35" s="26" t="s">
        <v>80</v>
      </c>
      <c r="AS35" s="38"/>
    </row>
    <row r="36" spans="1:45">
      <c r="A36" s="9" t="s">
        <v>194</v>
      </c>
      <c r="B36" s="36">
        <v>12.7687126291897</v>
      </c>
      <c r="C36" s="32">
        <v>14.1561889906886</v>
      </c>
      <c r="D36" s="32">
        <v>14.8970197406578</v>
      </c>
      <c r="E36" s="32">
        <v>16.5593896631324</v>
      </c>
      <c r="F36" s="20" t="s">
        <v>80</v>
      </c>
      <c r="G36" s="15">
        <v>36.363636363636402</v>
      </c>
      <c r="H36" s="15">
        <v>19.553072625698299</v>
      </c>
      <c r="I36" s="15">
        <v>27.722772277227701</v>
      </c>
      <c r="J36" s="20" t="s">
        <v>80</v>
      </c>
      <c r="K36" s="20" t="s">
        <v>80</v>
      </c>
      <c r="L36" s="15">
        <v>14.953271028037401</v>
      </c>
      <c r="M36" s="15">
        <v>22.619047619047599</v>
      </c>
      <c r="N36" s="15">
        <v>15.9722222222222</v>
      </c>
      <c r="O36" s="15">
        <v>20.9677419354839</v>
      </c>
      <c r="P36" s="15">
        <v>27.272727272727298</v>
      </c>
      <c r="Q36" s="15">
        <v>17.647058823529399</v>
      </c>
      <c r="R36" s="15">
        <v>21.2765957446809</v>
      </c>
      <c r="S36" s="15">
        <v>58.695652173912997</v>
      </c>
      <c r="T36" s="15">
        <v>13.953488372093</v>
      </c>
      <c r="U36" s="20" t="s">
        <v>80</v>
      </c>
      <c r="V36" s="15">
        <v>36.842105263157897</v>
      </c>
      <c r="W36" s="15">
        <v>19.565217391304301</v>
      </c>
      <c r="X36" s="15">
        <v>33.3333333333333</v>
      </c>
      <c r="Y36" s="20" t="s">
        <v>80</v>
      </c>
      <c r="Z36" s="20" t="s">
        <v>80</v>
      </c>
      <c r="AA36" s="20" t="s">
        <v>80</v>
      </c>
      <c r="AB36" s="20" t="s">
        <v>80</v>
      </c>
      <c r="AC36" s="20" t="s">
        <v>80</v>
      </c>
      <c r="AD36" s="20" t="s">
        <v>80</v>
      </c>
      <c r="AE36" s="20" t="s">
        <v>80</v>
      </c>
      <c r="AF36" s="20" t="s">
        <v>80</v>
      </c>
      <c r="AG36" s="20" t="s">
        <v>80</v>
      </c>
      <c r="AH36" s="15">
        <v>9.67741935483871</v>
      </c>
      <c r="AI36" s="20" t="s">
        <v>80</v>
      </c>
      <c r="AJ36" s="32">
        <v>13.4426843178999</v>
      </c>
      <c r="AK36" s="15">
        <v>9.4674556213017809</v>
      </c>
      <c r="AL36" s="15">
        <v>9.3681917211329004</v>
      </c>
      <c r="AM36" s="15">
        <v>15.6565656565657</v>
      </c>
      <c r="AN36" s="15">
        <v>23.3576642335766</v>
      </c>
      <c r="AO36" s="15">
        <v>11.377245508982</v>
      </c>
      <c r="AP36" s="15">
        <v>11.9402985074627</v>
      </c>
      <c r="AQ36" s="15">
        <v>23.529411764705898</v>
      </c>
      <c r="AR36" s="24">
        <v>14.545454545454501</v>
      </c>
      <c r="AS36" s="38"/>
    </row>
    <row r="37" spans="1:45">
      <c r="A37" s="9" t="s">
        <v>195</v>
      </c>
      <c r="B37" s="36">
        <v>0.72679955632918603</v>
      </c>
      <c r="C37" s="32">
        <v>0.74113913263012199</v>
      </c>
      <c r="D37" s="32">
        <v>1.7373890398749801</v>
      </c>
      <c r="E37" s="32">
        <v>2.5574290094921501</v>
      </c>
      <c r="F37" s="20" t="s">
        <v>80</v>
      </c>
      <c r="G37" s="20" t="s">
        <v>80</v>
      </c>
      <c r="H37" s="15">
        <v>14.525139664804501</v>
      </c>
      <c r="I37" s="20" t="s">
        <v>80</v>
      </c>
      <c r="J37" s="20" t="s">
        <v>80</v>
      </c>
      <c r="K37" s="20" t="s">
        <v>80</v>
      </c>
      <c r="L37" s="20" t="s">
        <v>80</v>
      </c>
      <c r="M37" s="20" t="s">
        <v>80</v>
      </c>
      <c r="N37" s="20" t="s">
        <v>80</v>
      </c>
      <c r="O37" s="20" t="s">
        <v>80</v>
      </c>
      <c r="P37" s="20" t="s">
        <v>80</v>
      </c>
      <c r="Q37" s="20" t="s">
        <v>80</v>
      </c>
      <c r="R37" s="20" t="s">
        <v>80</v>
      </c>
      <c r="S37" s="20" t="s">
        <v>80</v>
      </c>
      <c r="T37" s="20" t="s">
        <v>80</v>
      </c>
      <c r="U37" s="20" t="s">
        <v>80</v>
      </c>
      <c r="V37" s="20" t="s">
        <v>80</v>
      </c>
      <c r="W37" s="20" t="s">
        <v>80</v>
      </c>
      <c r="X37" s="20" t="s">
        <v>80</v>
      </c>
      <c r="Y37" s="20" t="s">
        <v>80</v>
      </c>
      <c r="Z37" s="20" t="s">
        <v>80</v>
      </c>
      <c r="AA37" s="20" t="s">
        <v>80</v>
      </c>
      <c r="AB37" s="20" t="s">
        <v>80</v>
      </c>
      <c r="AC37" s="20" t="s">
        <v>80</v>
      </c>
      <c r="AD37" s="20" t="s">
        <v>80</v>
      </c>
      <c r="AE37" s="20" t="s">
        <v>80</v>
      </c>
      <c r="AF37" s="20" t="s">
        <v>80</v>
      </c>
      <c r="AG37" s="20" t="s">
        <v>80</v>
      </c>
      <c r="AH37" s="20" t="s">
        <v>80</v>
      </c>
      <c r="AI37" s="20" t="s">
        <v>80</v>
      </c>
      <c r="AJ37" s="34" t="s">
        <v>80</v>
      </c>
      <c r="AK37" s="20" t="s">
        <v>80</v>
      </c>
      <c r="AL37" s="15">
        <v>2.17864923747277</v>
      </c>
      <c r="AM37" s="20" t="s">
        <v>80</v>
      </c>
      <c r="AN37" s="20" t="s">
        <v>80</v>
      </c>
      <c r="AO37" s="20" t="s">
        <v>80</v>
      </c>
      <c r="AP37" s="20" t="s">
        <v>80</v>
      </c>
      <c r="AQ37" s="20" t="s">
        <v>80</v>
      </c>
      <c r="AR37" s="26" t="s">
        <v>80</v>
      </c>
      <c r="AS37" s="38"/>
    </row>
    <row r="38" spans="1:45">
      <c r="A38" s="9" t="s">
        <v>196</v>
      </c>
      <c r="B38" s="36">
        <v>1.8858825553587999</v>
      </c>
      <c r="C38" s="32">
        <v>1.82907531723313</v>
      </c>
      <c r="D38" s="32">
        <v>3.5553481937006501</v>
      </c>
      <c r="E38" s="32">
        <v>4.3326132566291502</v>
      </c>
      <c r="F38" s="20" t="s">
        <v>80</v>
      </c>
      <c r="G38" s="20" t="s">
        <v>80</v>
      </c>
      <c r="H38" s="20" t="s">
        <v>80</v>
      </c>
      <c r="I38" s="15">
        <v>36.633663366336599</v>
      </c>
      <c r="J38" s="20" t="s">
        <v>80</v>
      </c>
      <c r="K38" s="20" t="s">
        <v>80</v>
      </c>
      <c r="L38" s="20" t="s">
        <v>80</v>
      </c>
      <c r="M38" s="20" t="s">
        <v>80</v>
      </c>
      <c r="N38" s="20" t="s">
        <v>80</v>
      </c>
      <c r="O38" s="20" t="s">
        <v>80</v>
      </c>
      <c r="P38" s="15">
        <v>4.95867768595041</v>
      </c>
      <c r="Q38" s="20" t="s">
        <v>80</v>
      </c>
      <c r="R38" s="15">
        <v>25.531914893617</v>
      </c>
      <c r="S38" s="20" t="s">
        <v>80</v>
      </c>
      <c r="T38" s="20" t="s">
        <v>80</v>
      </c>
      <c r="U38" s="20" t="s">
        <v>80</v>
      </c>
      <c r="V38" s="20" t="s">
        <v>80</v>
      </c>
      <c r="W38" s="20" t="s">
        <v>80</v>
      </c>
      <c r="X38" s="15">
        <v>7.20720720720721</v>
      </c>
      <c r="Y38" s="20" t="s">
        <v>80</v>
      </c>
      <c r="Z38" s="20" t="s">
        <v>80</v>
      </c>
      <c r="AA38" s="20" t="s">
        <v>80</v>
      </c>
      <c r="AB38" s="20" t="s">
        <v>80</v>
      </c>
      <c r="AC38" s="20" t="s">
        <v>80</v>
      </c>
      <c r="AD38" s="20" t="s">
        <v>80</v>
      </c>
      <c r="AE38" s="20" t="s">
        <v>80</v>
      </c>
      <c r="AF38" s="20" t="s">
        <v>80</v>
      </c>
      <c r="AG38" s="20" t="s">
        <v>80</v>
      </c>
      <c r="AH38" s="15">
        <v>10.752688172042999</v>
      </c>
      <c r="AI38" s="20" t="s">
        <v>80</v>
      </c>
      <c r="AJ38" s="32">
        <v>2.8753526652647601</v>
      </c>
      <c r="AK38" s="20" t="s">
        <v>80</v>
      </c>
      <c r="AL38" s="20" t="s">
        <v>80</v>
      </c>
      <c r="AM38" s="20" t="s">
        <v>80</v>
      </c>
      <c r="AN38" s="20" t="s">
        <v>80</v>
      </c>
      <c r="AO38" s="20" t="s">
        <v>80</v>
      </c>
      <c r="AP38" s="15">
        <v>14.9253731343284</v>
      </c>
      <c r="AQ38" s="15">
        <v>6.6176470588235299</v>
      </c>
      <c r="AR38" s="26" t="s">
        <v>80</v>
      </c>
      <c r="AS38" s="38"/>
    </row>
    <row r="39" spans="1:45">
      <c r="A39" s="9" t="s">
        <v>197</v>
      </c>
      <c r="B39" s="36">
        <v>0.79957676271398204</v>
      </c>
      <c r="C39" s="32">
        <v>0.77947687926356601</v>
      </c>
      <c r="D39" s="32">
        <v>0.84683753144151097</v>
      </c>
      <c r="E39" s="34" t="s">
        <v>80</v>
      </c>
      <c r="F39" s="20" t="s">
        <v>80</v>
      </c>
      <c r="G39" s="20" t="s">
        <v>80</v>
      </c>
      <c r="H39" s="20" t="s">
        <v>80</v>
      </c>
      <c r="I39" s="20" t="s">
        <v>80</v>
      </c>
      <c r="J39" s="20" t="s">
        <v>80</v>
      </c>
      <c r="K39" s="20" t="s">
        <v>80</v>
      </c>
      <c r="L39" s="20" t="s">
        <v>80</v>
      </c>
      <c r="M39" s="20" t="s">
        <v>80</v>
      </c>
      <c r="N39" s="20" t="s">
        <v>80</v>
      </c>
      <c r="O39" s="20" t="s">
        <v>80</v>
      </c>
      <c r="P39" s="20" t="s">
        <v>80</v>
      </c>
      <c r="Q39" s="20" t="s">
        <v>80</v>
      </c>
      <c r="R39" s="20" t="s">
        <v>80</v>
      </c>
      <c r="S39" s="20" t="s">
        <v>80</v>
      </c>
      <c r="T39" s="20" t="s">
        <v>80</v>
      </c>
      <c r="U39" s="20" t="s">
        <v>80</v>
      </c>
      <c r="V39" s="20" t="s">
        <v>80</v>
      </c>
      <c r="W39" s="20" t="s">
        <v>80</v>
      </c>
      <c r="X39" s="20" t="s">
        <v>80</v>
      </c>
      <c r="Y39" s="20" t="s">
        <v>80</v>
      </c>
      <c r="Z39" s="20" t="s">
        <v>80</v>
      </c>
      <c r="AA39" s="20" t="s">
        <v>80</v>
      </c>
      <c r="AB39" s="20" t="s">
        <v>80</v>
      </c>
      <c r="AC39" s="20" t="s">
        <v>80</v>
      </c>
      <c r="AD39" s="20" t="s">
        <v>80</v>
      </c>
      <c r="AE39" s="20" t="s">
        <v>80</v>
      </c>
      <c r="AF39" s="20" t="s">
        <v>80</v>
      </c>
      <c r="AG39" s="20" t="s">
        <v>80</v>
      </c>
      <c r="AH39" s="20" t="s">
        <v>80</v>
      </c>
      <c r="AI39" s="15">
        <v>8.9285714285714306</v>
      </c>
      <c r="AJ39" s="34" t="s">
        <v>80</v>
      </c>
      <c r="AK39" s="15">
        <v>1.4792899408283999</v>
      </c>
      <c r="AL39" s="20" t="s">
        <v>80</v>
      </c>
      <c r="AM39" s="20" t="s">
        <v>80</v>
      </c>
      <c r="AN39" s="20" t="s">
        <v>80</v>
      </c>
      <c r="AO39" s="20" t="s">
        <v>80</v>
      </c>
      <c r="AP39" s="20" t="s">
        <v>80</v>
      </c>
      <c r="AQ39" s="20" t="s">
        <v>80</v>
      </c>
      <c r="AR39" s="26" t="s">
        <v>80</v>
      </c>
      <c r="AS39" s="38"/>
    </row>
    <row r="40" spans="1:45">
      <c r="A40" s="9" t="s">
        <v>198</v>
      </c>
      <c r="B40" s="36">
        <v>0.42723125219975799</v>
      </c>
      <c r="C40" s="32">
        <v>0.38327397423277698</v>
      </c>
      <c r="D40" s="32">
        <v>0.83090407268255295</v>
      </c>
      <c r="E40" s="34" t="s">
        <v>80</v>
      </c>
      <c r="F40" s="20" t="s">
        <v>80</v>
      </c>
      <c r="G40" s="20" t="s">
        <v>80</v>
      </c>
      <c r="H40" s="20" t="s">
        <v>80</v>
      </c>
      <c r="I40" s="20" t="s">
        <v>80</v>
      </c>
      <c r="J40" s="20" t="s">
        <v>80</v>
      </c>
      <c r="K40" s="20" t="s">
        <v>80</v>
      </c>
      <c r="L40" s="20" t="s">
        <v>80</v>
      </c>
      <c r="M40" s="20" t="s">
        <v>80</v>
      </c>
      <c r="N40" s="20" t="s">
        <v>80</v>
      </c>
      <c r="O40" s="20" t="s">
        <v>80</v>
      </c>
      <c r="P40" s="20" t="s">
        <v>80</v>
      </c>
      <c r="Q40" s="20" t="s">
        <v>80</v>
      </c>
      <c r="R40" s="20" t="s">
        <v>80</v>
      </c>
      <c r="S40" s="20" t="s">
        <v>80</v>
      </c>
      <c r="T40" s="20" t="s">
        <v>80</v>
      </c>
      <c r="U40" s="20" t="s">
        <v>80</v>
      </c>
      <c r="V40" s="20" t="s">
        <v>80</v>
      </c>
      <c r="W40" s="20" t="s">
        <v>80</v>
      </c>
      <c r="X40" s="20" t="s">
        <v>80</v>
      </c>
      <c r="Y40" s="20" t="s">
        <v>80</v>
      </c>
      <c r="Z40" s="20" t="s">
        <v>80</v>
      </c>
      <c r="AA40" s="20" t="s">
        <v>80</v>
      </c>
      <c r="AB40" s="20" t="s">
        <v>80</v>
      </c>
      <c r="AC40" s="20" t="s">
        <v>80</v>
      </c>
      <c r="AD40" s="20" t="s">
        <v>80</v>
      </c>
      <c r="AE40" s="20" t="s">
        <v>80</v>
      </c>
      <c r="AF40" s="20" t="s">
        <v>80</v>
      </c>
      <c r="AG40" s="20" t="s">
        <v>80</v>
      </c>
      <c r="AH40" s="20" t="s">
        <v>80</v>
      </c>
      <c r="AI40" s="20" t="s">
        <v>80</v>
      </c>
      <c r="AJ40" s="34" t="s">
        <v>80</v>
      </c>
      <c r="AK40" s="20" t="s">
        <v>80</v>
      </c>
      <c r="AL40" s="15">
        <v>4.3572984749455301</v>
      </c>
      <c r="AM40" s="20" t="s">
        <v>80</v>
      </c>
      <c r="AN40" s="20" t="s">
        <v>80</v>
      </c>
      <c r="AO40" s="20" t="s">
        <v>80</v>
      </c>
      <c r="AP40" s="20" t="s">
        <v>80</v>
      </c>
      <c r="AQ40" s="20" t="s">
        <v>80</v>
      </c>
      <c r="AR40" s="26" t="s">
        <v>80</v>
      </c>
      <c r="AS40" s="38"/>
    </row>
    <row r="41" spans="1:45">
      <c r="A41" s="9" t="s">
        <v>199</v>
      </c>
      <c r="B41" s="36">
        <v>12.063029894509199</v>
      </c>
      <c r="C41" s="32">
        <v>13.893112483977999</v>
      </c>
      <c r="D41" s="32">
        <v>13.4939286839227</v>
      </c>
      <c r="E41" s="32">
        <v>13.6864233552849</v>
      </c>
      <c r="F41" s="15">
        <v>13.7254901960784</v>
      </c>
      <c r="G41" s="15">
        <v>27.272727272727298</v>
      </c>
      <c r="H41" s="15">
        <v>21.787709497206698</v>
      </c>
      <c r="I41" s="15">
        <v>16.8316831683168</v>
      </c>
      <c r="J41" s="15">
        <v>12.8571428571429</v>
      </c>
      <c r="K41" s="20" t="s">
        <v>80</v>
      </c>
      <c r="L41" s="20" t="s">
        <v>80</v>
      </c>
      <c r="M41" s="15">
        <v>11.9047619047619</v>
      </c>
      <c r="N41" s="20" t="s">
        <v>80</v>
      </c>
      <c r="O41" s="15">
        <v>4.0322580645161299</v>
      </c>
      <c r="P41" s="15">
        <v>14.876033057851201</v>
      </c>
      <c r="Q41" s="15">
        <v>26.470588235294102</v>
      </c>
      <c r="R41" s="20" t="s">
        <v>80</v>
      </c>
      <c r="S41" s="20" t="s">
        <v>80</v>
      </c>
      <c r="T41" s="20" t="s">
        <v>80</v>
      </c>
      <c r="U41" s="20" t="s">
        <v>80</v>
      </c>
      <c r="V41" s="20" t="s">
        <v>80</v>
      </c>
      <c r="W41" s="15">
        <v>13.0434782608696</v>
      </c>
      <c r="X41" s="15">
        <v>14.4144144144144</v>
      </c>
      <c r="Y41" s="15">
        <v>6.8181818181818201</v>
      </c>
      <c r="Z41" s="15">
        <v>17.241379310344801</v>
      </c>
      <c r="AA41" s="20" t="s">
        <v>80</v>
      </c>
      <c r="AB41" s="20" t="s">
        <v>80</v>
      </c>
      <c r="AC41" s="15">
        <v>14.285714285714301</v>
      </c>
      <c r="AD41" s="20" t="s">
        <v>80</v>
      </c>
      <c r="AE41" s="20" t="s">
        <v>80</v>
      </c>
      <c r="AF41" s="20" t="s">
        <v>80</v>
      </c>
      <c r="AG41" s="20" t="s">
        <v>80</v>
      </c>
      <c r="AH41" s="15">
        <v>9.67741935483871</v>
      </c>
      <c r="AI41" s="15">
        <v>26.785714285714299</v>
      </c>
      <c r="AJ41" s="32">
        <v>13.325523435807201</v>
      </c>
      <c r="AK41" s="15">
        <v>8.57988165680473</v>
      </c>
      <c r="AL41" s="15">
        <v>6.7538126361655797</v>
      </c>
      <c r="AM41" s="15">
        <v>21.717171717171698</v>
      </c>
      <c r="AN41" s="15">
        <v>23.3576642335766</v>
      </c>
      <c r="AO41" s="15">
        <v>13.1736526946108</v>
      </c>
      <c r="AP41" s="15">
        <v>13.006396588486099</v>
      </c>
      <c r="AQ41" s="15">
        <v>18.382352941176499</v>
      </c>
      <c r="AR41" s="24">
        <v>11.818181818181801</v>
      </c>
      <c r="AS41" s="38"/>
    </row>
    <row r="42" spans="1:45">
      <c r="A42" s="9" t="s">
        <v>200</v>
      </c>
      <c r="B42" s="36">
        <v>0.69402425769814902</v>
      </c>
      <c r="C42" s="32">
        <v>0.48044679715527799</v>
      </c>
      <c r="D42" s="32">
        <v>0.72887063864941803</v>
      </c>
      <c r="E42" s="32">
        <v>1.12224150326158</v>
      </c>
      <c r="F42" s="20" t="s">
        <v>80</v>
      </c>
      <c r="G42" s="20" t="s">
        <v>80</v>
      </c>
      <c r="H42" s="20" t="s">
        <v>80</v>
      </c>
      <c r="I42" s="20" t="s">
        <v>80</v>
      </c>
      <c r="J42" s="20" t="s">
        <v>80</v>
      </c>
      <c r="K42" s="20" t="s">
        <v>80</v>
      </c>
      <c r="L42" s="20" t="s">
        <v>80</v>
      </c>
      <c r="M42" s="20" t="s">
        <v>80</v>
      </c>
      <c r="N42" s="20" t="s">
        <v>80</v>
      </c>
      <c r="O42" s="20" t="s">
        <v>80</v>
      </c>
      <c r="P42" s="20" t="s">
        <v>80</v>
      </c>
      <c r="Q42" s="20" t="s">
        <v>80</v>
      </c>
      <c r="R42" s="20" t="s">
        <v>80</v>
      </c>
      <c r="S42" s="20" t="s">
        <v>80</v>
      </c>
      <c r="T42" s="20" t="s">
        <v>80</v>
      </c>
      <c r="U42" s="20" t="s">
        <v>80</v>
      </c>
      <c r="V42" s="20" t="s">
        <v>80</v>
      </c>
      <c r="W42" s="20" t="s">
        <v>80</v>
      </c>
      <c r="X42" s="20" t="s">
        <v>80</v>
      </c>
      <c r="Y42" s="20" t="s">
        <v>80</v>
      </c>
      <c r="Z42" s="20" t="s">
        <v>80</v>
      </c>
      <c r="AA42" s="20" t="s">
        <v>80</v>
      </c>
      <c r="AB42" s="20" t="s">
        <v>80</v>
      </c>
      <c r="AC42" s="20" t="s">
        <v>80</v>
      </c>
      <c r="AD42" s="20" t="s">
        <v>80</v>
      </c>
      <c r="AE42" s="20" t="s">
        <v>80</v>
      </c>
      <c r="AF42" s="20" t="s">
        <v>80</v>
      </c>
      <c r="AG42" s="20" t="s">
        <v>80</v>
      </c>
      <c r="AH42" s="20" t="s">
        <v>80</v>
      </c>
      <c r="AI42" s="20" t="s">
        <v>80</v>
      </c>
      <c r="AJ42" s="34" t="s">
        <v>80</v>
      </c>
      <c r="AK42" s="20" t="s">
        <v>80</v>
      </c>
      <c r="AL42" s="20" t="s">
        <v>80</v>
      </c>
      <c r="AM42" s="20" t="s">
        <v>80</v>
      </c>
      <c r="AN42" s="20" t="s">
        <v>80</v>
      </c>
      <c r="AO42" s="20" t="s">
        <v>80</v>
      </c>
      <c r="AP42" s="20" t="s">
        <v>80</v>
      </c>
      <c r="AQ42" s="20" t="s">
        <v>80</v>
      </c>
      <c r="AR42" s="26" t="s">
        <v>80</v>
      </c>
      <c r="AS42" s="38"/>
    </row>
    <row r="43" spans="1:45">
      <c r="A43" s="9" t="s">
        <v>201</v>
      </c>
      <c r="B43" s="36">
        <v>12.5305207430773</v>
      </c>
      <c r="C43" s="32">
        <v>13.7307317240233</v>
      </c>
      <c r="D43" s="32">
        <v>15.252639651628201</v>
      </c>
      <c r="E43" s="32">
        <v>13.2826916413965</v>
      </c>
      <c r="F43" s="15">
        <v>41.176470588235297</v>
      </c>
      <c r="G43" s="20" t="s">
        <v>80</v>
      </c>
      <c r="H43" s="15">
        <v>18.994413407821199</v>
      </c>
      <c r="I43" s="15">
        <v>17.821782178217799</v>
      </c>
      <c r="J43" s="20" t="s">
        <v>80</v>
      </c>
      <c r="K43" s="20" t="s">
        <v>80</v>
      </c>
      <c r="L43" s="15">
        <v>12.1495327102804</v>
      </c>
      <c r="M43" s="15">
        <v>15.476190476190499</v>
      </c>
      <c r="N43" s="20" t="s">
        <v>80</v>
      </c>
      <c r="O43" s="15">
        <v>19.354838709677399</v>
      </c>
      <c r="P43" s="15">
        <v>25.619834710743799</v>
      </c>
      <c r="Q43" s="15">
        <v>14.705882352941201</v>
      </c>
      <c r="R43" s="20" t="s">
        <v>80</v>
      </c>
      <c r="S43" s="20" t="s">
        <v>80</v>
      </c>
      <c r="T43" s="20" t="s">
        <v>80</v>
      </c>
      <c r="U43" s="20" t="s">
        <v>80</v>
      </c>
      <c r="V43" s="15">
        <v>23.684210526315798</v>
      </c>
      <c r="W43" s="20" t="s">
        <v>80</v>
      </c>
      <c r="X43" s="15">
        <v>19.819819819819799</v>
      </c>
      <c r="Y43" s="15">
        <v>6.0606060606060597</v>
      </c>
      <c r="Z43" s="15">
        <v>20.689655172413801</v>
      </c>
      <c r="AA43" s="15">
        <v>13.0434782608696</v>
      </c>
      <c r="AB43" s="20" t="s">
        <v>80</v>
      </c>
      <c r="AC43" s="20" t="s">
        <v>80</v>
      </c>
      <c r="AD43" s="20" t="s">
        <v>80</v>
      </c>
      <c r="AE43" s="15">
        <v>18.181818181818201</v>
      </c>
      <c r="AF43" s="20" t="s">
        <v>80</v>
      </c>
      <c r="AG43" s="20" t="s">
        <v>80</v>
      </c>
      <c r="AH43" s="15">
        <v>6.4516129032258096</v>
      </c>
      <c r="AI43" s="15">
        <v>26.785714285714299</v>
      </c>
      <c r="AJ43" s="32">
        <v>16.976061817500099</v>
      </c>
      <c r="AK43" s="15">
        <v>15.8284023668639</v>
      </c>
      <c r="AL43" s="15">
        <v>9.5860566448801805</v>
      </c>
      <c r="AM43" s="15">
        <v>19.696969696969699</v>
      </c>
      <c r="AN43" s="15">
        <v>38.686131386861298</v>
      </c>
      <c r="AO43" s="15">
        <v>19.461077844311401</v>
      </c>
      <c r="AP43" s="15">
        <v>15.565031982942401</v>
      </c>
      <c r="AQ43" s="15">
        <v>24.264705882352899</v>
      </c>
      <c r="AR43" s="24">
        <v>16.363636363636399</v>
      </c>
      <c r="AS43" s="38"/>
    </row>
    <row r="44" spans="1:45">
      <c r="A44" s="9" t="s">
        <v>202</v>
      </c>
      <c r="B44" s="36">
        <v>11.7237307083766</v>
      </c>
      <c r="C44" s="32">
        <v>11.9237830413844</v>
      </c>
      <c r="D44" s="32">
        <v>12.695784825404999</v>
      </c>
      <c r="E44" s="32">
        <v>17.1362044641075</v>
      </c>
      <c r="F44" s="15">
        <v>33.3333333333333</v>
      </c>
      <c r="G44" s="15">
        <v>31.818181818181799</v>
      </c>
      <c r="H44" s="15">
        <v>17.877094972066999</v>
      </c>
      <c r="I44" s="15">
        <v>26.7326732673267</v>
      </c>
      <c r="J44" s="15">
        <v>14.285714285714301</v>
      </c>
      <c r="K44" s="20" t="s">
        <v>80</v>
      </c>
      <c r="L44" s="15">
        <v>18.691588785046701</v>
      </c>
      <c r="M44" s="15">
        <v>21.428571428571399</v>
      </c>
      <c r="N44" s="15">
        <v>6.25</v>
      </c>
      <c r="O44" s="15">
        <v>8.8709677419354804</v>
      </c>
      <c r="P44" s="15">
        <v>27.272727272727298</v>
      </c>
      <c r="Q44" s="15">
        <v>32.352941176470601</v>
      </c>
      <c r="R44" s="15">
        <v>14.893617021276601</v>
      </c>
      <c r="S44" s="15">
        <v>15.2173913043478</v>
      </c>
      <c r="T44" s="20" t="s">
        <v>80</v>
      </c>
      <c r="U44" s="15">
        <v>12.5</v>
      </c>
      <c r="V44" s="15">
        <v>18.421052631578899</v>
      </c>
      <c r="W44" s="20" t="s">
        <v>80</v>
      </c>
      <c r="X44" s="15">
        <v>28.828828828828801</v>
      </c>
      <c r="Y44" s="15">
        <v>11.363636363636401</v>
      </c>
      <c r="Z44" s="15">
        <v>27.586206896551701</v>
      </c>
      <c r="AA44" s="20" t="s">
        <v>80</v>
      </c>
      <c r="AB44" s="20" t="s">
        <v>80</v>
      </c>
      <c r="AC44" s="15">
        <v>11.9047619047619</v>
      </c>
      <c r="AD44" s="20" t="s">
        <v>80</v>
      </c>
      <c r="AE44" s="15">
        <v>18.181818181818201</v>
      </c>
      <c r="AF44" s="20" t="s">
        <v>80</v>
      </c>
      <c r="AG44" s="20" t="s">
        <v>80</v>
      </c>
      <c r="AH44" s="15">
        <v>7.5268817204301097</v>
      </c>
      <c r="AI44" s="20" t="s">
        <v>80</v>
      </c>
      <c r="AJ44" s="32">
        <v>8.8110540653214997</v>
      </c>
      <c r="AK44" s="15">
        <v>7.5443786982248504</v>
      </c>
      <c r="AL44" s="15">
        <v>7.8431372549019596</v>
      </c>
      <c r="AM44" s="15">
        <v>11.6161616161616</v>
      </c>
      <c r="AN44" s="15">
        <v>13.868613138686101</v>
      </c>
      <c r="AO44" s="15">
        <v>8.9820359281437092</v>
      </c>
      <c r="AP44" s="15">
        <v>10.8742004264392</v>
      </c>
      <c r="AQ44" s="15">
        <v>10.294117647058799</v>
      </c>
      <c r="AR44" s="24">
        <v>9.0909090909090899</v>
      </c>
      <c r="AS44" s="38"/>
    </row>
    <row r="45" spans="1:45">
      <c r="A45" s="9" t="s">
        <v>203</v>
      </c>
      <c r="B45" s="36">
        <v>0.37691265127750501</v>
      </c>
      <c r="C45" s="32">
        <v>0.49477266497232097</v>
      </c>
      <c r="D45" s="32">
        <v>1.07423750631727</v>
      </c>
      <c r="E45" s="32">
        <v>2.0062307566127702</v>
      </c>
      <c r="F45" s="20" t="s">
        <v>80</v>
      </c>
      <c r="G45" s="20" t="s">
        <v>80</v>
      </c>
      <c r="H45" s="20" t="s">
        <v>80</v>
      </c>
      <c r="I45" s="20" t="s">
        <v>80</v>
      </c>
      <c r="J45" s="20" t="s">
        <v>80</v>
      </c>
      <c r="K45" s="20" t="s">
        <v>80</v>
      </c>
      <c r="L45" s="20" t="s">
        <v>80</v>
      </c>
      <c r="M45" s="20" t="s">
        <v>80</v>
      </c>
      <c r="N45" s="20" t="s">
        <v>80</v>
      </c>
      <c r="O45" s="20" t="s">
        <v>80</v>
      </c>
      <c r="P45" s="20" t="s">
        <v>80</v>
      </c>
      <c r="Q45" s="20" t="s">
        <v>80</v>
      </c>
      <c r="R45" s="20" t="s">
        <v>80</v>
      </c>
      <c r="S45" s="20" t="s">
        <v>80</v>
      </c>
      <c r="T45" s="20" t="s">
        <v>80</v>
      </c>
      <c r="U45" s="20" t="s">
        <v>80</v>
      </c>
      <c r="V45" s="20" t="s">
        <v>80</v>
      </c>
      <c r="W45" s="20" t="s">
        <v>80</v>
      </c>
      <c r="X45" s="20" t="s">
        <v>80</v>
      </c>
      <c r="Y45" s="20" t="s">
        <v>80</v>
      </c>
      <c r="Z45" s="20" t="s">
        <v>80</v>
      </c>
      <c r="AA45" s="20" t="s">
        <v>80</v>
      </c>
      <c r="AB45" s="20" t="s">
        <v>80</v>
      </c>
      <c r="AC45" s="15">
        <v>11.9047619047619</v>
      </c>
      <c r="AD45" s="20" t="s">
        <v>80</v>
      </c>
      <c r="AE45" s="20" t="s">
        <v>80</v>
      </c>
      <c r="AF45" s="20" t="s">
        <v>80</v>
      </c>
      <c r="AG45" s="20" t="s">
        <v>80</v>
      </c>
      <c r="AH45" s="20" t="s">
        <v>80</v>
      </c>
      <c r="AI45" s="20" t="s">
        <v>80</v>
      </c>
      <c r="AJ45" s="34" t="s">
        <v>80</v>
      </c>
      <c r="AK45" s="20" t="s">
        <v>80</v>
      </c>
      <c r="AL45" s="20" t="s">
        <v>80</v>
      </c>
      <c r="AM45" s="20" t="s">
        <v>80</v>
      </c>
      <c r="AN45" s="20" t="s">
        <v>80</v>
      </c>
      <c r="AO45" s="20" t="s">
        <v>80</v>
      </c>
      <c r="AP45" s="20" t="s">
        <v>80</v>
      </c>
      <c r="AQ45" s="20" t="s">
        <v>80</v>
      </c>
      <c r="AR45" s="26" t="s">
        <v>80</v>
      </c>
      <c r="AS45" s="38"/>
    </row>
    <row r="46" spans="1:45">
      <c r="A46" s="9" t="s">
        <v>204</v>
      </c>
      <c r="B46" s="36">
        <v>0.73801607286605297</v>
      </c>
      <c r="C46" s="32">
        <v>0.51101504396511599</v>
      </c>
      <c r="D46" s="32">
        <v>0.52769866787199204</v>
      </c>
      <c r="E46" s="34" t="s">
        <v>80</v>
      </c>
      <c r="F46" s="20" t="s">
        <v>80</v>
      </c>
      <c r="G46" s="20" t="s">
        <v>80</v>
      </c>
      <c r="H46" s="20" t="s">
        <v>80</v>
      </c>
      <c r="I46" s="20" t="s">
        <v>80</v>
      </c>
      <c r="J46" s="20" t="s">
        <v>80</v>
      </c>
      <c r="K46" s="20" t="s">
        <v>80</v>
      </c>
      <c r="L46" s="20" t="s">
        <v>80</v>
      </c>
      <c r="M46" s="20" t="s">
        <v>80</v>
      </c>
      <c r="N46" s="20" t="s">
        <v>80</v>
      </c>
      <c r="O46" s="20" t="s">
        <v>80</v>
      </c>
      <c r="P46" s="20" t="s">
        <v>80</v>
      </c>
      <c r="Q46" s="20" t="s">
        <v>80</v>
      </c>
      <c r="R46" s="20" t="s">
        <v>80</v>
      </c>
      <c r="S46" s="20" t="s">
        <v>80</v>
      </c>
      <c r="T46" s="20" t="s">
        <v>80</v>
      </c>
      <c r="U46" s="20" t="s">
        <v>80</v>
      </c>
      <c r="V46" s="20" t="s">
        <v>80</v>
      </c>
      <c r="W46" s="20" t="s">
        <v>80</v>
      </c>
      <c r="X46" s="20" t="s">
        <v>80</v>
      </c>
      <c r="Y46" s="20" t="s">
        <v>80</v>
      </c>
      <c r="Z46" s="20" t="s">
        <v>80</v>
      </c>
      <c r="AA46" s="20" t="s">
        <v>80</v>
      </c>
      <c r="AB46" s="20" t="s">
        <v>80</v>
      </c>
      <c r="AC46" s="20" t="s">
        <v>80</v>
      </c>
      <c r="AD46" s="20" t="s">
        <v>80</v>
      </c>
      <c r="AE46" s="20" t="s">
        <v>80</v>
      </c>
      <c r="AF46" s="20" t="s">
        <v>80</v>
      </c>
      <c r="AG46" s="20" t="s">
        <v>80</v>
      </c>
      <c r="AH46" s="20" t="s">
        <v>80</v>
      </c>
      <c r="AI46" s="20" t="s">
        <v>80</v>
      </c>
      <c r="AJ46" s="34" t="s">
        <v>80</v>
      </c>
      <c r="AK46" s="20" t="s">
        <v>80</v>
      </c>
      <c r="AL46" s="20" t="s">
        <v>80</v>
      </c>
      <c r="AM46" s="15">
        <v>6.5656565656565702</v>
      </c>
      <c r="AN46" s="20" t="s">
        <v>80</v>
      </c>
      <c r="AO46" s="20" t="s">
        <v>80</v>
      </c>
      <c r="AP46" s="20" t="s">
        <v>80</v>
      </c>
      <c r="AQ46" s="20" t="s">
        <v>80</v>
      </c>
      <c r="AR46" s="26" t="s">
        <v>80</v>
      </c>
      <c r="AS46" s="38"/>
    </row>
    <row r="47" spans="1:45">
      <c r="A47" s="9" t="s">
        <v>205</v>
      </c>
      <c r="B47" s="36">
        <v>0.45239305101969701</v>
      </c>
      <c r="C47" s="32">
        <v>0.60288953180358196</v>
      </c>
      <c r="D47" s="34" t="s">
        <v>80</v>
      </c>
      <c r="E47" s="34" t="s">
        <v>80</v>
      </c>
      <c r="F47" s="20" t="s">
        <v>80</v>
      </c>
      <c r="G47" s="20" t="s">
        <v>80</v>
      </c>
      <c r="H47" s="20" t="s">
        <v>80</v>
      </c>
      <c r="I47" s="20" t="s">
        <v>80</v>
      </c>
      <c r="J47" s="20" t="s">
        <v>80</v>
      </c>
      <c r="K47" s="20" t="s">
        <v>80</v>
      </c>
      <c r="L47" s="20" t="s">
        <v>80</v>
      </c>
      <c r="M47" s="20" t="s">
        <v>80</v>
      </c>
      <c r="N47" s="20" t="s">
        <v>80</v>
      </c>
      <c r="O47" s="20" t="s">
        <v>80</v>
      </c>
      <c r="P47" s="20" t="s">
        <v>80</v>
      </c>
      <c r="Q47" s="20" t="s">
        <v>80</v>
      </c>
      <c r="R47" s="20" t="s">
        <v>80</v>
      </c>
      <c r="S47" s="20" t="s">
        <v>80</v>
      </c>
      <c r="T47" s="20" t="s">
        <v>80</v>
      </c>
      <c r="U47" s="20" t="s">
        <v>80</v>
      </c>
      <c r="V47" s="20" t="s">
        <v>80</v>
      </c>
      <c r="W47" s="20" t="s">
        <v>80</v>
      </c>
      <c r="X47" s="20" t="s">
        <v>80</v>
      </c>
      <c r="Y47" s="20" t="s">
        <v>80</v>
      </c>
      <c r="Z47" s="20" t="s">
        <v>80</v>
      </c>
      <c r="AA47" s="20" t="s">
        <v>80</v>
      </c>
      <c r="AB47" s="20" t="s">
        <v>80</v>
      </c>
      <c r="AC47" s="20" t="s">
        <v>80</v>
      </c>
      <c r="AD47" s="20" t="s">
        <v>80</v>
      </c>
      <c r="AE47" s="20" t="s">
        <v>80</v>
      </c>
      <c r="AF47" s="20" t="s">
        <v>80</v>
      </c>
      <c r="AG47" s="20" t="s">
        <v>80</v>
      </c>
      <c r="AH47" s="20" t="s">
        <v>80</v>
      </c>
      <c r="AI47" s="20" t="s">
        <v>80</v>
      </c>
      <c r="AJ47" s="34" t="s">
        <v>80</v>
      </c>
      <c r="AK47" s="20" t="s">
        <v>80</v>
      </c>
      <c r="AL47" s="20" t="s">
        <v>80</v>
      </c>
      <c r="AM47" s="20" t="s">
        <v>80</v>
      </c>
      <c r="AN47" s="20" t="s">
        <v>80</v>
      </c>
      <c r="AO47" s="20" t="s">
        <v>80</v>
      </c>
      <c r="AP47" s="20" t="s">
        <v>80</v>
      </c>
      <c r="AQ47" s="20" t="s">
        <v>80</v>
      </c>
      <c r="AR47" s="26" t="s">
        <v>80</v>
      </c>
      <c r="AS47" s="38"/>
    </row>
    <row r="48" spans="1:45">
      <c r="A48" s="9" t="s">
        <v>206</v>
      </c>
      <c r="B48" s="36">
        <v>1.7089978547657101</v>
      </c>
      <c r="C48" s="32">
        <v>1.4681411861443601</v>
      </c>
      <c r="D48" s="32">
        <v>1.003769578145</v>
      </c>
      <c r="E48" s="32">
        <v>1.1819019651279701</v>
      </c>
      <c r="F48" s="20" t="s">
        <v>80</v>
      </c>
      <c r="G48" s="20" t="s">
        <v>80</v>
      </c>
      <c r="H48" s="20" t="s">
        <v>80</v>
      </c>
      <c r="I48" s="20" t="s">
        <v>80</v>
      </c>
      <c r="J48" s="20" t="s">
        <v>80</v>
      </c>
      <c r="K48" s="20" t="s">
        <v>80</v>
      </c>
      <c r="L48" s="20" t="s">
        <v>80</v>
      </c>
      <c r="M48" s="20" t="s">
        <v>80</v>
      </c>
      <c r="N48" s="20" t="s">
        <v>80</v>
      </c>
      <c r="O48" s="20" t="s">
        <v>80</v>
      </c>
      <c r="P48" s="20" t="s">
        <v>80</v>
      </c>
      <c r="Q48" s="20" t="s">
        <v>80</v>
      </c>
      <c r="R48" s="20" t="s">
        <v>80</v>
      </c>
      <c r="S48" s="20" t="s">
        <v>80</v>
      </c>
      <c r="T48" s="20" t="s">
        <v>80</v>
      </c>
      <c r="U48" s="20" t="s">
        <v>80</v>
      </c>
      <c r="V48" s="20" t="s">
        <v>80</v>
      </c>
      <c r="W48" s="20" t="s">
        <v>80</v>
      </c>
      <c r="X48" s="20" t="s">
        <v>80</v>
      </c>
      <c r="Y48" s="20" t="s">
        <v>80</v>
      </c>
      <c r="Z48" s="20" t="s">
        <v>80</v>
      </c>
      <c r="AA48" s="20" t="s">
        <v>80</v>
      </c>
      <c r="AB48" s="20" t="s">
        <v>80</v>
      </c>
      <c r="AC48" s="20" t="s">
        <v>80</v>
      </c>
      <c r="AD48" s="20" t="s">
        <v>80</v>
      </c>
      <c r="AE48" s="20" t="s">
        <v>80</v>
      </c>
      <c r="AF48" s="20" t="s">
        <v>80</v>
      </c>
      <c r="AG48" s="20" t="s">
        <v>80</v>
      </c>
      <c r="AH48" s="20" t="s">
        <v>80</v>
      </c>
      <c r="AI48" s="20" t="s">
        <v>80</v>
      </c>
      <c r="AJ48" s="34" t="s">
        <v>80</v>
      </c>
      <c r="AK48" s="20" t="s">
        <v>80</v>
      </c>
      <c r="AL48" s="20" t="s">
        <v>80</v>
      </c>
      <c r="AM48" s="20" t="s">
        <v>80</v>
      </c>
      <c r="AN48" s="20" t="s">
        <v>80</v>
      </c>
      <c r="AO48" s="15">
        <v>1.4970059880239499</v>
      </c>
      <c r="AP48" s="15">
        <v>2.3454157782516001</v>
      </c>
      <c r="AQ48" s="20" t="s">
        <v>80</v>
      </c>
      <c r="AR48" s="26" t="s">
        <v>80</v>
      </c>
      <c r="AS48" s="38"/>
    </row>
    <row r="49" spans="1:45">
      <c r="A49" s="9" t="s">
        <v>207</v>
      </c>
      <c r="B49" s="36">
        <v>0.49837726734774102</v>
      </c>
      <c r="C49" s="32">
        <v>0.99992247553040403</v>
      </c>
      <c r="D49" s="32">
        <v>1.9549298604545</v>
      </c>
      <c r="E49" s="32">
        <v>2.2936980908443498</v>
      </c>
      <c r="F49" s="20" t="s">
        <v>80</v>
      </c>
      <c r="G49" s="20" t="s">
        <v>80</v>
      </c>
      <c r="H49" s="15">
        <v>19.553072625698299</v>
      </c>
      <c r="I49" s="15">
        <v>5.9405940594059397</v>
      </c>
      <c r="J49" s="20" t="s">
        <v>80</v>
      </c>
      <c r="K49" s="20" t="s">
        <v>80</v>
      </c>
      <c r="L49" s="15">
        <v>7.4766355140186898</v>
      </c>
      <c r="M49" s="20" t="s">
        <v>80</v>
      </c>
      <c r="N49" s="20" t="s">
        <v>80</v>
      </c>
      <c r="O49" s="20" t="s">
        <v>80</v>
      </c>
      <c r="P49" s="20" t="s">
        <v>80</v>
      </c>
      <c r="Q49" s="20" t="s">
        <v>80</v>
      </c>
      <c r="R49" s="20" t="s">
        <v>80</v>
      </c>
      <c r="S49" s="20" t="s">
        <v>80</v>
      </c>
      <c r="T49" s="20" t="s">
        <v>80</v>
      </c>
      <c r="U49" s="20" t="s">
        <v>80</v>
      </c>
      <c r="V49" s="20" t="s">
        <v>80</v>
      </c>
      <c r="W49" s="20" t="s">
        <v>80</v>
      </c>
      <c r="X49" s="20" t="s">
        <v>80</v>
      </c>
      <c r="Y49" s="20" t="s">
        <v>80</v>
      </c>
      <c r="Z49" s="20" t="s">
        <v>80</v>
      </c>
      <c r="AA49" s="20" t="s">
        <v>80</v>
      </c>
      <c r="AB49" s="20" t="s">
        <v>80</v>
      </c>
      <c r="AC49" s="20" t="s">
        <v>80</v>
      </c>
      <c r="AD49" s="20" t="s">
        <v>80</v>
      </c>
      <c r="AE49" s="20" t="s">
        <v>80</v>
      </c>
      <c r="AF49" s="20" t="s">
        <v>80</v>
      </c>
      <c r="AG49" s="20" t="s">
        <v>80</v>
      </c>
      <c r="AH49" s="20" t="s">
        <v>80</v>
      </c>
      <c r="AI49" s="20" t="s">
        <v>80</v>
      </c>
      <c r="AJ49" s="32">
        <v>1.65855621286855</v>
      </c>
      <c r="AK49" s="15">
        <v>2.9585798816567999</v>
      </c>
      <c r="AL49" s="15">
        <v>2.17864923747277</v>
      </c>
      <c r="AM49" s="20" t="s">
        <v>80</v>
      </c>
      <c r="AN49" s="20" t="s">
        <v>80</v>
      </c>
      <c r="AO49" s="15">
        <v>3.8922155688622802</v>
      </c>
      <c r="AP49" s="15">
        <v>1.7057569296375299</v>
      </c>
      <c r="AQ49" s="20" t="s">
        <v>80</v>
      </c>
      <c r="AR49" s="26" t="s">
        <v>80</v>
      </c>
      <c r="AS49" s="38"/>
    </row>
    <row r="50" spans="1:45">
      <c r="A50" s="9" t="s">
        <v>208</v>
      </c>
      <c r="B50" s="36">
        <v>8.2732796800996802</v>
      </c>
      <c r="C50" s="32">
        <v>7.1303039171329496</v>
      </c>
      <c r="D50" s="32">
        <v>12.3547086921116</v>
      </c>
      <c r="E50" s="32">
        <v>23.627503146657801</v>
      </c>
      <c r="F50" s="15">
        <v>47.058823529411796</v>
      </c>
      <c r="G50" s="15">
        <v>36.363636363636402</v>
      </c>
      <c r="H50" s="15">
        <v>29.608938547486002</v>
      </c>
      <c r="I50" s="15">
        <v>22.7722772277228</v>
      </c>
      <c r="J50" s="15">
        <v>24.285714285714299</v>
      </c>
      <c r="K50" s="20" t="s">
        <v>80</v>
      </c>
      <c r="L50" s="15">
        <v>22.429906542056099</v>
      </c>
      <c r="M50" s="15">
        <v>21.428571428571399</v>
      </c>
      <c r="N50" s="15">
        <v>11.1111111111111</v>
      </c>
      <c r="O50" s="15">
        <v>22.580645161290299</v>
      </c>
      <c r="P50" s="15">
        <v>30.578512396694201</v>
      </c>
      <c r="Q50" s="15">
        <v>41.176470588235297</v>
      </c>
      <c r="R50" s="15">
        <v>25.531914893617</v>
      </c>
      <c r="S50" s="20" t="s">
        <v>80</v>
      </c>
      <c r="T50" s="15">
        <v>20.930232558139501</v>
      </c>
      <c r="U50" s="15">
        <v>10.714285714285699</v>
      </c>
      <c r="V50" s="15">
        <v>23.684210526315798</v>
      </c>
      <c r="W50" s="15">
        <v>19.565217391304301</v>
      </c>
      <c r="X50" s="15">
        <v>28.828828828828801</v>
      </c>
      <c r="Y50" s="15">
        <v>9.8484848484848495</v>
      </c>
      <c r="Z50" s="15">
        <v>31.034482758620701</v>
      </c>
      <c r="AA50" s="15">
        <v>17.3913043478261</v>
      </c>
      <c r="AB50" s="20" t="s">
        <v>80</v>
      </c>
      <c r="AC50" s="15">
        <v>11.9047619047619</v>
      </c>
      <c r="AD50" s="15">
        <v>10.869565217391299</v>
      </c>
      <c r="AE50" s="15">
        <v>21.2121212121212</v>
      </c>
      <c r="AF50" s="15">
        <v>18.181818181818201</v>
      </c>
      <c r="AG50" s="15">
        <v>53.3333333333333</v>
      </c>
      <c r="AH50" s="15">
        <v>8.6021505376344098</v>
      </c>
      <c r="AI50" s="15">
        <v>32.142857142857103</v>
      </c>
      <c r="AJ50" s="32">
        <v>2.4926292192645798</v>
      </c>
      <c r="AK50" s="15">
        <v>1.4792899408283999</v>
      </c>
      <c r="AL50" s="15">
        <v>2.17864923747277</v>
      </c>
      <c r="AM50" s="15">
        <v>11.1111111111111</v>
      </c>
      <c r="AN50" s="15">
        <v>4.3795620437956204</v>
      </c>
      <c r="AO50" s="15">
        <v>6.88622754491018</v>
      </c>
      <c r="AP50" s="15">
        <v>2.3454157782516001</v>
      </c>
      <c r="AQ50" s="20" t="s">
        <v>80</v>
      </c>
      <c r="AR50" s="26" t="s">
        <v>80</v>
      </c>
      <c r="AS50" s="38"/>
    </row>
    <row r="51" spans="1:45">
      <c r="A51" s="9" t="s">
        <v>209</v>
      </c>
      <c r="B51" s="36">
        <v>3.22476602895272</v>
      </c>
      <c r="C51" s="32">
        <v>3.3081219983003298</v>
      </c>
      <c r="D51" s="32">
        <v>3.2096581128240098</v>
      </c>
      <c r="E51" s="32">
        <v>3.1264396706501398</v>
      </c>
      <c r="F51" s="20" t="s">
        <v>80</v>
      </c>
      <c r="G51" s="20" t="s">
        <v>80</v>
      </c>
      <c r="H51" s="20" t="s">
        <v>80</v>
      </c>
      <c r="I51" s="20" t="s">
        <v>80</v>
      </c>
      <c r="J51" s="20" t="s">
        <v>80</v>
      </c>
      <c r="K51" s="20" t="s">
        <v>80</v>
      </c>
      <c r="L51" s="20" t="s">
        <v>80</v>
      </c>
      <c r="M51" s="20" t="s">
        <v>80</v>
      </c>
      <c r="N51" s="20" t="s">
        <v>80</v>
      </c>
      <c r="O51" s="20" t="s">
        <v>80</v>
      </c>
      <c r="P51" s="20" t="s">
        <v>80</v>
      </c>
      <c r="Q51" s="20" t="s">
        <v>80</v>
      </c>
      <c r="R51" s="20" t="s">
        <v>80</v>
      </c>
      <c r="S51" s="20" t="s">
        <v>80</v>
      </c>
      <c r="T51" s="20" t="s">
        <v>80</v>
      </c>
      <c r="U51" s="20" t="s">
        <v>80</v>
      </c>
      <c r="V51" s="20" t="s">
        <v>80</v>
      </c>
      <c r="W51" s="20" t="s">
        <v>80</v>
      </c>
      <c r="X51" s="20" t="s">
        <v>80</v>
      </c>
      <c r="Y51" s="20" t="s">
        <v>80</v>
      </c>
      <c r="Z51" s="20" t="s">
        <v>80</v>
      </c>
      <c r="AA51" s="20" t="s">
        <v>80</v>
      </c>
      <c r="AB51" s="20" t="s">
        <v>80</v>
      </c>
      <c r="AC51" s="20" t="s">
        <v>80</v>
      </c>
      <c r="AD51" s="20" t="s">
        <v>80</v>
      </c>
      <c r="AE51" s="20" t="s">
        <v>80</v>
      </c>
      <c r="AF51" s="20" t="s">
        <v>80</v>
      </c>
      <c r="AG51" s="20" t="s">
        <v>80</v>
      </c>
      <c r="AH51" s="20" t="s">
        <v>80</v>
      </c>
      <c r="AI51" s="15">
        <v>16.071428571428601</v>
      </c>
      <c r="AJ51" s="32">
        <v>3.2824623224309999</v>
      </c>
      <c r="AK51" s="15">
        <v>4.2899408284023703</v>
      </c>
      <c r="AL51" s="15">
        <v>2.8322440087145999</v>
      </c>
      <c r="AM51" s="20" t="s">
        <v>80</v>
      </c>
      <c r="AN51" s="15">
        <v>13.868613138686101</v>
      </c>
      <c r="AO51" s="20" t="s">
        <v>80</v>
      </c>
      <c r="AP51" s="15">
        <v>2.3454157782516001</v>
      </c>
      <c r="AQ51" s="20" t="s">
        <v>80</v>
      </c>
      <c r="AR51" s="26" t="s">
        <v>80</v>
      </c>
      <c r="AS51" s="38"/>
    </row>
    <row r="52" spans="1:45">
      <c r="A52" s="9" t="s">
        <v>210</v>
      </c>
      <c r="B52" s="36">
        <v>0.50928712414919097</v>
      </c>
      <c r="C52" s="32">
        <v>0.51765695540675305</v>
      </c>
      <c r="D52" s="34" t="s">
        <v>80</v>
      </c>
      <c r="E52" s="34" t="s">
        <v>80</v>
      </c>
      <c r="F52" s="20" t="s">
        <v>80</v>
      </c>
      <c r="G52" s="20" t="s">
        <v>80</v>
      </c>
      <c r="H52" s="20" t="s">
        <v>80</v>
      </c>
      <c r="I52" s="20" t="s">
        <v>80</v>
      </c>
      <c r="J52" s="20" t="s">
        <v>80</v>
      </c>
      <c r="K52" s="20" t="s">
        <v>80</v>
      </c>
      <c r="L52" s="20" t="s">
        <v>80</v>
      </c>
      <c r="M52" s="20" t="s">
        <v>80</v>
      </c>
      <c r="N52" s="20" t="s">
        <v>80</v>
      </c>
      <c r="O52" s="20" t="s">
        <v>80</v>
      </c>
      <c r="P52" s="20" t="s">
        <v>80</v>
      </c>
      <c r="Q52" s="20" t="s">
        <v>80</v>
      </c>
      <c r="R52" s="20" t="s">
        <v>80</v>
      </c>
      <c r="S52" s="20" t="s">
        <v>80</v>
      </c>
      <c r="T52" s="20" t="s">
        <v>80</v>
      </c>
      <c r="U52" s="20" t="s">
        <v>80</v>
      </c>
      <c r="V52" s="20" t="s">
        <v>80</v>
      </c>
      <c r="W52" s="20" t="s">
        <v>80</v>
      </c>
      <c r="X52" s="20" t="s">
        <v>80</v>
      </c>
      <c r="Y52" s="20" t="s">
        <v>80</v>
      </c>
      <c r="Z52" s="20" t="s">
        <v>80</v>
      </c>
      <c r="AA52" s="20" t="s">
        <v>80</v>
      </c>
      <c r="AB52" s="20" t="s">
        <v>80</v>
      </c>
      <c r="AC52" s="20" t="s">
        <v>80</v>
      </c>
      <c r="AD52" s="20" t="s">
        <v>80</v>
      </c>
      <c r="AE52" s="20" t="s">
        <v>80</v>
      </c>
      <c r="AF52" s="20" t="s">
        <v>80</v>
      </c>
      <c r="AG52" s="20" t="s">
        <v>80</v>
      </c>
      <c r="AH52" s="20" t="s">
        <v>80</v>
      </c>
      <c r="AI52" s="20" t="s">
        <v>80</v>
      </c>
      <c r="AJ52" s="34" t="s">
        <v>80</v>
      </c>
      <c r="AK52" s="20" t="s">
        <v>80</v>
      </c>
      <c r="AL52" s="20" t="s">
        <v>80</v>
      </c>
      <c r="AM52" s="20" t="s">
        <v>80</v>
      </c>
      <c r="AN52" s="20" t="s">
        <v>80</v>
      </c>
      <c r="AO52" s="20" t="s">
        <v>80</v>
      </c>
      <c r="AP52" s="20" t="s">
        <v>80</v>
      </c>
      <c r="AQ52" s="20" t="s">
        <v>80</v>
      </c>
      <c r="AR52" s="26" t="s">
        <v>80</v>
      </c>
      <c r="AS52" s="38"/>
    </row>
    <row r="53" spans="1:45">
      <c r="A53" s="9" t="s">
        <v>211</v>
      </c>
      <c r="B53" s="36">
        <v>6.9652156954483297</v>
      </c>
      <c r="C53" s="32">
        <v>6.0571326312190399</v>
      </c>
      <c r="D53" s="32">
        <v>8.00246691040679</v>
      </c>
      <c r="E53" s="32">
        <v>5.8873076132729496</v>
      </c>
      <c r="F53" s="20" t="s">
        <v>80</v>
      </c>
      <c r="G53" s="20" t="s">
        <v>80</v>
      </c>
      <c r="H53" s="15">
        <v>5.0279329608938497</v>
      </c>
      <c r="I53" s="15">
        <v>4.9504950495049496</v>
      </c>
      <c r="J53" s="20" t="s">
        <v>80</v>
      </c>
      <c r="K53" s="20" t="s">
        <v>80</v>
      </c>
      <c r="L53" s="15">
        <v>5.6074766355140202</v>
      </c>
      <c r="M53" s="15">
        <v>9.5238095238095202</v>
      </c>
      <c r="N53" s="20" t="s">
        <v>80</v>
      </c>
      <c r="O53" s="20" t="s">
        <v>80</v>
      </c>
      <c r="P53" s="15">
        <v>4.95867768595041</v>
      </c>
      <c r="Q53" s="20" t="s">
        <v>80</v>
      </c>
      <c r="R53" s="20" t="s">
        <v>80</v>
      </c>
      <c r="S53" s="20" t="s">
        <v>80</v>
      </c>
      <c r="T53" s="20" t="s">
        <v>80</v>
      </c>
      <c r="U53" s="20" t="s">
        <v>80</v>
      </c>
      <c r="V53" s="20" t="s">
        <v>80</v>
      </c>
      <c r="W53" s="20" t="s">
        <v>80</v>
      </c>
      <c r="X53" s="15">
        <v>16.2162162162162</v>
      </c>
      <c r="Y53" s="20" t="s">
        <v>80</v>
      </c>
      <c r="Z53" s="15">
        <v>17.241379310344801</v>
      </c>
      <c r="AA53" s="20" t="s">
        <v>80</v>
      </c>
      <c r="AB53" s="20" t="s">
        <v>80</v>
      </c>
      <c r="AC53" s="20" t="s">
        <v>80</v>
      </c>
      <c r="AD53" s="20" t="s">
        <v>80</v>
      </c>
      <c r="AE53" s="20" t="s">
        <v>80</v>
      </c>
      <c r="AF53" s="20" t="s">
        <v>80</v>
      </c>
      <c r="AG53" s="15">
        <v>60</v>
      </c>
      <c r="AH53" s="20" t="s">
        <v>80</v>
      </c>
      <c r="AI53" s="15">
        <v>8.9285714285714306</v>
      </c>
      <c r="AJ53" s="32">
        <v>9.8529281398894693</v>
      </c>
      <c r="AK53" s="15">
        <v>4.14201183431953</v>
      </c>
      <c r="AL53" s="15">
        <v>2.6143790849673199</v>
      </c>
      <c r="AM53" s="15">
        <v>3.0303030303030298</v>
      </c>
      <c r="AN53" s="15">
        <v>17.518248175182499</v>
      </c>
      <c r="AO53" s="15">
        <v>16.4670658682635</v>
      </c>
      <c r="AP53" s="15">
        <v>13.8592750533049</v>
      </c>
      <c r="AQ53" s="15">
        <v>31.617647058823501</v>
      </c>
      <c r="AR53" s="24">
        <v>4.8484848484848504</v>
      </c>
      <c r="AS53" s="38"/>
    </row>
    <row r="54" spans="1:45">
      <c r="A54" s="9" t="s">
        <v>212</v>
      </c>
      <c r="B54" s="36">
        <v>1.57363495228821</v>
      </c>
      <c r="C54" s="32">
        <v>1.5106759515340999</v>
      </c>
      <c r="D54" s="32">
        <v>1.74166878537573</v>
      </c>
      <c r="E54" s="32">
        <v>3.0231559133279098</v>
      </c>
      <c r="F54" s="15">
        <v>11.764705882352899</v>
      </c>
      <c r="G54" s="15">
        <v>31.818181818181799</v>
      </c>
      <c r="H54" s="20" t="s">
        <v>80</v>
      </c>
      <c r="I54" s="15">
        <v>4.9504950495049496</v>
      </c>
      <c r="J54" s="20" t="s">
        <v>80</v>
      </c>
      <c r="K54" s="15">
        <v>16.2162162162162</v>
      </c>
      <c r="L54" s="20" t="s">
        <v>80</v>
      </c>
      <c r="M54" s="20" t="s">
        <v>80</v>
      </c>
      <c r="N54" s="20" t="s">
        <v>80</v>
      </c>
      <c r="O54" s="15">
        <v>4.0322580645161299</v>
      </c>
      <c r="P54" s="20" t="s">
        <v>80</v>
      </c>
      <c r="Q54" s="20" t="s">
        <v>80</v>
      </c>
      <c r="R54" s="20" t="s">
        <v>80</v>
      </c>
      <c r="S54" s="15">
        <v>32.6086956521739</v>
      </c>
      <c r="T54" s="20" t="s">
        <v>80</v>
      </c>
      <c r="U54" s="20" t="s">
        <v>80</v>
      </c>
      <c r="V54" s="20" t="s">
        <v>80</v>
      </c>
      <c r="W54" s="20" t="s">
        <v>80</v>
      </c>
      <c r="X54" s="20" t="s">
        <v>80</v>
      </c>
      <c r="Y54" s="15">
        <v>9.8484848484848495</v>
      </c>
      <c r="Z54" s="20" t="s">
        <v>80</v>
      </c>
      <c r="AA54" s="20" t="s">
        <v>80</v>
      </c>
      <c r="AB54" s="20" t="s">
        <v>80</v>
      </c>
      <c r="AC54" s="20" t="s">
        <v>80</v>
      </c>
      <c r="AD54" s="20" t="s">
        <v>80</v>
      </c>
      <c r="AE54" s="20" t="s">
        <v>80</v>
      </c>
      <c r="AF54" s="20" t="s">
        <v>80</v>
      </c>
      <c r="AG54" s="20" t="s">
        <v>80</v>
      </c>
      <c r="AH54" s="20" t="s">
        <v>80</v>
      </c>
      <c r="AI54" s="20" t="s">
        <v>80</v>
      </c>
      <c r="AJ54" s="34" t="s">
        <v>80</v>
      </c>
      <c r="AK54" s="20" t="s">
        <v>80</v>
      </c>
      <c r="AL54" s="20" t="s">
        <v>80</v>
      </c>
      <c r="AM54" s="20" t="s">
        <v>80</v>
      </c>
      <c r="AN54" s="20" t="s">
        <v>80</v>
      </c>
      <c r="AO54" s="20" t="s">
        <v>80</v>
      </c>
      <c r="AP54" s="20" t="s">
        <v>80</v>
      </c>
      <c r="AQ54" s="20" t="s">
        <v>80</v>
      </c>
      <c r="AR54" s="26" t="s">
        <v>80</v>
      </c>
      <c r="AS54" s="38"/>
    </row>
    <row r="55" spans="1:45">
      <c r="A55" s="9" t="s">
        <v>213</v>
      </c>
      <c r="B55" s="36">
        <v>0.64335254668960595</v>
      </c>
      <c r="C55" s="32">
        <v>0.95265582388966796</v>
      </c>
      <c r="D55" s="32">
        <v>0.52869580929698701</v>
      </c>
      <c r="E55" s="34" t="s">
        <v>80</v>
      </c>
      <c r="F55" s="20" t="s">
        <v>80</v>
      </c>
      <c r="G55" s="20" t="s">
        <v>80</v>
      </c>
      <c r="H55" s="20" t="s">
        <v>80</v>
      </c>
      <c r="I55" s="20" t="s">
        <v>80</v>
      </c>
      <c r="J55" s="20" t="s">
        <v>80</v>
      </c>
      <c r="K55" s="20" t="s">
        <v>80</v>
      </c>
      <c r="L55" s="20" t="s">
        <v>80</v>
      </c>
      <c r="M55" s="20" t="s">
        <v>80</v>
      </c>
      <c r="N55" s="20" t="s">
        <v>80</v>
      </c>
      <c r="O55" s="20" t="s">
        <v>80</v>
      </c>
      <c r="P55" s="20" t="s">
        <v>80</v>
      </c>
      <c r="Q55" s="20" t="s">
        <v>80</v>
      </c>
      <c r="R55" s="20" t="s">
        <v>80</v>
      </c>
      <c r="S55" s="20" t="s">
        <v>80</v>
      </c>
      <c r="T55" s="20" t="s">
        <v>80</v>
      </c>
      <c r="U55" s="20" t="s">
        <v>80</v>
      </c>
      <c r="V55" s="20" t="s">
        <v>80</v>
      </c>
      <c r="W55" s="20" t="s">
        <v>80</v>
      </c>
      <c r="X55" s="15">
        <v>5.4054054054054097</v>
      </c>
      <c r="Y55" s="20" t="s">
        <v>80</v>
      </c>
      <c r="Z55" s="20" t="s">
        <v>80</v>
      </c>
      <c r="AA55" s="20" t="s">
        <v>80</v>
      </c>
      <c r="AB55" s="20" t="s">
        <v>80</v>
      </c>
      <c r="AC55" s="20" t="s">
        <v>80</v>
      </c>
      <c r="AD55" s="20" t="s">
        <v>80</v>
      </c>
      <c r="AE55" s="20" t="s">
        <v>80</v>
      </c>
      <c r="AF55" s="20" t="s">
        <v>80</v>
      </c>
      <c r="AG55" s="20" t="s">
        <v>80</v>
      </c>
      <c r="AH55" s="20" t="s">
        <v>80</v>
      </c>
      <c r="AI55" s="20" t="s">
        <v>80</v>
      </c>
      <c r="AJ55" s="34" t="s">
        <v>80</v>
      </c>
      <c r="AK55" s="20" t="s">
        <v>80</v>
      </c>
      <c r="AL55" s="20" t="s">
        <v>80</v>
      </c>
      <c r="AM55" s="20" t="s">
        <v>80</v>
      </c>
      <c r="AN55" s="20" t="s">
        <v>80</v>
      </c>
      <c r="AO55" s="20" t="s">
        <v>80</v>
      </c>
      <c r="AP55" s="20" t="s">
        <v>80</v>
      </c>
      <c r="AQ55" s="20" t="s">
        <v>80</v>
      </c>
      <c r="AR55" s="26" t="s">
        <v>80</v>
      </c>
      <c r="AS55" s="38"/>
    </row>
    <row r="56" spans="1:45">
      <c r="A56" s="9" t="s">
        <v>214</v>
      </c>
      <c r="B56" s="36">
        <v>2.2180682918292698</v>
      </c>
      <c r="C56" s="32">
        <v>2.2464406104104202</v>
      </c>
      <c r="D56" s="32">
        <v>2.2227844611297898</v>
      </c>
      <c r="E56" s="32">
        <v>1.84642083537194</v>
      </c>
      <c r="F56" s="20" t="s">
        <v>80</v>
      </c>
      <c r="G56" s="20" t="s">
        <v>80</v>
      </c>
      <c r="H56" s="20" t="s">
        <v>80</v>
      </c>
      <c r="I56" s="20" t="s">
        <v>80</v>
      </c>
      <c r="J56" s="20" t="s">
        <v>80</v>
      </c>
      <c r="K56" s="20" t="s">
        <v>80</v>
      </c>
      <c r="L56" s="20" t="s">
        <v>80</v>
      </c>
      <c r="M56" s="20" t="s">
        <v>80</v>
      </c>
      <c r="N56" s="20" t="s">
        <v>80</v>
      </c>
      <c r="O56" s="20" t="s">
        <v>80</v>
      </c>
      <c r="P56" s="15">
        <v>4.95867768595041</v>
      </c>
      <c r="Q56" s="20" t="s">
        <v>80</v>
      </c>
      <c r="R56" s="20" t="s">
        <v>80</v>
      </c>
      <c r="S56" s="20" t="s">
        <v>80</v>
      </c>
      <c r="T56" s="20" t="s">
        <v>80</v>
      </c>
      <c r="U56" s="20" t="s">
        <v>80</v>
      </c>
      <c r="V56" s="20" t="s">
        <v>80</v>
      </c>
      <c r="W56" s="20" t="s">
        <v>80</v>
      </c>
      <c r="X56" s="20" t="s">
        <v>80</v>
      </c>
      <c r="Y56" s="15">
        <v>5.3030303030303001</v>
      </c>
      <c r="Z56" s="20" t="s">
        <v>80</v>
      </c>
      <c r="AA56" s="20" t="s">
        <v>80</v>
      </c>
      <c r="AB56" s="20" t="s">
        <v>80</v>
      </c>
      <c r="AC56" s="20" t="s">
        <v>80</v>
      </c>
      <c r="AD56" s="20" t="s">
        <v>80</v>
      </c>
      <c r="AE56" s="20" t="s">
        <v>80</v>
      </c>
      <c r="AF56" s="20" t="s">
        <v>80</v>
      </c>
      <c r="AG56" s="20" t="s">
        <v>80</v>
      </c>
      <c r="AH56" s="20" t="s">
        <v>80</v>
      </c>
      <c r="AI56" s="20" t="s">
        <v>80</v>
      </c>
      <c r="AJ56" s="32">
        <v>2.5520486912973102</v>
      </c>
      <c r="AK56" s="15">
        <v>2.6627218934911201</v>
      </c>
      <c r="AL56" s="20" t="s">
        <v>80</v>
      </c>
      <c r="AM56" s="20" t="s">
        <v>80</v>
      </c>
      <c r="AN56" s="15">
        <v>6.5693430656934302</v>
      </c>
      <c r="AO56" s="15">
        <v>1.4970059880239499</v>
      </c>
      <c r="AP56" s="20" t="s">
        <v>80</v>
      </c>
      <c r="AQ56" s="20" t="s">
        <v>80</v>
      </c>
      <c r="AR56" s="24">
        <v>2.4242424242424199</v>
      </c>
      <c r="AS56" s="38"/>
    </row>
    <row r="57" spans="1:45">
      <c r="A57" s="9" t="s">
        <v>215</v>
      </c>
      <c r="B57" s="36">
        <v>1.0788988744740799</v>
      </c>
      <c r="C57" s="32">
        <v>1.03368230857855</v>
      </c>
      <c r="D57" s="32">
        <v>1.8646656607719401</v>
      </c>
      <c r="E57" s="32">
        <v>3.02843632022301</v>
      </c>
      <c r="F57" s="20" t="s">
        <v>80</v>
      </c>
      <c r="G57" s="20" t="s">
        <v>80</v>
      </c>
      <c r="H57" s="20" t="s">
        <v>80</v>
      </c>
      <c r="I57" s="20" t="s">
        <v>80</v>
      </c>
      <c r="J57" s="20" t="s">
        <v>80</v>
      </c>
      <c r="K57" s="20" t="s">
        <v>80</v>
      </c>
      <c r="L57" s="15">
        <v>4.6728971962616797</v>
      </c>
      <c r="M57" s="20" t="s">
        <v>80</v>
      </c>
      <c r="N57" s="15">
        <v>4.8611111111111098</v>
      </c>
      <c r="O57" s="20" t="s">
        <v>80</v>
      </c>
      <c r="P57" s="20" t="s">
        <v>80</v>
      </c>
      <c r="Q57" s="20" t="s">
        <v>80</v>
      </c>
      <c r="R57" s="20" t="s">
        <v>80</v>
      </c>
      <c r="S57" s="20" t="s">
        <v>80</v>
      </c>
      <c r="T57" s="20" t="s">
        <v>80</v>
      </c>
      <c r="U57" s="20" t="s">
        <v>80</v>
      </c>
      <c r="V57" s="20" t="s">
        <v>80</v>
      </c>
      <c r="W57" s="20" t="s">
        <v>80</v>
      </c>
      <c r="X57" s="15">
        <v>8.1081081081081106</v>
      </c>
      <c r="Y57" s="20" t="s">
        <v>80</v>
      </c>
      <c r="Z57" s="20" t="s">
        <v>80</v>
      </c>
      <c r="AA57" s="20" t="s">
        <v>80</v>
      </c>
      <c r="AB57" s="20" t="s">
        <v>80</v>
      </c>
      <c r="AC57" s="20" t="s">
        <v>80</v>
      </c>
      <c r="AD57" s="20" t="s">
        <v>80</v>
      </c>
      <c r="AE57" s="20" t="s">
        <v>80</v>
      </c>
      <c r="AF57" s="20" t="s">
        <v>80</v>
      </c>
      <c r="AG57" s="20" t="s">
        <v>80</v>
      </c>
      <c r="AH57" s="20" t="s">
        <v>80</v>
      </c>
      <c r="AI57" s="20" t="s">
        <v>80</v>
      </c>
      <c r="AJ57" s="34" t="s">
        <v>80</v>
      </c>
      <c r="AK57" s="20" t="s">
        <v>80</v>
      </c>
      <c r="AL57" s="20" t="s">
        <v>80</v>
      </c>
      <c r="AM57" s="20" t="s">
        <v>80</v>
      </c>
      <c r="AN57" s="20" t="s">
        <v>80</v>
      </c>
      <c r="AO57" s="15">
        <v>5.0898203592814397</v>
      </c>
      <c r="AP57" s="20" t="s">
        <v>80</v>
      </c>
      <c r="AQ57" s="20" t="s">
        <v>80</v>
      </c>
      <c r="AR57" s="26" t="s">
        <v>80</v>
      </c>
      <c r="AS57" s="38"/>
    </row>
    <row r="58" spans="1:45">
      <c r="A58" s="9" t="s">
        <v>216</v>
      </c>
      <c r="B58" s="36">
        <v>2.1302041688114799</v>
      </c>
      <c r="C58" s="32">
        <v>2.10103984630019</v>
      </c>
      <c r="D58" s="32">
        <v>1.51828797736301</v>
      </c>
      <c r="E58" s="34" t="s">
        <v>80</v>
      </c>
      <c r="F58" s="20" t="s">
        <v>80</v>
      </c>
      <c r="G58" s="20" t="s">
        <v>80</v>
      </c>
      <c r="H58" s="20" t="s">
        <v>80</v>
      </c>
      <c r="I58" s="20" t="s">
        <v>80</v>
      </c>
      <c r="J58" s="20" t="s">
        <v>80</v>
      </c>
      <c r="K58" s="20" t="s">
        <v>80</v>
      </c>
      <c r="L58" s="20" t="s">
        <v>80</v>
      </c>
      <c r="M58" s="20" t="s">
        <v>80</v>
      </c>
      <c r="N58" s="20" t="s">
        <v>80</v>
      </c>
      <c r="O58" s="20" t="s">
        <v>80</v>
      </c>
      <c r="P58" s="15">
        <v>4.95867768595041</v>
      </c>
      <c r="Q58" s="20" t="s">
        <v>80</v>
      </c>
      <c r="R58" s="20" t="s">
        <v>80</v>
      </c>
      <c r="S58" s="20" t="s">
        <v>80</v>
      </c>
      <c r="T58" s="20" t="s">
        <v>80</v>
      </c>
      <c r="U58" s="20" t="s">
        <v>80</v>
      </c>
      <c r="V58" s="20" t="s">
        <v>80</v>
      </c>
      <c r="W58" s="20" t="s">
        <v>80</v>
      </c>
      <c r="X58" s="20" t="s">
        <v>80</v>
      </c>
      <c r="Y58" s="20" t="s">
        <v>80</v>
      </c>
      <c r="Z58" s="20" t="s">
        <v>80</v>
      </c>
      <c r="AA58" s="20" t="s">
        <v>80</v>
      </c>
      <c r="AB58" s="20" t="s">
        <v>80</v>
      </c>
      <c r="AC58" s="20" t="s">
        <v>80</v>
      </c>
      <c r="AD58" s="20" t="s">
        <v>80</v>
      </c>
      <c r="AE58" s="20" t="s">
        <v>80</v>
      </c>
      <c r="AF58" s="20" t="s">
        <v>80</v>
      </c>
      <c r="AG58" s="20" t="s">
        <v>80</v>
      </c>
      <c r="AH58" s="20" t="s">
        <v>80</v>
      </c>
      <c r="AI58" s="20" t="s">
        <v>80</v>
      </c>
      <c r="AJ58" s="32">
        <v>2.3150297483261402</v>
      </c>
      <c r="AK58" s="15">
        <v>2.81065088757396</v>
      </c>
      <c r="AL58" s="15">
        <v>3.7037037037037002</v>
      </c>
      <c r="AM58" s="20" t="s">
        <v>80</v>
      </c>
      <c r="AN58" s="20" t="s">
        <v>80</v>
      </c>
      <c r="AO58" s="20" t="s">
        <v>80</v>
      </c>
      <c r="AP58" s="15">
        <v>2.7718550106609801</v>
      </c>
      <c r="AQ58" s="20" t="s">
        <v>80</v>
      </c>
      <c r="AR58" s="26" t="s">
        <v>80</v>
      </c>
      <c r="AS58" s="38"/>
    </row>
    <row r="59" spans="1:45">
      <c r="A59" s="9" t="s">
        <v>217</v>
      </c>
      <c r="B59" s="36">
        <v>0.43132470215101998</v>
      </c>
      <c r="C59" s="32">
        <v>0.32882322164014999</v>
      </c>
      <c r="D59" s="32">
        <v>0.92205856921709695</v>
      </c>
      <c r="E59" s="34" t="s">
        <v>80</v>
      </c>
      <c r="F59" s="20" t="s">
        <v>80</v>
      </c>
      <c r="G59" s="20" t="s">
        <v>80</v>
      </c>
      <c r="H59" s="20" t="s">
        <v>80</v>
      </c>
      <c r="I59" s="20" t="s">
        <v>80</v>
      </c>
      <c r="J59" s="20" t="s">
        <v>80</v>
      </c>
      <c r="K59" s="20" t="s">
        <v>80</v>
      </c>
      <c r="L59" s="20" t="s">
        <v>80</v>
      </c>
      <c r="M59" s="15">
        <v>5.9523809523809499</v>
      </c>
      <c r="N59" s="20" t="s">
        <v>80</v>
      </c>
      <c r="O59" s="20" t="s">
        <v>80</v>
      </c>
      <c r="P59" s="15">
        <v>4.95867768595041</v>
      </c>
      <c r="Q59" s="20" t="s">
        <v>80</v>
      </c>
      <c r="R59" s="20" t="s">
        <v>80</v>
      </c>
      <c r="S59" s="20" t="s">
        <v>80</v>
      </c>
      <c r="T59" s="20" t="s">
        <v>80</v>
      </c>
      <c r="U59" s="20" t="s">
        <v>80</v>
      </c>
      <c r="V59" s="20" t="s">
        <v>80</v>
      </c>
      <c r="W59" s="20" t="s">
        <v>80</v>
      </c>
      <c r="X59" s="20" t="s">
        <v>80</v>
      </c>
      <c r="Y59" s="20" t="s">
        <v>80</v>
      </c>
      <c r="Z59" s="20" t="s">
        <v>80</v>
      </c>
      <c r="AA59" s="20" t="s">
        <v>80</v>
      </c>
      <c r="AB59" s="20" t="s">
        <v>80</v>
      </c>
      <c r="AC59" s="20" t="s">
        <v>80</v>
      </c>
      <c r="AD59" s="20" t="s">
        <v>80</v>
      </c>
      <c r="AE59" s="20" t="s">
        <v>80</v>
      </c>
      <c r="AF59" s="20" t="s">
        <v>80</v>
      </c>
      <c r="AG59" s="20" t="s">
        <v>80</v>
      </c>
      <c r="AH59" s="20" t="s">
        <v>80</v>
      </c>
      <c r="AI59" s="20" t="s">
        <v>80</v>
      </c>
      <c r="AJ59" s="32">
        <v>0.97318792421922196</v>
      </c>
      <c r="AK59" s="15">
        <v>0.73964497041420096</v>
      </c>
      <c r="AL59" s="20" t="s">
        <v>80</v>
      </c>
      <c r="AM59" s="20" t="s">
        <v>80</v>
      </c>
      <c r="AN59" s="15">
        <v>7.2992700729926998</v>
      </c>
      <c r="AO59" s="20" t="s">
        <v>80</v>
      </c>
      <c r="AP59" s="20" t="s">
        <v>80</v>
      </c>
      <c r="AQ59" s="20" t="s">
        <v>80</v>
      </c>
      <c r="AR59" s="26" t="s">
        <v>80</v>
      </c>
      <c r="AS59" s="38"/>
    </row>
    <row r="60" spans="1:45">
      <c r="A60" s="9" t="s">
        <v>218</v>
      </c>
      <c r="B60" s="36">
        <v>0.288581049189156</v>
      </c>
      <c r="C60" s="32">
        <v>0.23014368826083001</v>
      </c>
      <c r="D60" s="34" t="s">
        <v>80</v>
      </c>
      <c r="E60" s="34" t="s">
        <v>80</v>
      </c>
      <c r="F60" s="20" t="s">
        <v>80</v>
      </c>
      <c r="G60" s="20" t="s">
        <v>80</v>
      </c>
      <c r="H60" s="20" t="s">
        <v>80</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20" t="s">
        <v>80</v>
      </c>
      <c r="X60" s="20" t="s">
        <v>80</v>
      </c>
      <c r="Y60" s="20" t="s">
        <v>80</v>
      </c>
      <c r="Z60" s="20" t="s">
        <v>80</v>
      </c>
      <c r="AA60" s="20" t="s">
        <v>80</v>
      </c>
      <c r="AB60" s="20" t="s">
        <v>80</v>
      </c>
      <c r="AC60" s="20" t="s">
        <v>80</v>
      </c>
      <c r="AD60" s="20" t="s">
        <v>80</v>
      </c>
      <c r="AE60" s="20" t="s">
        <v>80</v>
      </c>
      <c r="AF60" s="20" t="s">
        <v>80</v>
      </c>
      <c r="AG60" s="20" t="s">
        <v>80</v>
      </c>
      <c r="AH60" s="20" t="s">
        <v>80</v>
      </c>
      <c r="AI60" s="20" t="s">
        <v>80</v>
      </c>
      <c r="AJ60" s="34" t="s">
        <v>80</v>
      </c>
      <c r="AK60" s="20" t="s">
        <v>80</v>
      </c>
      <c r="AL60" s="20" t="s">
        <v>80</v>
      </c>
      <c r="AM60" s="20" t="s">
        <v>80</v>
      </c>
      <c r="AN60" s="20" t="s">
        <v>80</v>
      </c>
      <c r="AO60" s="20" t="s">
        <v>80</v>
      </c>
      <c r="AP60" s="20" t="s">
        <v>80</v>
      </c>
      <c r="AQ60" s="20" t="s">
        <v>80</v>
      </c>
      <c r="AR60" s="26" t="s">
        <v>80</v>
      </c>
      <c r="AS60" s="38"/>
    </row>
    <row r="61" spans="1:45">
      <c r="A61" s="9" t="s">
        <v>219</v>
      </c>
      <c r="B61" s="36">
        <v>0.22578542086359499</v>
      </c>
      <c r="C61" s="32">
        <v>0.15701056761357099</v>
      </c>
      <c r="D61" s="34" t="s">
        <v>80</v>
      </c>
      <c r="E61" s="34" t="s">
        <v>80</v>
      </c>
      <c r="F61" s="20" t="s">
        <v>80</v>
      </c>
      <c r="G61" s="20" t="s">
        <v>80</v>
      </c>
      <c r="H61" s="20" t="s">
        <v>80</v>
      </c>
      <c r="I61" s="20" t="s">
        <v>80</v>
      </c>
      <c r="J61" s="20" t="s">
        <v>80</v>
      </c>
      <c r="K61" s="20" t="s">
        <v>80</v>
      </c>
      <c r="L61" s="20" t="s">
        <v>80</v>
      </c>
      <c r="M61" s="20" t="s">
        <v>80</v>
      </c>
      <c r="N61" s="20" t="s">
        <v>80</v>
      </c>
      <c r="O61" s="20" t="s">
        <v>80</v>
      </c>
      <c r="P61" s="20" t="s">
        <v>80</v>
      </c>
      <c r="Q61" s="20" t="s">
        <v>80</v>
      </c>
      <c r="R61" s="20" t="s">
        <v>80</v>
      </c>
      <c r="S61" s="20" t="s">
        <v>80</v>
      </c>
      <c r="T61" s="20" t="s">
        <v>80</v>
      </c>
      <c r="U61" s="20" t="s">
        <v>80</v>
      </c>
      <c r="V61" s="20" t="s">
        <v>80</v>
      </c>
      <c r="W61" s="20" t="s">
        <v>80</v>
      </c>
      <c r="X61" s="20" t="s">
        <v>80</v>
      </c>
      <c r="Y61" s="20" t="s">
        <v>80</v>
      </c>
      <c r="Z61" s="20" t="s">
        <v>80</v>
      </c>
      <c r="AA61" s="20" t="s">
        <v>80</v>
      </c>
      <c r="AB61" s="20" t="s">
        <v>80</v>
      </c>
      <c r="AC61" s="20" t="s">
        <v>80</v>
      </c>
      <c r="AD61" s="20" t="s">
        <v>80</v>
      </c>
      <c r="AE61" s="20" t="s">
        <v>80</v>
      </c>
      <c r="AF61" s="20" t="s">
        <v>80</v>
      </c>
      <c r="AG61" s="20" t="s">
        <v>80</v>
      </c>
      <c r="AH61" s="20" t="s">
        <v>80</v>
      </c>
      <c r="AI61" s="20" t="s">
        <v>80</v>
      </c>
      <c r="AJ61" s="34" t="s">
        <v>80</v>
      </c>
      <c r="AK61" s="20" t="s">
        <v>80</v>
      </c>
      <c r="AL61" s="20" t="s">
        <v>80</v>
      </c>
      <c r="AM61" s="20" t="s">
        <v>80</v>
      </c>
      <c r="AN61" s="20" t="s">
        <v>80</v>
      </c>
      <c r="AO61" s="20" t="s">
        <v>80</v>
      </c>
      <c r="AP61" s="20" t="s">
        <v>80</v>
      </c>
      <c r="AQ61" s="20" t="s">
        <v>80</v>
      </c>
      <c r="AR61" s="26" t="s">
        <v>80</v>
      </c>
      <c r="AS61" s="38"/>
    </row>
    <row r="62" spans="1:45">
      <c r="A62" s="9" t="s">
        <v>220</v>
      </c>
      <c r="B62" s="36">
        <v>0.20599038997869401</v>
      </c>
      <c r="C62" s="32">
        <v>0.192384542897859</v>
      </c>
      <c r="D62" s="34" t="s">
        <v>80</v>
      </c>
      <c r="E62" s="34" t="s">
        <v>80</v>
      </c>
      <c r="F62" s="20" t="s">
        <v>80</v>
      </c>
      <c r="G62" s="20" t="s">
        <v>80</v>
      </c>
      <c r="H62" s="20" t="s">
        <v>80</v>
      </c>
      <c r="I62" s="20" t="s">
        <v>80</v>
      </c>
      <c r="J62" s="20" t="s">
        <v>80</v>
      </c>
      <c r="K62" s="20" t="s">
        <v>80</v>
      </c>
      <c r="L62" s="20" t="s">
        <v>80</v>
      </c>
      <c r="M62" s="20" t="s">
        <v>80</v>
      </c>
      <c r="N62" s="20" t="s">
        <v>80</v>
      </c>
      <c r="O62" s="20" t="s">
        <v>80</v>
      </c>
      <c r="P62" s="20" t="s">
        <v>80</v>
      </c>
      <c r="Q62" s="20" t="s">
        <v>80</v>
      </c>
      <c r="R62" s="20" t="s">
        <v>80</v>
      </c>
      <c r="S62" s="20" t="s">
        <v>80</v>
      </c>
      <c r="T62" s="20" t="s">
        <v>80</v>
      </c>
      <c r="U62" s="20" t="s">
        <v>80</v>
      </c>
      <c r="V62" s="20" t="s">
        <v>80</v>
      </c>
      <c r="W62" s="20" t="s">
        <v>80</v>
      </c>
      <c r="X62" s="20" t="s">
        <v>80</v>
      </c>
      <c r="Y62" s="20" t="s">
        <v>80</v>
      </c>
      <c r="Z62" s="20" t="s">
        <v>80</v>
      </c>
      <c r="AA62" s="20" t="s">
        <v>80</v>
      </c>
      <c r="AB62" s="20" t="s">
        <v>80</v>
      </c>
      <c r="AC62" s="20" t="s">
        <v>80</v>
      </c>
      <c r="AD62" s="20" t="s">
        <v>80</v>
      </c>
      <c r="AE62" s="20" t="s">
        <v>80</v>
      </c>
      <c r="AF62" s="20" t="s">
        <v>80</v>
      </c>
      <c r="AG62" s="20" t="s">
        <v>80</v>
      </c>
      <c r="AH62" s="20" t="s">
        <v>80</v>
      </c>
      <c r="AI62" s="20" t="s">
        <v>80</v>
      </c>
      <c r="AJ62" s="34" t="s">
        <v>80</v>
      </c>
      <c r="AK62" s="20" t="s">
        <v>80</v>
      </c>
      <c r="AL62" s="20" t="s">
        <v>80</v>
      </c>
      <c r="AM62" s="20" t="s">
        <v>80</v>
      </c>
      <c r="AN62" s="20" t="s">
        <v>80</v>
      </c>
      <c r="AO62" s="20" t="s">
        <v>80</v>
      </c>
      <c r="AP62" s="20" t="s">
        <v>80</v>
      </c>
      <c r="AQ62" s="20" t="s">
        <v>80</v>
      </c>
      <c r="AR62" s="26" t="s">
        <v>80</v>
      </c>
      <c r="AS62" s="38"/>
    </row>
    <row r="63" spans="1:45">
      <c r="A63" s="9" t="s">
        <v>221</v>
      </c>
      <c r="B63" s="36">
        <v>0.53088940805526397</v>
      </c>
      <c r="C63" s="32">
        <v>0.41277980449271501</v>
      </c>
      <c r="D63" s="34" t="s">
        <v>80</v>
      </c>
      <c r="E63" s="34" t="s">
        <v>80</v>
      </c>
      <c r="F63" s="20" t="s">
        <v>80</v>
      </c>
      <c r="G63" s="20" t="s">
        <v>80</v>
      </c>
      <c r="H63" s="20" t="s">
        <v>80</v>
      </c>
      <c r="I63" s="20" t="s">
        <v>80</v>
      </c>
      <c r="J63" s="20" t="s">
        <v>80</v>
      </c>
      <c r="K63" s="20" t="s">
        <v>80</v>
      </c>
      <c r="L63" s="20" t="s">
        <v>80</v>
      </c>
      <c r="M63" s="20" t="s">
        <v>80</v>
      </c>
      <c r="N63" s="20" t="s">
        <v>80</v>
      </c>
      <c r="O63" s="20" t="s">
        <v>80</v>
      </c>
      <c r="P63" s="20" t="s">
        <v>80</v>
      </c>
      <c r="Q63" s="20" t="s">
        <v>80</v>
      </c>
      <c r="R63" s="20" t="s">
        <v>80</v>
      </c>
      <c r="S63" s="20" t="s">
        <v>80</v>
      </c>
      <c r="T63" s="20" t="s">
        <v>80</v>
      </c>
      <c r="U63" s="20" t="s">
        <v>80</v>
      </c>
      <c r="V63" s="20" t="s">
        <v>80</v>
      </c>
      <c r="W63" s="20" t="s">
        <v>80</v>
      </c>
      <c r="X63" s="20" t="s">
        <v>80</v>
      </c>
      <c r="Y63" s="20" t="s">
        <v>80</v>
      </c>
      <c r="Z63" s="20" t="s">
        <v>80</v>
      </c>
      <c r="AA63" s="20" t="s">
        <v>80</v>
      </c>
      <c r="AB63" s="20" t="s">
        <v>80</v>
      </c>
      <c r="AC63" s="20" t="s">
        <v>80</v>
      </c>
      <c r="AD63" s="20" t="s">
        <v>80</v>
      </c>
      <c r="AE63" s="20" t="s">
        <v>80</v>
      </c>
      <c r="AF63" s="20" t="s">
        <v>80</v>
      </c>
      <c r="AG63" s="20" t="s">
        <v>80</v>
      </c>
      <c r="AH63" s="20" t="s">
        <v>80</v>
      </c>
      <c r="AI63" s="20" t="s">
        <v>80</v>
      </c>
      <c r="AJ63" s="34" t="s">
        <v>80</v>
      </c>
      <c r="AK63" s="20" t="s">
        <v>80</v>
      </c>
      <c r="AL63" s="20" t="s">
        <v>80</v>
      </c>
      <c r="AM63" s="20" t="s">
        <v>80</v>
      </c>
      <c r="AN63" s="20" t="s">
        <v>80</v>
      </c>
      <c r="AO63" s="20" t="s">
        <v>80</v>
      </c>
      <c r="AP63" s="20" t="s">
        <v>80</v>
      </c>
      <c r="AQ63" s="20" t="s">
        <v>80</v>
      </c>
      <c r="AR63" s="26" t="s">
        <v>80</v>
      </c>
      <c r="AS63" s="38"/>
    </row>
    <row r="64" spans="1:45">
      <c r="A64" s="11" t="s">
        <v>222</v>
      </c>
      <c r="B64" s="37">
        <v>1.54036442212826</v>
      </c>
      <c r="C64" s="33">
        <v>1.48136293446962</v>
      </c>
      <c r="D64" s="33">
        <v>1.9156528440533001</v>
      </c>
      <c r="E64" s="33">
        <v>2.4053374704518502</v>
      </c>
      <c r="F64" s="28" t="s">
        <v>80</v>
      </c>
      <c r="G64" s="28" t="s">
        <v>80</v>
      </c>
      <c r="H64" s="28" t="s">
        <v>80</v>
      </c>
      <c r="I64" s="16">
        <v>4.9504950495049496</v>
      </c>
      <c r="J64" s="28" t="s">
        <v>80</v>
      </c>
      <c r="K64" s="28" t="s">
        <v>80</v>
      </c>
      <c r="L64" s="28" t="s">
        <v>80</v>
      </c>
      <c r="M64" s="28" t="s">
        <v>80</v>
      </c>
      <c r="N64" s="28" t="s">
        <v>80</v>
      </c>
      <c r="O64" s="28" t="s">
        <v>80</v>
      </c>
      <c r="P64" s="16">
        <v>4.1322314049586799</v>
      </c>
      <c r="Q64" s="28" t="s">
        <v>80</v>
      </c>
      <c r="R64" s="28" t="s">
        <v>80</v>
      </c>
      <c r="S64" s="28" t="s">
        <v>80</v>
      </c>
      <c r="T64" s="28" t="s">
        <v>80</v>
      </c>
      <c r="U64" s="28" t="s">
        <v>80</v>
      </c>
      <c r="V64" s="28" t="s">
        <v>80</v>
      </c>
      <c r="W64" s="28" t="s">
        <v>80</v>
      </c>
      <c r="X64" s="28" t="s">
        <v>80</v>
      </c>
      <c r="Y64" s="28" t="s">
        <v>80</v>
      </c>
      <c r="Z64" s="28" t="s">
        <v>80</v>
      </c>
      <c r="AA64" s="28" t="s">
        <v>80</v>
      </c>
      <c r="AB64" s="28" t="s">
        <v>80</v>
      </c>
      <c r="AC64" s="28" t="s">
        <v>80</v>
      </c>
      <c r="AD64" s="28" t="s">
        <v>80</v>
      </c>
      <c r="AE64" s="28" t="s">
        <v>80</v>
      </c>
      <c r="AF64" s="28" t="s">
        <v>80</v>
      </c>
      <c r="AG64" s="28" t="s">
        <v>80</v>
      </c>
      <c r="AH64" s="28" t="s">
        <v>80</v>
      </c>
      <c r="AI64" s="28" t="s">
        <v>80</v>
      </c>
      <c r="AJ64" s="33">
        <v>1.48724898007384</v>
      </c>
      <c r="AK64" s="16">
        <v>1.4792899408283999</v>
      </c>
      <c r="AL64" s="16">
        <v>1.0893246187363801</v>
      </c>
      <c r="AM64" s="28" t="s">
        <v>80</v>
      </c>
      <c r="AN64" s="28" t="s">
        <v>80</v>
      </c>
      <c r="AO64" s="28" t="s">
        <v>80</v>
      </c>
      <c r="AP64" s="16">
        <v>1.7057569296375299</v>
      </c>
      <c r="AQ64" s="28" t="s">
        <v>80</v>
      </c>
      <c r="AR64" s="25">
        <v>1.8181818181818199</v>
      </c>
      <c r="AS64" s="38"/>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2"/>
  <sheetViews>
    <sheetView zoomScale="70" workbookViewId="0"/>
  </sheetViews>
  <sheetFormatPr defaultColWidth="10.90625" defaultRowHeight="15"/>
  <cols>
    <col min="1" max="1" width="51.6796875" customWidth="1"/>
    <col min="2" max="16" width="15.90625" customWidth="1"/>
  </cols>
  <sheetData>
    <row r="1" spans="1:16" ht="39.9" customHeight="1">
      <c r="A1" s="10" t="s">
        <v>227</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64.623748563866997</v>
      </c>
      <c r="C3" s="15">
        <v>66.087350837459795</v>
      </c>
      <c r="D3" s="24">
        <v>63.414228136724702</v>
      </c>
      <c r="E3" s="15">
        <v>65.699374656881204</v>
      </c>
      <c r="F3" s="15">
        <v>66.524610305811393</v>
      </c>
      <c r="G3" s="24">
        <v>65.007136730065</v>
      </c>
      <c r="H3" s="15">
        <v>64.034058534814804</v>
      </c>
      <c r="I3" s="15">
        <v>65.735916572297398</v>
      </c>
      <c r="J3" s="24">
        <v>62.603550278115897</v>
      </c>
      <c r="K3" s="15">
        <v>59.294966144723503</v>
      </c>
      <c r="L3" s="15">
        <v>68.784234373191794</v>
      </c>
      <c r="M3" s="24">
        <v>56.902266117807301</v>
      </c>
      <c r="N3" s="15">
        <v>55.494220845182497</v>
      </c>
      <c r="O3" s="15">
        <v>62.625797049212103</v>
      </c>
      <c r="P3" s="24">
        <v>50.3364563762118</v>
      </c>
    </row>
    <row r="4" spans="1:16" ht="21.9" customHeight="1">
      <c r="A4" s="22" t="s">
        <v>19</v>
      </c>
      <c r="B4" s="15">
        <v>66.658393578047097</v>
      </c>
      <c r="C4" s="15">
        <v>67.651055329591202</v>
      </c>
      <c r="D4" s="24">
        <v>65.8442176512971</v>
      </c>
      <c r="E4" s="15">
        <v>68.044201747072606</v>
      </c>
      <c r="F4" s="15">
        <v>68.716014193359499</v>
      </c>
      <c r="G4" s="24">
        <v>67.482666248686698</v>
      </c>
      <c r="H4" s="15">
        <v>65.887290495483498</v>
      </c>
      <c r="I4" s="15">
        <v>66.772579909875304</v>
      </c>
      <c r="J4" s="24">
        <v>65.159553955464105</v>
      </c>
      <c r="K4" s="15">
        <v>57.641344521759997</v>
      </c>
      <c r="L4" s="15">
        <v>69.838031919144896</v>
      </c>
      <c r="M4" s="24">
        <v>53.887596001647601</v>
      </c>
      <c r="N4" s="15">
        <v>55.303430073398403</v>
      </c>
      <c r="O4" s="15">
        <v>60.867199496162598</v>
      </c>
      <c r="P4" s="24">
        <v>50.945605182662497</v>
      </c>
    </row>
    <row r="5" spans="1:16" ht="21.9" customHeight="1">
      <c r="A5" s="22" t="s">
        <v>20</v>
      </c>
      <c r="B5" s="15">
        <v>67.202344646877094</v>
      </c>
      <c r="C5" s="15">
        <v>69.159092687813299</v>
      </c>
      <c r="D5" s="24">
        <v>65.490470562251204</v>
      </c>
      <c r="E5" s="15">
        <v>67.8037279385983</v>
      </c>
      <c r="F5" s="15">
        <v>69.711144281963996</v>
      </c>
      <c r="G5" s="24">
        <v>66.125205311574703</v>
      </c>
      <c r="H5" s="15">
        <v>67.354923817721499</v>
      </c>
      <c r="I5" s="15">
        <v>68.90272433682</v>
      </c>
      <c r="J5" s="24">
        <v>65.988620122188095</v>
      </c>
      <c r="K5" s="15">
        <v>49.344041169973401</v>
      </c>
      <c r="L5" s="20" t="s">
        <v>80</v>
      </c>
      <c r="M5" s="26" t="s">
        <v>80</v>
      </c>
      <c r="N5" s="15">
        <v>59.123110416817902</v>
      </c>
      <c r="O5" s="15">
        <v>60.951615285624399</v>
      </c>
      <c r="P5" s="24">
        <v>57.541267313911497</v>
      </c>
    </row>
    <row r="6" spans="1:16" ht="21.9" customHeight="1">
      <c r="A6" s="22" t="s">
        <v>115</v>
      </c>
      <c r="B6" s="15">
        <v>69.159092687813299</v>
      </c>
      <c r="C6" s="15">
        <v>69.159092687813299</v>
      </c>
      <c r="D6" s="26" t="s">
        <v>80</v>
      </c>
      <c r="E6" s="15">
        <v>69.711144281963996</v>
      </c>
      <c r="F6" s="15">
        <v>69.711144281963996</v>
      </c>
      <c r="G6" s="26" t="s">
        <v>80</v>
      </c>
      <c r="H6" s="15">
        <v>68.90272433682</v>
      </c>
      <c r="I6" s="15">
        <v>68.90272433682</v>
      </c>
      <c r="J6" s="26" t="s">
        <v>80</v>
      </c>
      <c r="K6" s="20" t="s">
        <v>80</v>
      </c>
      <c r="L6" s="20" t="s">
        <v>80</v>
      </c>
      <c r="M6" s="26" t="s">
        <v>80</v>
      </c>
      <c r="N6" s="15">
        <v>60.951615285624399</v>
      </c>
      <c r="O6" s="15">
        <v>60.951615285624399</v>
      </c>
      <c r="P6" s="26" t="s">
        <v>80</v>
      </c>
    </row>
    <row r="7" spans="1:16">
      <c r="A7" s="9" t="s">
        <v>116</v>
      </c>
      <c r="B7" s="15">
        <v>74.509803921568604</v>
      </c>
      <c r="C7" s="15">
        <v>74.509803921568604</v>
      </c>
      <c r="D7" s="26" t="s">
        <v>80</v>
      </c>
      <c r="E7" s="15">
        <v>80.952380952380906</v>
      </c>
      <c r="F7" s="15">
        <v>80.952380952380906</v>
      </c>
      <c r="G7" s="26" t="s">
        <v>80</v>
      </c>
      <c r="H7" s="15">
        <v>70</v>
      </c>
      <c r="I7" s="15">
        <v>70</v>
      </c>
      <c r="J7" s="26" t="s">
        <v>80</v>
      </c>
      <c r="K7" s="20" t="s">
        <v>80</v>
      </c>
      <c r="L7" s="20" t="s">
        <v>80</v>
      </c>
      <c r="M7" s="26" t="s">
        <v>80</v>
      </c>
      <c r="N7" s="20" t="s">
        <v>80</v>
      </c>
      <c r="O7" s="20" t="s">
        <v>80</v>
      </c>
      <c r="P7" s="26" t="s">
        <v>80</v>
      </c>
    </row>
    <row r="8" spans="1:16">
      <c r="A8" s="9" t="s">
        <v>117</v>
      </c>
      <c r="B8" s="15">
        <v>54.545454545454497</v>
      </c>
      <c r="C8" s="15">
        <v>54.545454545454497</v>
      </c>
      <c r="D8" s="26" t="s">
        <v>80</v>
      </c>
      <c r="E8" s="20" t="s">
        <v>80</v>
      </c>
      <c r="F8" s="20" t="s">
        <v>80</v>
      </c>
      <c r="G8" s="26" t="s">
        <v>80</v>
      </c>
      <c r="H8" s="15">
        <v>66.6666666666667</v>
      </c>
      <c r="I8" s="15">
        <v>66.6666666666667</v>
      </c>
      <c r="J8" s="26" t="s">
        <v>80</v>
      </c>
      <c r="K8" s="20" t="s">
        <v>80</v>
      </c>
      <c r="L8" s="20" t="s">
        <v>80</v>
      </c>
      <c r="M8" s="26" t="s">
        <v>80</v>
      </c>
      <c r="N8" s="20" t="s">
        <v>80</v>
      </c>
      <c r="O8" s="20" t="s">
        <v>80</v>
      </c>
      <c r="P8" s="26" t="s">
        <v>80</v>
      </c>
    </row>
    <row r="9" spans="1:16">
      <c r="A9" s="9" t="s">
        <v>118</v>
      </c>
      <c r="B9" s="15">
        <v>55.865921787709503</v>
      </c>
      <c r="C9" s="15">
        <v>55.865921787709503</v>
      </c>
      <c r="D9" s="26" t="s">
        <v>80</v>
      </c>
      <c r="E9" s="15">
        <v>62.2222222222222</v>
      </c>
      <c r="F9" s="15">
        <v>62.2222222222222</v>
      </c>
      <c r="G9" s="26" t="s">
        <v>80</v>
      </c>
      <c r="H9" s="15">
        <v>47.674418604651201</v>
      </c>
      <c r="I9" s="15">
        <v>47.674418604651201</v>
      </c>
      <c r="J9" s="26" t="s">
        <v>80</v>
      </c>
      <c r="K9" s="20" t="s">
        <v>80</v>
      </c>
      <c r="L9" s="20" t="s">
        <v>80</v>
      </c>
      <c r="M9" s="26" t="s">
        <v>80</v>
      </c>
      <c r="N9" s="20" t="s">
        <v>80</v>
      </c>
      <c r="O9" s="20" t="s">
        <v>80</v>
      </c>
      <c r="P9" s="26" t="s">
        <v>80</v>
      </c>
    </row>
    <row r="10" spans="1:16">
      <c r="A10" s="9" t="s">
        <v>119</v>
      </c>
      <c r="B10" s="15">
        <v>70.297029702970306</v>
      </c>
      <c r="C10" s="15">
        <v>70.297029702970306</v>
      </c>
      <c r="D10" s="26" t="s">
        <v>80</v>
      </c>
      <c r="E10" s="15">
        <v>72.727272727272705</v>
      </c>
      <c r="F10" s="15">
        <v>72.727272727272705</v>
      </c>
      <c r="G10" s="26" t="s">
        <v>80</v>
      </c>
      <c r="H10" s="15">
        <v>69.642857142857096</v>
      </c>
      <c r="I10" s="15">
        <v>69.642857142857096</v>
      </c>
      <c r="J10" s="26" t="s">
        <v>80</v>
      </c>
      <c r="K10" s="20" t="s">
        <v>80</v>
      </c>
      <c r="L10" s="20" t="s">
        <v>80</v>
      </c>
      <c r="M10" s="26" t="s">
        <v>80</v>
      </c>
      <c r="N10" s="20" t="s">
        <v>80</v>
      </c>
      <c r="O10" s="20" t="s">
        <v>80</v>
      </c>
      <c r="P10" s="26" t="s">
        <v>80</v>
      </c>
    </row>
    <row r="11" spans="1:16">
      <c r="A11" s="9" t="s">
        <v>120</v>
      </c>
      <c r="B11" s="15">
        <v>57.142857142857103</v>
      </c>
      <c r="C11" s="15">
        <v>57.142857142857103</v>
      </c>
      <c r="D11" s="26" t="s">
        <v>80</v>
      </c>
      <c r="E11" s="15">
        <v>55.882352941176499</v>
      </c>
      <c r="F11" s="15">
        <v>55.882352941176499</v>
      </c>
      <c r="G11" s="26" t="s">
        <v>80</v>
      </c>
      <c r="H11" s="15">
        <v>58.823529411764703</v>
      </c>
      <c r="I11" s="15">
        <v>58.823529411764703</v>
      </c>
      <c r="J11" s="26" t="s">
        <v>80</v>
      </c>
      <c r="K11" s="20" t="s">
        <v>80</v>
      </c>
      <c r="L11" s="20" t="s">
        <v>80</v>
      </c>
      <c r="M11" s="26" t="s">
        <v>80</v>
      </c>
      <c r="N11" s="20" t="s">
        <v>80</v>
      </c>
      <c r="O11" s="20" t="s">
        <v>80</v>
      </c>
      <c r="P11" s="26" t="s">
        <v>80</v>
      </c>
    </row>
    <row r="12" spans="1:16">
      <c r="A12" s="9" t="s">
        <v>121</v>
      </c>
      <c r="B12" s="15">
        <v>75.675675675675706</v>
      </c>
      <c r="C12" s="15">
        <v>75.675675675675706</v>
      </c>
      <c r="D12" s="26" t="s">
        <v>80</v>
      </c>
      <c r="E12" s="15">
        <v>53.3333333333333</v>
      </c>
      <c r="F12" s="15">
        <v>53.3333333333333</v>
      </c>
      <c r="G12" s="26" t="s">
        <v>80</v>
      </c>
      <c r="H12" s="15">
        <v>90.909090909090907</v>
      </c>
      <c r="I12" s="15">
        <v>90.909090909090907</v>
      </c>
      <c r="J12" s="26" t="s">
        <v>80</v>
      </c>
      <c r="K12" s="20" t="s">
        <v>80</v>
      </c>
      <c r="L12" s="20" t="s">
        <v>80</v>
      </c>
      <c r="M12" s="26" t="s">
        <v>80</v>
      </c>
      <c r="N12" s="20" t="s">
        <v>80</v>
      </c>
      <c r="O12" s="20" t="s">
        <v>80</v>
      </c>
      <c r="P12" s="26" t="s">
        <v>80</v>
      </c>
    </row>
    <row r="13" spans="1:16">
      <c r="A13" s="9" t="s">
        <v>122</v>
      </c>
      <c r="B13" s="15">
        <v>70.093457943925202</v>
      </c>
      <c r="C13" s="15">
        <v>70.093457943925202</v>
      </c>
      <c r="D13" s="26" t="s">
        <v>80</v>
      </c>
      <c r="E13" s="15">
        <v>68.965517241379303</v>
      </c>
      <c r="F13" s="15">
        <v>68.965517241379303</v>
      </c>
      <c r="G13" s="26" t="s">
        <v>80</v>
      </c>
      <c r="H13" s="15">
        <v>71.428571428571402</v>
      </c>
      <c r="I13" s="15">
        <v>71.428571428571402</v>
      </c>
      <c r="J13" s="26" t="s">
        <v>80</v>
      </c>
      <c r="K13" s="20" t="s">
        <v>80</v>
      </c>
      <c r="L13" s="20" t="s">
        <v>80</v>
      </c>
      <c r="M13" s="26" t="s">
        <v>80</v>
      </c>
      <c r="N13" s="20" t="s">
        <v>80</v>
      </c>
      <c r="O13" s="20" t="s">
        <v>80</v>
      </c>
      <c r="P13" s="26" t="s">
        <v>80</v>
      </c>
    </row>
    <row r="14" spans="1:16">
      <c r="A14" s="9" t="s">
        <v>123</v>
      </c>
      <c r="B14" s="15">
        <v>71.428571428571402</v>
      </c>
      <c r="C14" s="15">
        <v>71.428571428571402</v>
      </c>
      <c r="D14" s="26" t="s">
        <v>80</v>
      </c>
      <c r="E14" s="15">
        <v>78.3783783783784</v>
      </c>
      <c r="F14" s="15">
        <v>78.3783783783784</v>
      </c>
      <c r="G14" s="26" t="s">
        <v>80</v>
      </c>
      <c r="H14" s="15">
        <v>65.2173913043478</v>
      </c>
      <c r="I14" s="15">
        <v>65.2173913043478</v>
      </c>
      <c r="J14" s="26" t="s">
        <v>80</v>
      </c>
      <c r="K14" s="20" t="s">
        <v>80</v>
      </c>
      <c r="L14" s="20" t="s">
        <v>80</v>
      </c>
      <c r="M14" s="26" t="s">
        <v>80</v>
      </c>
      <c r="N14" s="20" t="s">
        <v>80</v>
      </c>
      <c r="O14" s="20" t="s">
        <v>80</v>
      </c>
      <c r="P14" s="26" t="s">
        <v>80</v>
      </c>
    </row>
    <row r="15" spans="1:16">
      <c r="A15" s="9" t="s">
        <v>124</v>
      </c>
      <c r="B15" s="15">
        <v>67.3611111111111</v>
      </c>
      <c r="C15" s="15">
        <v>67.3611111111111</v>
      </c>
      <c r="D15" s="26" t="s">
        <v>80</v>
      </c>
      <c r="E15" s="15">
        <v>65.671641791044806</v>
      </c>
      <c r="F15" s="15">
        <v>65.671641791044806</v>
      </c>
      <c r="G15" s="26" t="s">
        <v>80</v>
      </c>
      <c r="H15" s="15">
        <v>67.123287671232902</v>
      </c>
      <c r="I15" s="15">
        <v>67.123287671232902</v>
      </c>
      <c r="J15" s="26" t="s">
        <v>80</v>
      </c>
      <c r="K15" s="20" t="s">
        <v>80</v>
      </c>
      <c r="L15" s="20" t="s">
        <v>80</v>
      </c>
      <c r="M15" s="26" t="s">
        <v>80</v>
      </c>
      <c r="N15" s="20" t="s">
        <v>80</v>
      </c>
      <c r="O15" s="20" t="s">
        <v>80</v>
      </c>
      <c r="P15" s="26" t="s">
        <v>80</v>
      </c>
    </row>
    <row r="16" spans="1:16">
      <c r="A16" s="9" t="s">
        <v>125</v>
      </c>
      <c r="B16" s="15">
        <v>69.354838709677395</v>
      </c>
      <c r="C16" s="15">
        <v>69.354838709677395</v>
      </c>
      <c r="D16" s="26" t="s">
        <v>80</v>
      </c>
      <c r="E16" s="15">
        <v>69.863013698630098</v>
      </c>
      <c r="F16" s="15">
        <v>69.863013698630098</v>
      </c>
      <c r="G16" s="26" t="s">
        <v>80</v>
      </c>
      <c r="H16" s="15">
        <v>71.739130434782595</v>
      </c>
      <c r="I16" s="15">
        <v>71.739130434782595</v>
      </c>
      <c r="J16" s="26" t="s">
        <v>80</v>
      </c>
      <c r="K16" s="20" t="s">
        <v>80</v>
      </c>
      <c r="L16" s="20" t="s">
        <v>80</v>
      </c>
      <c r="M16" s="26" t="s">
        <v>80</v>
      </c>
      <c r="N16" s="20" t="s">
        <v>80</v>
      </c>
      <c r="O16" s="20" t="s">
        <v>80</v>
      </c>
      <c r="P16" s="26" t="s">
        <v>80</v>
      </c>
    </row>
    <row r="17" spans="1:16">
      <c r="A17" s="9" t="s">
        <v>126</v>
      </c>
      <c r="B17" s="15">
        <v>71.900826446281002</v>
      </c>
      <c r="C17" s="15">
        <v>71.900826446281002</v>
      </c>
      <c r="D17" s="26" t="s">
        <v>80</v>
      </c>
      <c r="E17" s="15">
        <v>69.642857142857096</v>
      </c>
      <c r="F17" s="15">
        <v>69.642857142857096</v>
      </c>
      <c r="G17" s="26" t="s">
        <v>80</v>
      </c>
      <c r="H17" s="15">
        <v>73.4375</v>
      </c>
      <c r="I17" s="15">
        <v>73.4375</v>
      </c>
      <c r="J17" s="26" t="s">
        <v>80</v>
      </c>
      <c r="K17" s="20" t="s">
        <v>80</v>
      </c>
      <c r="L17" s="20" t="s">
        <v>80</v>
      </c>
      <c r="M17" s="26" t="s">
        <v>80</v>
      </c>
      <c r="N17" s="20" t="s">
        <v>80</v>
      </c>
      <c r="O17" s="20" t="s">
        <v>80</v>
      </c>
      <c r="P17" s="26" t="s">
        <v>80</v>
      </c>
    </row>
    <row r="18" spans="1:16">
      <c r="A18" s="9" t="s">
        <v>127</v>
      </c>
      <c r="B18" s="15">
        <v>82.352941176470594</v>
      </c>
      <c r="C18" s="15">
        <v>82.352941176470594</v>
      </c>
      <c r="D18" s="26" t="s">
        <v>80</v>
      </c>
      <c r="E18" s="15">
        <v>84.210526315789494</v>
      </c>
      <c r="F18" s="15">
        <v>84.210526315789494</v>
      </c>
      <c r="G18" s="26" t="s">
        <v>80</v>
      </c>
      <c r="H18" s="15">
        <v>80</v>
      </c>
      <c r="I18" s="15">
        <v>80</v>
      </c>
      <c r="J18" s="26" t="s">
        <v>80</v>
      </c>
      <c r="K18" s="20" t="s">
        <v>80</v>
      </c>
      <c r="L18" s="20" t="s">
        <v>80</v>
      </c>
      <c r="M18" s="26" t="s">
        <v>80</v>
      </c>
      <c r="N18" s="20" t="s">
        <v>80</v>
      </c>
      <c r="O18" s="20" t="s">
        <v>80</v>
      </c>
      <c r="P18" s="26" t="s">
        <v>80</v>
      </c>
    </row>
    <row r="19" spans="1:16">
      <c r="A19" s="9" t="s">
        <v>128</v>
      </c>
      <c r="B19" s="15">
        <v>61.702127659574501</v>
      </c>
      <c r="C19" s="15">
        <v>61.702127659574501</v>
      </c>
      <c r="D19" s="26" t="s">
        <v>80</v>
      </c>
      <c r="E19" s="15">
        <v>50</v>
      </c>
      <c r="F19" s="15">
        <v>50</v>
      </c>
      <c r="G19" s="26" t="s">
        <v>80</v>
      </c>
      <c r="H19" s="15">
        <v>76.190476190476204</v>
      </c>
      <c r="I19" s="15">
        <v>76.190476190476204</v>
      </c>
      <c r="J19" s="26" t="s">
        <v>80</v>
      </c>
      <c r="K19" s="20" t="s">
        <v>80</v>
      </c>
      <c r="L19" s="20" t="s">
        <v>80</v>
      </c>
      <c r="M19" s="26" t="s">
        <v>80</v>
      </c>
      <c r="N19" s="20" t="s">
        <v>80</v>
      </c>
      <c r="O19" s="20" t="s">
        <v>80</v>
      </c>
      <c r="P19" s="26" t="s">
        <v>80</v>
      </c>
    </row>
    <row r="20" spans="1:16">
      <c r="A20" s="9" t="s">
        <v>129</v>
      </c>
      <c r="B20" s="15">
        <v>80.434782608695599</v>
      </c>
      <c r="C20" s="15">
        <v>80.434782608695599</v>
      </c>
      <c r="D20" s="26" t="s">
        <v>80</v>
      </c>
      <c r="E20" s="15">
        <v>81.818181818181799</v>
      </c>
      <c r="F20" s="15">
        <v>81.818181818181799</v>
      </c>
      <c r="G20" s="26" t="s">
        <v>80</v>
      </c>
      <c r="H20" s="15">
        <v>79.1666666666667</v>
      </c>
      <c r="I20" s="15">
        <v>79.1666666666667</v>
      </c>
      <c r="J20" s="26" t="s">
        <v>80</v>
      </c>
      <c r="K20" s="20" t="s">
        <v>80</v>
      </c>
      <c r="L20" s="20" t="s">
        <v>80</v>
      </c>
      <c r="M20" s="26" t="s">
        <v>80</v>
      </c>
      <c r="N20" s="20" t="s">
        <v>80</v>
      </c>
      <c r="O20" s="20" t="s">
        <v>80</v>
      </c>
      <c r="P20" s="26" t="s">
        <v>80</v>
      </c>
    </row>
    <row r="21" spans="1:16">
      <c r="A21" s="9" t="s">
        <v>130</v>
      </c>
      <c r="B21" s="15">
        <v>76.744186046511601</v>
      </c>
      <c r="C21" s="15">
        <v>76.744186046511601</v>
      </c>
      <c r="D21" s="26" t="s">
        <v>80</v>
      </c>
      <c r="E21" s="15">
        <v>81.481481481481495</v>
      </c>
      <c r="F21" s="15">
        <v>81.481481481481495</v>
      </c>
      <c r="G21" s="26" t="s">
        <v>80</v>
      </c>
      <c r="H21" s="15">
        <v>68.75</v>
      </c>
      <c r="I21" s="15">
        <v>68.75</v>
      </c>
      <c r="J21" s="26" t="s">
        <v>80</v>
      </c>
      <c r="K21" s="20" t="s">
        <v>80</v>
      </c>
      <c r="L21" s="20" t="s">
        <v>80</v>
      </c>
      <c r="M21" s="26" t="s">
        <v>80</v>
      </c>
      <c r="N21" s="20" t="s">
        <v>80</v>
      </c>
      <c r="O21" s="20" t="s">
        <v>80</v>
      </c>
      <c r="P21" s="26" t="s">
        <v>80</v>
      </c>
    </row>
    <row r="22" spans="1:16">
      <c r="A22" s="9" t="s">
        <v>131</v>
      </c>
      <c r="B22" s="15">
        <v>85.714285714285694</v>
      </c>
      <c r="C22" s="15">
        <v>85.714285714285694</v>
      </c>
      <c r="D22" s="26" t="s">
        <v>80</v>
      </c>
      <c r="E22" s="15">
        <v>89.655172413793096</v>
      </c>
      <c r="F22" s="15">
        <v>89.655172413793096</v>
      </c>
      <c r="G22" s="26" t="s">
        <v>80</v>
      </c>
      <c r="H22" s="15">
        <v>79.1666666666667</v>
      </c>
      <c r="I22" s="15">
        <v>79.1666666666667</v>
      </c>
      <c r="J22" s="26" t="s">
        <v>80</v>
      </c>
      <c r="K22" s="20" t="s">
        <v>80</v>
      </c>
      <c r="L22" s="20" t="s">
        <v>80</v>
      </c>
      <c r="M22" s="26" t="s">
        <v>80</v>
      </c>
      <c r="N22" s="20" t="s">
        <v>80</v>
      </c>
      <c r="O22" s="20" t="s">
        <v>80</v>
      </c>
      <c r="P22" s="26" t="s">
        <v>80</v>
      </c>
    </row>
    <row r="23" spans="1:16">
      <c r="A23" s="9" t="s">
        <v>132</v>
      </c>
      <c r="B23" s="15">
        <v>86.842105263157904</v>
      </c>
      <c r="C23" s="15">
        <v>86.842105263157904</v>
      </c>
      <c r="D23" s="26" t="s">
        <v>80</v>
      </c>
      <c r="E23" s="15">
        <v>100</v>
      </c>
      <c r="F23" s="15">
        <v>100</v>
      </c>
      <c r="G23" s="26" t="s">
        <v>80</v>
      </c>
      <c r="H23" s="15">
        <v>78.947368421052602</v>
      </c>
      <c r="I23" s="15">
        <v>78.947368421052602</v>
      </c>
      <c r="J23" s="26" t="s">
        <v>80</v>
      </c>
      <c r="K23" s="20" t="s">
        <v>80</v>
      </c>
      <c r="L23" s="20" t="s">
        <v>80</v>
      </c>
      <c r="M23" s="26" t="s">
        <v>80</v>
      </c>
      <c r="N23" s="20" t="s">
        <v>80</v>
      </c>
      <c r="O23" s="20" t="s">
        <v>80</v>
      </c>
      <c r="P23" s="26" t="s">
        <v>80</v>
      </c>
    </row>
    <row r="24" spans="1:16">
      <c r="A24" s="9" t="s">
        <v>133</v>
      </c>
      <c r="B24" s="15">
        <v>67.391304347826093</v>
      </c>
      <c r="C24" s="15">
        <v>67.391304347826093</v>
      </c>
      <c r="D24" s="26" t="s">
        <v>80</v>
      </c>
      <c r="E24" s="15">
        <v>66.6666666666667</v>
      </c>
      <c r="F24" s="15">
        <v>66.6666666666667</v>
      </c>
      <c r="G24" s="26" t="s">
        <v>80</v>
      </c>
      <c r="H24" s="15">
        <v>66.6666666666667</v>
      </c>
      <c r="I24" s="15">
        <v>66.6666666666667</v>
      </c>
      <c r="J24" s="26" t="s">
        <v>80</v>
      </c>
      <c r="K24" s="20" t="s">
        <v>80</v>
      </c>
      <c r="L24" s="20" t="s">
        <v>80</v>
      </c>
      <c r="M24" s="26" t="s">
        <v>80</v>
      </c>
      <c r="N24" s="20" t="s">
        <v>80</v>
      </c>
      <c r="O24" s="20" t="s">
        <v>80</v>
      </c>
      <c r="P24" s="26" t="s">
        <v>80</v>
      </c>
    </row>
    <row r="25" spans="1:16">
      <c r="A25" s="9" t="s">
        <v>134</v>
      </c>
      <c r="B25" s="15">
        <v>79.279279279279294</v>
      </c>
      <c r="C25" s="15">
        <v>79.279279279279294</v>
      </c>
      <c r="D25" s="26" t="s">
        <v>80</v>
      </c>
      <c r="E25" s="15">
        <v>78.571428571428598</v>
      </c>
      <c r="F25" s="15">
        <v>78.571428571428598</v>
      </c>
      <c r="G25" s="26" t="s">
        <v>80</v>
      </c>
      <c r="H25" s="15">
        <v>80.392156862745097</v>
      </c>
      <c r="I25" s="15">
        <v>80.392156862745097</v>
      </c>
      <c r="J25" s="26" t="s">
        <v>80</v>
      </c>
      <c r="K25" s="20" t="s">
        <v>80</v>
      </c>
      <c r="L25" s="20" t="s">
        <v>80</v>
      </c>
      <c r="M25" s="26" t="s">
        <v>80</v>
      </c>
      <c r="N25" s="20" t="s">
        <v>80</v>
      </c>
      <c r="O25" s="20" t="s">
        <v>80</v>
      </c>
      <c r="P25" s="26" t="s">
        <v>80</v>
      </c>
    </row>
    <row r="26" spans="1:16">
      <c r="A26" s="9" t="s">
        <v>135</v>
      </c>
      <c r="B26" s="15">
        <v>54.545454545454497</v>
      </c>
      <c r="C26" s="15">
        <v>54.545454545454497</v>
      </c>
      <c r="D26" s="26" t="s">
        <v>80</v>
      </c>
      <c r="E26" s="15">
        <v>52.380952380952401</v>
      </c>
      <c r="F26" s="15">
        <v>52.380952380952401</v>
      </c>
      <c r="G26" s="26" t="s">
        <v>80</v>
      </c>
      <c r="H26" s="15">
        <v>55</v>
      </c>
      <c r="I26" s="15">
        <v>55</v>
      </c>
      <c r="J26" s="26" t="s">
        <v>80</v>
      </c>
      <c r="K26" s="20" t="s">
        <v>80</v>
      </c>
      <c r="L26" s="20" t="s">
        <v>80</v>
      </c>
      <c r="M26" s="26" t="s">
        <v>80</v>
      </c>
      <c r="N26" s="15">
        <v>62.5</v>
      </c>
      <c r="O26" s="15">
        <v>62.5</v>
      </c>
      <c r="P26" s="26" t="s">
        <v>80</v>
      </c>
    </row>
    <row r="27" spans="1:16">
      <c r="A27" s="9" t="s">
        <v>136</v>
      </c>
      <c r="B27" s="15">
        <v>82.758620689655203</v>
      </c>
      <c r="C27" s="15">
        <v>82.758620689655203</v>
      </c>
      <c r="D27" s="26" t="s">
        <v>80</v>
      </c>
      <c r="E27" s="15">
        <v>86.6666666666667</v>
      </c>
      <c r="F27" s="15">
        <v>86.6666666666667</v>
      </c>
      <c r="G27" s="26" t="s">
        <v>80</v>
      </c>
      <c r="H27" s="15">
        <v>78.571428571428598</v>
      </c>
      <c r="I27" s="15">
        <v>78.571428571428598</v>
      </c>
      <c r="J27" s="26" t="s">
        <v>80</v>
      </c>
      <c r="K27" s="20" t="s">
        <v>80</v>
      </c>
      <c r="L27" s="20" t="s">
        <v>80</v>
      </c>
      <c r="M27" s="26" t="s">
        <v>80</v>
      </c>
      <c r="N27" s="20" t="s">
        <v>80</v>
      </c>
      <c r="O27" s="20" t="s">
        <v>80</v>
      </c>
      <c r="P27" s="26" t="s">
        <v>80</v>
      </c>
    </row>
    <row r="28" spans="1:16">
      <c r="A28" s="9" t="s">
        <v>137</v>
      </c>
      <c r="B28" s="15">
        <v>60.869565217391298</v>
      </c>
      <c r="C28" s="15">
        <v>60.869565217391298</v>
      </c>
      <c r="D28" s="26" t="s">
        <v>80</v>
      </c>
      <c r="E28" s="15">
        <v>50</v>
      </c>
      <c r="F28" s="15">
        <v>50</v>
      </c>
      <c r="G28" s="26" t="s">
        <v>80</v>
      </c>
      <c r="H28" s="15">
        <v>76.190476190476204</v>
      </c>
      <c r="I28" s="15">
        <v>76.190476190476204</v>
      </c>
      <c r="J28" s="26" t="s">
        <v>80</v>
      </c>
      <c r="K28" s="20" t="s">
        <v>80</v>
      </c>
      <c r="L28" s="20" t="s">
        <v>80</v>
      </c>
      <c r="M28" s="26" t="s">
        <v>80</v>
      </c>
      <c r="N28" s="20" t="s">
        <v>80</v>
      </c>
      <c r="O28" s="20" t="s">
        <v>80</v>
      </c>
      <c r="P28" s="26" t="s">
        <v>80</v>
      </c>
    </row>
    <row r="29" spans="1:16">
      <c r="A29" s="9" t="s">
        <v>138</v>
      </c>
      <c r="B29" s="15">
        <v>90.909090909090907</v>
      </c>
      <c r="C29" s="15">
        <v>90.909090909090907</v>
      </c>
      <c r="D29" s="26" t="s">
        <v>80</v>
      </c>
      <c r="E29" s="15">
        <v>87.5</v>
      </c>
      <c r="F29" s="15">
        <v>87.5</v>
      </c>
      <c r="G29" s="26" t="s">
        <v>80</v>
      </c>
      <c r="H29" s="15">
        <v>92.857142857142804</v>
      </c>
      <c r="I29" s="15">
        <v>92.857142857142804</v>
      </c>
      <c r="J29" s="26" t="s">
        <v>80</v>
      </c>
      <c r="K29" s="20" t="s">
        <v>80</v>
      </c>
      <c r="L29" s="20" t="s">
        <v>80</v>
      </c>
      <c r="M29" s="26" t="s">
        <v>80</v>
      </c>
      <c r="N29" s="20" t="s">
        <v>80</v>
      </c>
      <c r="O29" s="20" t="s">
        <v>80</v>
      </c>
      <c r="P29" s="26" t="s">
        <v>80</v>
      </c>
    </row>
    <row r="30" spans="1:16">
      <c r="A30" s="9" t="s">
        <v>139</v>
      </c>
      <c r="B30" s="15">
        <v>78.571428571428598</v>
      </c>
      <c r="C30" s="15">
        <v>78.571428571428598</v>
      </c>
      <c r="D30" s="26" t="s">
        <v>80</v>
      </c>
      <c r="E30" s="15">
        <v>84.210526315789494</v>
      </c>
      <c r="F30" s="15">
        <v>84.210526315789494</v>
      </c>
      <c r="G30" s="26" t="s">
        <v>80</v>
      </c>
      <c r="H30" s="15">
        <v>71.428571428571402</v>
      </c>
      <c r="I30" s="15">
        <v>71.428571428571402</v>
      </c>
      <c r="J30" s="26" t="s">
        <v>80</v>
      </c>
      <c r="K30" s="20" t="s">
        <v>80</v>
      </c>
      <c r="L30" s="20" t="s">
        <v>80</v>
      </c>
      <c r="M30" s="26" t="s">
        <v>80</v>
      </c>
      <c r="N30" s="20" t="s">
        <v>80</v>
      </c>
      <c r="O30" s="20" t="s">
        <v>80</v>
      </c>
      <c r="P30" s="26" t="s">
        <v>80</v>
      </c>
    </row>
    <row r="31" spans="1:16">
      <c r="A31" s="9" t="s">
        <v>140</v>
      </c>
      <c r="B31" s="15">
        <v>65.2173913043478</v>
      </c>
      <c r="C31" s="15">
        <v>65.2173913043478</v>
      </c>
      <c r="D31" s="26" t="s">
        <v>80</v>
      </c>
      <c r="E31" s="15">
        <v>62.068965517241402</v>
      </c>
      <c r="F31" s="15">
        <v>62.068965517241402</v>
      </c>
      <c r="G31" s="26" t="s">
        <v>80</v>
      </c>
      <c r="H31" s="15">
        <v>68.75</v>
      </c>
      <c r="I31" s="15">
        <v>68.75</v>
      </c>
      <c r="J31" s="26" t="s">
        <v>80</v>
      </c>
      <c r="K31" s="20" t="s">
        <v>80</v>
      </c>
      <c r="L31" s="20" t="s">
        <v>80</v>
      </c>
      <c r="M31" s="26" t="s">
        <v>80</v>
      </c>
      <c r="N31" s="20" t="s">
        <v>80</v>
      </c>
      <c r="O31" s="20" t="s">
        <v>80</v>
      </c>
      <c r="P31" s="26" t="s">
        <v>80</v>
      </c>
    </row>
    <row r="32" spans="1:16">
      <c r="A32" s="9" t="s">
        <v>141</v>
      </c>
      <c r="B32" s="15">
        <v>72.727272727272705</v>
      </c>
      <c r="C32" s="15">
        <v>72.727272727272705</v>
      </c>
      <c r="D32" s="26" t="s">
        <v>80</v>
      </c>
      <c r="E32" s="15">
        <v>81.25</v>
      </c>
      <c r="F32" s="15">
        <v>81.25</v>
      </c>
      <c r="G32" s="26" t="s">
        <v>80</v>
      </c>
      <c r="H32" s="15">
        <v>62.5</v>
      </c>
      <c r="I32" s="15">
        <v>62.5</v>
      </c>
      <c r="J32" s="26" t="s">
        <v>80</v>
      </c>
      <c r="K32" s="20" t="s">
        <v>80</v>
      </c>
      <c r="L32" s="20" t="s">
        <v>80</v>
      </c>
      <c r="M32" s="26" t="s">
        <v>80</v>
      </c>
      <c r="N32" s="20" t="s">
        <v>80</v>
      </c>
      <c r="O32" s="20" t="s">
        <v>80</v>
      </c>
      <c r="P32" s="26" t="s">
        <v>80</v>
      </c>
    </row>
    <row r="33" spans="1:16">
      <c r="A33" s="9" t="s">
        <v>142</v>
      </c>
      <c r="B33" s="15">
        <v>81.818181818181799</v>
      </c>
      <c r="C33" s="15">
        <v>81.818181818181799</v>
      </c>
      <c r="D33" s="26" t="s">
        <v>80</v>
      </c>
      <c r="E33" s="15">
        <v>84</v>
      </c>
      <c r="F33" s="15">
        <v>84</v>
      </c>
      <c r="G33" s="26" t="s">
        <v>80</v>
      </c>
      <c r="H33" s="15">
        <v>77.7777777777778</v>
      </c>
      <c r="I33" s="15">
        <v>77.7777777777778</v>
      </c>
      <c r="J33" s="26" t="s">
        <v>80</v>
      </c>
      <c r="K33" s="20" t="s">
        <v>80</v>
      </c>
      <c r="L33" s="20" t="s">
        <v>80</v>
      </c>
      <c r="M33" s="26" t="s">
        <v>80</v>
      </c>
      <c r="N33" s="20" t="s">
        <v>80</v>
      </c>
      <c r="O33" s="20" t="s">
        <v>80</v>
      </c>
      <c r="P33" s="26" t="s">
        <v>80</v>
      </c>
    </row>
    <row r="34" spans="1:16">
      <c r="A34" s="9" t="s">
        <v>143</v>
      </c>
      <c r="B34" s="15">
        <v>73.3333333333333</v>
      </c>
      <c r="C34" s="15">
        <v>73.3333333333333</v>
      </c>
      <c r="D34" s="26" t="s">
        <v>80</v>
      </c>
      <c r="E34" s="20" t="s">
        <v>80</v>
      </c>
      <c r="F34" s="20" t="s">
        <v>80</v>
      </c>
      <c r="G34" s="26" t="s">
        <v>80</v>
      </c>
      <c r="H34" s="15">
        <v>100</v>
      </c>
      <c r="I34" s="15">
        <v>100</v>
      </c>
      <c r="J34" s="26" t="s">
        <v>80</v>
      </c>
      <c r="K34" s="20" t="s">
        <v>80</v>
      </c>
      <c r="L34" s="20" t="s">
        <v>80</v>
      </c>
      <c r="M34" s="26" t="s">
        <v>80</v>
      </c>
      <c r="N34" s="20" t="s">
        <v>80</v>
      </c>
      <c r="O34" s="20" t="s">
        <v>80</v>
      </c>
      <c r="P34" s="26" t="s">
        <v>80</v>
      </c>
    </row>
    <row r="35" spans="1:16">
      <c r="A35" s="9" t="s">
        <v>144</v>
      </c>
      <c r="B35" s="15">
        <v>77.419354838709694</v>
      </c>
      <c r="C35" s="15">
        <v>77.419354838709694</v>
      </c>
      <c r="D35" s="26" t="s">
        <v>80</v>
      </c>
      <c r="E35" s="15">
        <v>77.7777777777778</v>
      </c>
      <c r="F35" s="15">
        <v>77.7777777777778</v>
      </c>
      <c r="G35" s="26" t="s">
        <v>80</v>
      </c>
      <c r="H35" s="15">
        <v>75.5555555555556</v>
      </c>
      <c r="I35" s="15">
        <v>75.5555555555556</v>
      </c>
      <c r="J35" s="26" t="s">
        <v>80</v>
      </c>
      <c r="K35" s="20" t="s">
        <v>80</v>
      </c>
      <c r="L35" s="20" t="s">
        <v>80</v>
      </c>
      <c r="M35" s="26" t="s">
        <v>80</v>
      </c>
      <c r="N35" s="20" t="s">
        <v>80</v>
      </c>
      <c r="O35" s="20" t="s">
        <v>80</v>
      </c>
      <c r="P35" s="26" t="s">
        <v>80</v>
      </c>
    </row>
    <row r="36" spans="1:16">
      <c r="A36" s="9" t="s">
        <v>145</v>
      </c>
      <c r="B36" s="15">
        <v>78.571428571428598</v>
      </c>
      <c r="C36" s="15">
        <v>78.571428571428598</v>
      </c>
      <c r="D36" s="26" t="s">
        <v>80</v>
      </c>
      <c r="E36" s="15">
        <v>76.923076923076906</v>
      </c>
      <c r="F36" s="15">
        <v>76.923076923076906</v>
      </c>
      <c r="G36" s="26" t="s">
        <v>80</v>
      </c>
      <c r="H36" s="15">
        <v>83.3333333333333</v>
      </c>
      <c r="I36" s="15">
        <v>83.3333333333333</v>
      </c>
      <c r="J36" s="26" t="s">
        <v>80</v>
      </c>
      <c r="K36" s="20" t="s">
        <v>80</v>
      </c>
      <c r="L36" s="20" t="s">
        <v>80</v>
      </c>
      <c r="M36" s="26" t="s">
        <v>80</v>
      </c>
      <c r="N36" s="20" t="s">
        <v>80</v>
      </c>
      <c r="O36" s="20" t="s">
        <v>80</v>
      </c>
      <c r="P36" s="26" t="s">
        <v>80</v>
      </c>
    </row>
    <row r="37" spans="1:16" ht="21.9" customHeight="1">
      <c r="A37" s="22" t="s">
        <v>146</v>
      </c>
      <c r="B37" s="15">
        <v>65.490470562251204</v>
      </c>
      <c r="C37" s="20" t="s">
        <v>80</v>
      </c>
      <c r="D37" s="24">
        <v>65.490470562251204</v>
      </c>
      <c r="E37" s="15">
        <v>66.125205311574703</v>
      </c>
      <c r="F37" s="20" t="s">
        <v>80</v>
      </c>
      <c r="G37" s="24">
        <v>66.125205311574703</v>
      </c>
      <c r="H37" s="15">
        <v>65.988620122188095</v>
      </c>
      <c r="I37" s="20" t="s">
        <v>80</v>
      </c>
      <c r="J37" s="24">
        <v>65.988620122188095</v>
      </c>
      <c r="K37" s="20" t="s">
        <v>80</v>
      </c>
      <c r="L37" s="20" t="s">
        <v>80</v>
      </c>
      <c r="M37" s="26" t="s">
        <v>80</v>
      </c>
      <c r="N37" s="15">
        <v>57.541267313911497</v>
      </c>
      <c r="O37" s="20" t="s">
        <v>80</v>
      </c>
      <c r="P37" s="24">
        <v>57.541267313911497</v>
      </c>
    </row>
    <row r="38" spans="1:16">
      <c r="A38" s="9" t="s">
        <v>147</v>
      </c>
      <c r="B38" s="15">
        <v>57.544378698224897</v>
      </c>
      <c r="C38" s="20" t="s">
        <v>80</v>
      </c>
      <c r="D38" s="24">
        <v>57.544378698224897</v>
      </c>
      <c r="E38" s="15">
        <v>58.252427184466001</v>
      </c>
      <c r="F38" s="20" t="s">
        <v>80</v>
      </c>
      <c r="G38" s="24">
        <v>58.252427184466001</v>
      </c>
      <c r="H38" s="15">
        <v>58.823529411764703</v>
      </c>
      <c r="I38" s="20" t="s">
        <v>80</v>
      </c>
      <c r="J38" s="24">
        <v>58.823529411764703</v>
      </c>
      <c r="K38" s="20" t="s">
        <v>80</v>
      </c>
      <c r="L38" s="20" t="s">
        <v>80</v>
      </c>
      <c r="M38" s="26" t="s">
        <v>80</v>
      </c>
      <c r="N38" s="15">
        <v>50</v>
      </c>
      <c r="O38" s="20" t="s">
        <v>80</v>
      </c>
      <c r="P38" s="24">
        <v>50</v>
      </c>
    </row>
    <row r="39" spans="1:16">
      <c r="A39" s="9" t="s">
        <v>148</v>
      </c>
      <c r="B39" s="15">
        <v>62.527233115468398</v>
      </c>
      <c r="C39" s="20" t="s">
        <v>80</v>
      </c>
      <c r="D39" s="24">
        <v>62.527233115468398</v>
      </c>
      <c r="E39" s="15">
        <v>64.285714285714306</v>
      </c>
      <c r="F39" s="20" t="s">
        <v>80</v>
      </c>
      <c r="G39" s="24">
        <v>64.285714285714306</v>
      </c>
      <c r="H39" s="15">
        <v>61.4583333333333</v>
      </c>
      <c r="I39" s="20" t="s">
        <v>80</v>
      </c>
      <c r="J39" s="24">
        <v>61.4583333333333</v>
      </c>
      <c r="K39" s="20" t="s">
        <v>80</v>
      </c>
      <c r="L39" s="20" t="s">
        <v>80</v>
      </c>
      <c r="M39" s="26" t="s">
        <v>80</v>
      </c>
      <c r="N39" s="20" t="s">
        <v>80</v>
      </c>
      <c r="O39" s="20" t="s">
        <v>80</v>
      </c>
      <c r="P39" s="26" t="s">
        <v>80</v>
      </c>
    </row>
    <row r="40" spans="1:16">
      <c r="A40" s="9" t="s">
        <v>149</v>
      </c>
      <c r="B40" s="15">
        <v>68.181818181818201</v>
      </c>
      <c r="C40" s="20" t="s">
        <v>80</v>
      </c>
      <c r="D40" s="24">
        <v>68.181818181818201</v>
      </c>
      <c r="E40" s="15">
        <v>69.512195121951194</v>
      </c>
      <c r="F40" s="20" t="s">
        <v>80</v>
      </c>
      <c r="G40" s="24">
        <v>69.512195121951194</v>
      </c>
      <c r="H40" s="15">
        <v>68.518518518518505</v>
      </c>
      <c r="I40" s="20" t="s">
        <v>80</v>
      </c>
      <c r="J40" s="24">
        <v>68.518518518518505</v>
      </c>
      <c r="K40" s="20" t="s">
        <v>80</v>
      </c>
      <c r="L40" s="20" t="s">
        <v>80</v>
      </c>
      <c r="M40" s="26" t="s">
        <v>80</v>
      </c>
      <c r="N40" s="20" t="s">
        <v>80</v>
      </c>
      <c r="O40" s="20" t="s">
        <v>80</v>
      </c>
      <c r="P40" s="26" t="s">
        <v>80</v>
      </c>
    </row>
    <row r="41" spans="1:16">
      <c r="A41" s="9" t="s">
        <v>150</v>
      </c>
      <c r="B41" s="15">
        <v>80.291970802919707</v>
      </c>
      <c r="C41" s="20" t="s">
        <v>80</v>
      </c>
      <c r="D41" s="24">
        <v>80.291970802919707</v>
      </c>
      <c r="E41" s="15">
        <v>80.2816901408451</v>
      </c>
      <c r="F41" s="20" t="s">
        <v>80</v>
      </c>
      <c r="G41" s="24">
        <v>80.2816901408451</v>
      </c>
      <c r="H41" s="15">
        <v>81.355932203389798</v>
      </c>
      <c r="I41" s="20" t="s">
        <v>80</v>
      </c>
      <c r="J41" s="24">
        <v>81.355932203389798</v>
      </c>
      <c r="K41" s="20" t="s">
        <v>80</v>
      </c>
      <c r="L41" s="20" t="s">
        <v>80</v>
      </c>
      <c r="M41" s="26" t="s">
        <v>80</v>
      </c>
      <c r="N41" s="20" t="s">
        <v>80</v>
      </c>
      <c r="O41" s="20" t="s">
        <v>80</v>
      </c>
      <c r="P41" s="26" t="s">
        <v>80</v>
      </c>
    </row>
    <row r="42" spans="1:16">
      <c r="A42" s="9" t="s">
        <v>151</v>
      </c>
      <c r="B42" s="15">
        <v>67.065868263473106</v>
      </c>
      <c r="C42" s="20" t="s">
        <v>80</v>
      </c>
      <c r="D42" s="24">
        <v>67.065868263473106</v>
      </c>
      <c r="E42" s="15">
        <v>73.456790123456798</v>
      </c>
      <c r="F42" s="20" t="s">
        <v>80</v>
      </c>
      <c r="G42" s="24">
        <v>73.456790123456798</v>
      </c>
      <c r="H42" s="15">
        <v>62.745098039215698</v>
      </c>
      <c r="I42" s="20" t="s">
        <v>80</v>
      </c>
      <c r="J42" s="24">
        <v>62.745098039215698</v>
      </c>
      <c r="K42" s="20" t="s">
        <v>80</v>
      </c>
      <c r="L42" s="20" t="s">
        <v>80</v>
      </c>
      <c r="M42" s="26" t="s">
        <v>80</v>
      </c>
      <c r="N42" s="15">
        <v>57.142857142857103</v>
      </c>
      <c r="O42" s="20" t="s">
        <v>80</v>
      </c>
      <c r="P42" s="24">
        <v>57.142857142857103</v>
      </c>
    </row>
    <row r="43" spans="1:16">
      <c r="A43" s="9" t="s">
        <v>152</v>
      </c>
      <c r="B43" s="15">
        <v>67.803837953091701</v>
      </c>
      <c r="C43" s="20" t="s">
        <v>80</v>
      </c>
      <c r="D43" s="24">
        <v>67.803837953091701</v>
      </c>
      <c r="E43" s="15">
        <v>64.081632653061206</v>
      </c>
      <c r="F43" s="20" t="s">
        <v>80</v>
      </c>
      <c r="G43" s="24">
        <v>64.081632653061206</v>
      </c>
      <c r="H43" s="15">
        <v>72.511848341232195</v>
      </c>
      <c r="I43" s="20" t="s">
        <v>80</v>
      </c>
      <c r="J43" s="24">
        <v>72.511848341232195</v>
      </c>
      <c r="K43" s="15">
        <v>75</v>
      </c>
      <c r="L43" s="20" t="s">
        <v>80</v>
      </c>
      <c r="M43" s="24">
        <v>75</v>
      </c>
      <c r="N43" s="20" t="s">
        <v>80</v>
      </c>
      <c r="O43" s="20" t="s">
        <v>80</v>
      </c>
      <c r="P43" s="26" t="s">
        <v>80</v>
      </c>
    </row>
    <row r="44" spans="1:16">
      <c r="A44" s="9" t="s">
        <v>153</v>
      </c>
      <c r="B44" s="15">
        <v>70.588235294117595</v>
      </c>
      <c r="C44" s="20" t="s">
        <v>80</v>
      </c>
      <c r="D44" s="24">
        <v>70.588235294117595</v>
      </c>
      <c r="E44" s="15">
        <v>74.242424242424207</v>
      </c>
      <c r="F44" s="20" t="s">
        <v>80</v>
      </c>
      <c r="G44" s="24">
        <v>74.242424242424207</v>
      </c>
      <c r="H44" s="15">
        <v>68.75</v>
      </c>
      <c r="I44" s="20" t="s">
        <v>80</v>
      </c>
      <c r="J44" s="24">
        <v>68.75</v>
      </c>
      <c r="K44" s="20" t="s">
        <v>80</v>
      </c>
      <c r="L44" s="20" t="s">
        <v>80</v>
      </c>
      <c r="M44" s="26" t="s">
        <v>80</v>
      </c>
      <c r="N44" s="20" t="s">
        <v>80</v>
      </c>
      <c r="O44" s="20" t="s">
        <v>80</v>
      </c>
      <c r="P44" s="26" t="s">
        <v>80</v>
      </c>
    </row>
    <row r="45" spans="1:16">
      <c r="A45" s="11" t="s">
        <v>154</v>
      </c>
      <c r="B45" s="16">
        <v>80</v>
      </c>
      <c r="C45" s="28" t="s">
        <v>80</v>
      </c>
      <c r="D45" s="25">
        <v>80</v>
      </c>
      <c r="E45" s="16">
        <v>83.636363636363598</v>
      </c>
      <c r="F45" s="28" t="s">
        <v>80</v>
      </c>
      <c r="G45" s="25">
        <v>83.636363636363598</v>
      </c>
      <c r="H45" s="16">
        <v>76.129032258064498</v>
      </c>
      <c r="I45" s="28" t="s">
        <v>80</v>
      </c>
      <c r="J45" s="25">
        <v>76.129032258064498</v>
      </c>
      <c r="K45" s="28" t="s">
        <v>80</v>
      </c>
      <c r="L45" s="28" t="s">
        <v>80</v>
      </c>
      <c r="M45" s="29" t="s">
        <v>80</v>
      </c>
      <c r="N45" s="16">
        <v>85.714285714285694</v>
      </c>
      <c r="O45" s="28" t="s">
        <v>80</v>
      </c>
      <c r="P45" s="25">
        <v>85.714285714285694</v>
      </c>
    </row>
    <row r="46" spans="1:16" ht="30" customHeight="1">
      <c r="A46" t="s">
        <v>155</v>
      </c>
    </row>
    <row r="47" spans="1:16">
      <c r="A47" t="s">
        <v>93</v>
      </c>
    </row>
    <row r="48" spans="1:16">
      <c r="A48" t="s">
        <v>94</v>
      </c>
    </row>
    <row r="49" spans="1:1">
      <c r="A49" t="s">
        <v>95</v>
      </c>
    </row>
    <row r="50" spans="1:1">
      <c r="A50" t="s">
        <v>96</v>
      </c>
    </row>
    <row r="51" spans="1:1">
      <c r="A51" t="s">
        <v>97</v>
      </c>
    </row>
    <row r="52" spans="1:1">
      <c r="A5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228</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161</v>
      </c>
      <c r="B3" s="15">
        <v>3.56395995914554</v>
      </c>
      <c r="C3" s="15">
        <v>5.1325196649216602</v>
      </c>
      <c r="D3" s="24">
        <v>2.1916950306360898</v>
      </c>
      <c r="E3" s="15">
        <v>4.0913345632175897</v>
      </c>
      <c r="F3" s="15">
        <v>5.9170559663175499</v>
      </c>
      <c r="G3" s="24">
        <v>2.4847033227947901</v>
      </c>
      <c r="H3" s="15">
        <v>2.8292493143785502</v>
      </c>
      <c r="I3" s="15">
        <v>4.1098053927874298</v>
      </c>
      <c r="J3" s="26" t="s">
        <v>80</v>
      </c>
      <c r="K3" s="20" t="s">
        <v>80</v>
      </c>
      <c r="L3" s="20" t="s">
        <v>80</v>
      </c>
      <c r="M3" s="26" t="s">
        <v>80</v>
      </c>
      <c r="N3" s="20" t="s">
        <v>80</v>
      </c>
      <c r="O3" s="20" t="s">
        <v>80</v>
      </c>
      <c r="P3" s="26" t="s">
        <v>80</v>
      </c>
    </row>
    <row r="4" spans="1:16">
      <c r="A4" s="9" t="s">
        <v>162</v>
      </c>
      <c r="B4" s="15">
        <v>5.6348917752910399</v>
      </c>
      <c r="C4" s="15">
        <v>5.2485441680998699</v>
      </c>
      <c r="D4" s="24">
        <v>5.9728905582571397</v>
      </c>
      <c r="E4" s="15">
        <v>5.1531681059703596</v>
      </c>
      <c r="F4" s="15">
        <v>5.2217097123179403</v>
      </c>
      <c r="G4" s="24">
        <v>5.0928516273226396</v>
      </c>
      <c r="H4" s="15">
        <v>6.0439655581023004</v>
      </c>
      <c r="I4" s="15">
        <v>5.2620830500725297</v>
      </c>
      <c r="J4" s="24">
        <v>6.7341636469466</v>
      </c>
      <c r="K4" s="20" t="s">
        <v>80</v>
      </c>
      <c r="L4" s="20" t="s">
        <v>80</v>
      </c>
      <c r="M4" s="26" t="s">
        <v>80</v>
      </c>
      <c r="N4" s="20" t="s">
        <v>80</v>
      </c>
      <c r="O4" s="20" t="s">
        <v>80</v>
      </c>
      <c r="P4" s="26" t="s">
        <v>80</v>
      </c>
    </row>
    <row r="5" spans="1:16">
      <c r="A5" s="9" t="s">
        <v>163</v>
      </c>
      <c r="B5" s="15">
        <v>2.1534465325486201</v>
      </c>
      <c r="C5" s="15">
        <v>2.1142736380927598</v>
      </c>
      <c r="D5" s="24">
        <v>2.1877172007367802</v>
      </c>
      <c r="E5" s="15">
        <v>2.2933823167024201</v>
      </c>
      <c r="F5" s="20" t="s">
        <v>80</v>
      </c>
      <c r="G5" s="24">
        <v>2.5570657306123898</v>
      </c>
      <c r="H5" s="15">
        <v>1.8374984984949001</v>
      </c>
      <c r="I5" s="15">
        <v>2.19071329409641</v>
      </c>
      <c r="J5" s="26" t="s">
        <v>80</v>
      </c>
      <c r="K5" s="20" t="s">
        <v>80</v>
      </c>
      <c r="L5" s="20" t="s">
        <v>80</v>
      </c>
      <c r="M5" s="26" t="s">
        <v>80</v>
      </c>
      <c r="N5" s="20" t="s">
        <v>80</v>
      </c>
      <c r="O5" s="20" t="s">
        <v>80</v>
      </c>
      <c r="P5" s="26" t="s">
        <v>80</v>
      </c>
    </row>
    <row r="6" spans="1:16">
      <c r="A6" s="9" t="s">
        <v>164</v>
      </c>
      <c r="B6" s="15">
        <v>4.9128937273297497</v>
      </c>
      <c r="C6" s="15">
        <v>5.87693207201644</v>
      </c>
      <c r="D6" s="24">
        <v>4.0694983466628196</v>
      </c>
      <c r="E6" s="15">
        <v>5.5236800502123904</v>
      </c>
      <c r="F6" s="15">
        <v>6.0260340712232097</v>
      </c>
      <c r="G6" s="24">
        <v>5.0816095007092903</v>
      </c>
      <c r="H6" s="15">
        <v>4.2385891355507397</v>
      </c>
      <c r="I6" s="15">
        <v>5.9042939300094996</v>
      </c>
      <c r="J6" s="24">
        <v>2.7682067521268898</v>
      </c>
      <c r="K6" s="20" t="s">
        <v>80</v>
      </c>
      <c r="L6" s="20" t="s">
        <v>80</v>
      </c>
      <c r="M6" s="26" t="s">
        <v>80</v>
      </c>
      <c r="N6" s="20" t="s">
        <v>80</v>
      </c>
      <c r="O6" s="20" t="s">
        <v>80</v>
      </c>
      <c r="P6" s="26" t="s">
        <v>80</v>
      </c>
    </row>
    <row r="7" spans="1:16">
      <c r="A7" s="9" t="s">
        <v>165</v>
      </c>
      <c r="B7" s="15">
        <v>2.0026707986246901</v>
      </c>
      <c r="C7" s="15">
        <v>3.14126022297329</v>
      </c>
      <c r="D7" s="24">
        <v>1.0065682408121099</v>
      </c>
      <c r="E7" s="15">
        <v>2.3005353581750998</v>
      </c>
      <c r="F7" s="15">
        <v>3.7784455078865902</v>
      </c>
      <c r="G7" s="26" t="s">
        <v>80</v>
      </c>
      <c r="H7" s="15">
        <v>1.3922527931738</v>
      </c>
      <c r="I7" s="20" t="s">
        <v>80</v>
      </c>
      <c r="J7" s="26" t="s">
        <v>80</v>
      </c>
      <c r="K7" s="20" t="s">
        <v>80</v>
      </c>
      <c r="L7" s="20" t="s">
        <v>80</v>
      </c>
      <c r="M7" s="26" t="s">
        <v>80</v>
      </c>
      <c r="N7" s="20" t="s">
        <v>80</v>
      </c>
      <c r="O7" s="20" t="s">
        <v>80</v>
      </c>
      <c r="P7" s="26" t="s">
        <v>80</v>
      </c>
    </row>
    <row r="8" spans="1:16">
      <c r="A8" s="9" t="s">
        <v>166</v>
      </c>
      <c r="B8" s="20" t="s">
        <v>80</v>
      </c>
      <c r="C8" s="20" t="s">
        <v>80</v>
      </c>
      <c r="D8" s="26" t="s">
        <v>80</v>
      </c>
      <c r="E8" s="20" t="s">
        <v>80</v>
      </c>
      <c r="F8" s="20" t="s">
        <v>80</v>
      </c>
      <c r="G8" s="26" t="s">
        <v>80</v>
      </c>
      <c r="H8" s="20" t="s">
        <v>80</v>
      </c>
      <c r="I8" s="20" t="s">
        <v>80</v>
      </c>
      <c r="J8" s="26" t="s">
        <v>80</v>
      </c>
      <c r="K8" s="20" t="s">
        <v>80</v>
      </c>
      <c r="L8" s="20" t="s">
        <v>80</v>
      </c>
      <c r="M8" s="26" t="s">
        <v>80</v>
      </c>
      <c r="N8" s="20" t="s">
        <v>80</v>
      </c>
      <c r="O8" s="20" t="s">
        <v>80</v>
      </c>
      <c r="P8" s="26" t="s">
        <v>80</v>
      </c>
    </row>
    <row r="9" spans="1:16">
      <c r="A9" s="9" t="s">
        <v>167</v>
      </c>
      <c r="B9" s="15">
        <v>1.7716802459482399</v>
      </c>
      <c r="C9" s="15">
        <v>1.89050702057265</v>
      </c>
      <c r="D9" s="24">
        <v>1.6677238490163799</v>
      </c>
      <c r="E9" s="15">
        <v>1.8877348125236399</v>
      </c>
      <c r="F9" s="20" t="s">
        <v>80</v>
      </c>
      <c r="G9" s="26" t="s">
        <v>80</v>
      </c>
      <c r="H9" s="15">
        <v>1.56807590597054</v>
      </c>
      <c r="I9" s="20" t="s">
        <v>80</v>
      </c>
      <c r="J9" s="26" t="s">
        <v>80</v>
      </c>
      <c r="K9" s="20" t="s">
        <v>80</v>
      </c>
      <c r="L9" s="20" t="s">
        <v>80</v>
      </c>
      <c r="M9" s="26" t="s">
        <v>80</v>
      </c>
      <c r="N9" s="20" t="s">
        <v>80</v>
      </c>
      <c r="O9" s="20" t="s">
        <v>80</v>
      </c>
      <c r="P9" s="26" t="s">
        <v>80</v>
      </c>
    </row>
    <row r="10" spans="1:16">
      <c r="A10" s="9" t="s">
        <v>168</v>
      </c>
      <c r="B10" s="15">
        <v>7.4713952725386799</v>
      </c>
      <c r="C10" s="15">
        <v>6.05832241328421</v>
      </c>
      <c r="D10" s="24">
        <v>8.7076314955162495</v>
      </c>
      <c r="E10" s="15">
        <v>10.601089548419299</v>
      </c>
      <c r="F10" s="15">
        <v>9.7648410474216796</v>
      </c>
      <c r="G10" s="24">
        <v>11.3369865829714</v>
      </c>
      <c r="H10" s="15">
        <v>4.4598058202058404</v>
      </c>
      <c r="I10" s="15">
        <v>2.4410466586002002</v>
      </c>
      <c r="J10" s="24">
        <v>6.2418430199996502</v>
      </c>
      <c r="K10" s="20" t="s">
        <v>80</v>
      </c>
      <c r="L10" s="20" t="s">
        <v>80</v>
      </c>
      <c r="M10" s="26" t="s">
        <v>80</v>
      </c>
      <c r="N10" s="20" t="s">
        <v>80</v>
      </c>
      <c r="O10" s="20" t="s">
        <v>80</v>
      </c>
      <c r="P10" s="26" t="s">
        <v>80</v>
      </c>
    </row>
    <row r="11" spans="1:16">
      <c r="A11" s="9" t="s">
        <v>169</v>
      </c>
      <c r="B11" s="15">
        <v>4.4391923412113101</v>
      </c>
      <c r="C11" s="15">
        <v>4.9638271656760597</v>
      </c>
      <c r="D11" s="24">
        <v>3.9802120631660598</v>
      </c>
      <c r="E11" s="15">
        <v>4.5214078814265397</v>
      </c>
      <c r="F11" s="15">
        <v>5.0976687333395097</v>
      </c>
      <c r="G11" s="24">
        <v>4.01429946623022</v>
      </c>
      <c r="H11" s="15">
        <v>4.1102098713801096</v>
      </c>
      <c r="I11" s="15">
        <v>4.6147917373843903</v>
      </c>
      <c r="J11" s="24">
        <v>3.6647958404930199</v>
      </c>
      <c r="K11" s="20" t="s">
        <v>80</v>
      </c>
      <c r="L11" s="20" t="s">
        <v>80</v>
      </c>
      <c r="M11" s="26" t="s">
        <v>80</v>
      </c>
      <c r="N11" s="20" t="s">
        <v>80</v>
      </c>
      <c r="O11" s="20" t="s">
        <v>80</v>
      </c>
      <c r="P11" s="26" t="s">
        <v>80</v>
      </c>
    </row>
    <row r="12" spans="1:16">
      <c r="A12" s="9" t="s">
        <v>170</v>
      </c>
      <c r="B12" s="15">
        <v>0.77232941213390305</v>
      </c>
      <c r="C12" s="15">
        <v>1.1152691824985901</v>
      </c>
      <c r="D12" s="26" t="s">
        <v>80</v>
      </c>
      <c r="E12" s="20" t="s">
        <v>80</v>
      </c>
      <c r="F12" s="20" t="s">
        <v>80</v>
      </c>
      <c r="G12" s="26" t="s">
        <v>80</v>
      </c>
      <c r="H12" s="20" t="s">
        <v>80</v>
      </c>
      <c r="I12" s="20" t="s">
        <v>80</v>
      </c>
      <c r="J12" s="26" t="s">
        <v>80</v>
      </c>
      <c r="K12" s="20" t="s">
        <v>80</v>
      </c>
      <c r="L12" s="20" t="s">
        <v>80</v>
      </c>
      <c r="M12" s="26" t="s">
        <v>80</v>
      </c>
      <c r="N12" s="20" t="s">
        <v>80</v>
      </c>
      <c r="O12" s="20" t="s">
        <v>80</v>
      </c>
      <c r="P12" s="26" t="s">
        <v>80</v>
      </c>
    </row>
    <row r="13" spans="1:16">
      <c r="A13" s="9" t="s">
        <v>171</v>
      </c>
      <c r="B13" s="15">
        <v>1.8697464532212</v>
      </c>
      <c r="C13" s="15">
        <v>1.95711239398986</v>
      </c>
      <c r="D13" s="24">
        <v>1.7933137767845899</v>
      </c>
      <c r="E13" s="20" t="s">
        <v>80</v>
      </c>
      <c r="F13" s="20" t="s">
        <v>80</v>
      </c>
      <c r="G13" s="26" t="s">
        <v>80</v>
      </c>
      <c r="H13" s="15">
        <v>3.2309081291061998</v>
      </c>
      <c r="I13" s="15">
        <v>3.55486163900874</v>
      </c>
      <c r="J13" s="24">
        <v>2.94494177084534</v>
      </c>
      <c r="K13" s="20" t="s">
        <v>80</v>
      </c>
      <c r="L13" s="20" t="s">
        <v>80</v>
      </c>
      <c r="M13" s="26" t="s">
        <v>80</v>
      </c>
      <c r="N13" s="20" t="s">
        <v>80</v>
      </c>
      <c r="O13" s="20" t="s">
        <v>80</v>
      </c>
      <c r="P13" s="26" t="s">
        <v>80</v>
      </c>
    </row>
    <row r="14" spans="1:16">
      <c r="A14" s="9" t="s">
        <v>172</v>
      </c>
      <c r="B14" s="15">
        <v>5.6494641638957503</v>
      </c>
      <c r="C14" s="15">
        <v>7.3958966568687901</v>
      </c>
      <c r="D14" s="24">
        <v>4.1215860402317102</v>
      </c>
      <c r="E14" s="15">
        <v>5.5813500829011797</v>
      </c>
      <c r="F14" s="15">
        <v>7.58523915444193</v>
      </c>
      <c r="G14" s="24">
        <v>3.8179316450099101</v>
      </c>
      <c r="H14" s="15">
        <v>5.4950758964556696</v>
      </c>
      <c r="I14" s="15">
        <v>7.1311996244170199</v>
      </c>
      <c r="J14" s="24">
        <v>4.0508058705187997</v>
      </c>
      <c r="K14" s="20" t="s">
        <v>80</v>
      </c>
      <c r="L14" s="20" t="s">
        <v>80</v>
      </c>
      <c r="M14" s="26" t="s">
        <v>80</v>
      </c>
      <c r="N14" s="20" t="s">
        <v>80</v>
      </c>
      <c r="O14" s="20" t="s">
        <v>80</v>
      </c>
      <c r="P14" s="26" t="s">
        <v>80</v>
      </c>
    </row>
    <row r="15" spans="1:16">
      <c r="A15" s="9" t="s">
        <v>173</v>
      </c>
      <c r="B15" s="15">
        <v>11.1717625440553</v>
      </c>
      <c r="C15" s="15">
        <v>12.3749968294483</v>
      </c>
      <c r="D15" s="24">
        <v>10.119104998062801</v>
      </c>
      <c r="E15" s="15">
        <v>14.7576876646283</v>
      </c>
      <c r="F15" s="15">
        <v>16.492185565004299</v>
      </c>
      <c r="G15" s="24">
        <v>13.2313329270106</v>
      </c>
      <c r="H15" s="15">
        <v>7.8073177735275001</v>
      </c>
      <c r="I15" s="15">
        <v>8.3690905015009101</v>
      </c>
      <c r="J15" s="24">
        <v>7.3114191452423798</v>
      </c>
      <c r="K15" s="20" t="s">
        <v>80</v>
      </c>
      <c r="L15" s="20" t="s">
        <v>80</v>
      </c>
      <c r="M15" s="26" t="s">
        <v>80</v>
      </c>
      <c r="N15" s="20" t="s">
        <v>80</v>
      </c>
      <c r="O15" s="20" t="s">
        <v>80</v>
      </c>
      <c r="P15" s="26" t="s">
        <v>80</v>
      </c>
    </row>
    <row r="16" spans="1:16">
      <c r="A16" s="9" t="s">
        <v>174</v>
      </c>
      <c r="B16" s="20" t="s">
        <v>80</v>
      </c>
      <c r="C16" s="20" t="s">
        <v>80</v>
      </c>
      <c r="D16" s="26" t="s">
        <v>80</v>
      </c>
      <c r="E16" s="20" t="s">
        <v>80</v>
      </c>
      <c r="F16" s="20" t="s">
        <v>80</v>
      </c>
      <c r="G16" s="26" t="s">
        <v>80</v>
      </c>
      <c r="H16" s="20" t="s">
        <v>80</v>
      </c>
      <c r="I16" s="20" t="s">
        <v>80</v>
      </c>
      <c r="J16" s="26" t="s">
        <v>80</v>
      </c>
      <c r="K16" s="20" t="s">
        <v>80</v>
      </c>
      <c r="L16" s="20" t="s">
        <v>80</v>
      </c>
      <c r="M16" s="26" t="s">
        <v>80</v>
      </c>
      <c r="N16" s="20" t="s">
        <v>80</v>
      </c>
      <c r="O16" s="20" t="s">
        <v>80</v>
      </c>
      <c r="P16" s="26" t="s">
        <v>80</v>
      </c>
    </row>
    <row r="17" spans="1:16">
      <c r="A17" s="9" t="s">
        <v>175</v>
      </c>
      <c r="B17" s="15">
        <v>4.0478681376302204</v>
      </c>
      <c r="C17" s="15">
        <v>5.5933782373618399</v>
      </c>
      <c r="D17" s="24">
        <v>2.6957683108216002</v>
      </c>
      <c r="E17" s="15">
        <v>4.11857341003833</v>
      </c>
      <c r="F17" s="15">
        <v>5.9524380317299599</v>
      </c>
      <c r="G17" s="24">
        <v>2.5047761532864499</v>
      </c>
      <c r="H17" s="15">
        <v>3.49184994056704</v>
      </c>
      <c r="I17" s="15">
        <v>4.9011424213448498</v>
      </c>
      <c r="J17" s="26" t="s">
        <v>80</v>
      </c>
      <c r="K17" s="20" t="s">
        <v>80</v>
      </c>
      <c r="L17" s="20" t="s">
        <v>80</v>
      </c>
      <c r="M17" s="26" t="s">
        <v>80</v>
      </c>
      <c r="N17" s="20" t="s">
        <v>80</v>
      </c>
      <c r="O17" s="20" t="s">
        <v>80</v>
      </c>
      <c r="P17" s="26" t="s">
        <v>80</v>
      </c>
    </row>
    <row r="18" spans="1:16">
      <c r="A18" s="9" t="s">
        <v>176</v>
      </c>
      <c r="B18" s="15">
        <v>11.075245431955</v>
      </c>
      <c r="C18" s="15">
        <v>12.340882475150099</v>
      </c>
      <c r="D18" s="24">
        <v>9.9679944167698302</v>
      </c>
      <c r="E18" s="15">
        <v>2.4800889925982701</v>
      </c>
      <c r="F18" s="15">
        <v>3.8773120575775799</v>
      </c>
      <c r="G18" s="26" t="s">
        <v>80</v>
      </c>
      <c r="H18" s="15">
        <v>19.961027825677601</v>
      </c>
      <c r="I18" s="15">
        <v>21.116795785868501</v>
      </c>
      <c r="J18" s="24">
        <v>18.9407865118243</v>
      </c>
      <c r="K18" s="20" t="s">
        <v>80</v>
      </c>
      <c r="L18" s="20" t="s">
        <v>80</v>
      </c>
      <c r="M18" s="26" t="s">
        <v>80</v>
      </c>
      <c r="N18" s="20" t="s">
        <v>80</v>
      </c>
      <c r="O18" s="20" t="s">
        <v>80</v>
      </c>
      <c r="P18" s="26" t="s">
        <v>80</v>
      </c>
    </row>
    <row r="19" spans="1:16">
      <c r="A19" s="9" t="s">
        <v>177</v>
      </c>
      <c r="B19" s="15">
        <v>4.3481480708508604</v>
      </c>
      <c r="C19" s="15">
        <v>6.0990389330764598</v>
      </c>
      <c r="D19" s="24">
        <v>2.8163695130872499</v>
      </c>
      <c r="E19" s="15">
        <v>4.5512584909700902</v>
      </c>
      <c r="F19" s="15">
        <v>6.8285609059616501</v>
      </c>
      <c r="G19" s="24">
        <v>2.5472368491120698</v>
      </c>
      <c r="H19" s="15">
        <v>3.9860119203897701</v>
      </c>
      <c r="I19" s="15">
        <v>5.1629880712744001</v>
      </c>
      <c r="J19" s="24">
        <v>2.9470493120525001</v>
      </c>
      <c r="K19" s="20" t="s">
        <v>80</v>
      </c>
      <c r="L19" s="20" t="s">
        <v>80</v>
      </c>
      <c r="M19" s="26" t="s">
        <v>80</v>
      </c>
      <c r="N19" s="20" t="s">
        <v>80</v>
      </c>
      <c r="O19" s="20" t="s">
        <v>80</v>
      </c>
      <c r="P19" s="26" t="s">
        <v>80</v>
      </c>
    </row>
    <row r="20" spans="1:16">
      <c r="A20" s="9" t="s">
        <v>178</v>
      </c>
      <c r="B20" s="15">
        <v>0.65151750815201803</v>
      </c>
      <c r="C20" s="20" t="s">
        <v>80</v>
      </c>
      <c r="D20" s="26" t="s">
        <v>80</v>
      </c>
      <c r="E20" s="20" t="s">
        <v>80</v>
      </c>
      <c r="F20" s="20" t="s">
        <v>80</v>
      </c>
      <c r="G20" s="26" t="s">
        <v>80</v>
      </c>
      <c r="H20" s="20" t="s">
        <v>80</v>
      </c>
      <c r="I20" s="20" t="s">
        <v>80</v>
      </c>
      <c r="J20" s="26" t="s">
        <v>80</v>
      </c>
      <c r="K20" s="20" t="s">
        <v>80</v>
      </c>
      <c r="L20" s="20" t="s">
        <v>80</v>
      </c>
      <c r="M20" s="26" t="s">
        <v>80</v>
      </c>
      <c r="N20" s="20" t="s">
        <v>80</v>
      </c>
      <c r="O20" s="20" t="s">
        <v>80</v>
      </c>
      <c r="P20" s="26" t="s">
        <v>80</v>
      </c>
    </row>
    <row r="21" spans="1:16">
      <c r="A21" s="9" t="s">
        <v>179</v>
      </c>
      <c r="B21" s="15">
        <v>4.1663101731395997</v>
      </c>
      <c r="C21" s="15">
        <v>3.2903585023737101</v>
      </c>
      <c r="D21" s="24">
        <v>4.9326423391609904</v>
      </c>
      <c r="E21" s="15">
        <v>2.0195984355638701</v>
      </c>
      <c r="F21" s="15">
        <v>2.5534685318406201</v>
      </c>
      <c r="G21" s="26" t="s">
        <v>80</v>
      </c>
      <c r="H21" s="15">
        <v>6.4141008380002802</v>
      </c>
      <c r="I21" s="15">
        <v>4.1343798859828702</v>
      </c>
      <c r="J21" s="24">
        <v>8.4264991561895606</v>
      </c>
      <c r="K21" s="20" t="s">
        <v>80</v>
      </c>
      <c r="L21" s="20" t="s">
        <v>80</v>
      </c>
      <c r="M21" s="26" t="s">
        <v>80</v>
      </c>
      <c r="N21" s="20" t="s">
        <v>80</v>
      </c>
      <c r="O21" s="20" t="s">
        <v>80</v>
      </c>
      <c r="P21" s="26" t="s">
        <v>80</v>
      </c>
    </row>
    <row r="22" spans="1:16">
      <c r="A22" s="9" t="s">
        <v>180</v>
      </c>
      <c r="B22" s="15">
        <v>1.2130097723976401</v>
      </c>
      <c r="C22" s="15">
        <v>1.7851987011686501</v>
      </c>
      <c r="D22" s="26" t="s">
        <v>80</v>
      </c>
      <c r="E22" s="15">
        <v>1.69546750192679</v>
      </c>
      <c r="F22" s="15">
        <v>2.5580002865038001</v>
      </c>
      <c r="G22" s="26" t="s">
        <v>80</v>
      </c>
      <c r="H22" s="20" t="s">
        <v>80</v>
      </c>
      <c r="I22" s="20" t="s">
        <v>80</v>
      </c>
      <c r="J22" s="26" t="s">
        <v>80</v>
      </c>
      <c r="K22" s="20" t="s">
        <v>80</v>
      </c>
      <c r="L22" s="20" t="s">
        <v>80</v>
      </c>
      <c r="M22" s="26" t="s">
        <v>80</v>
      </c>
      <c r="N22" s="20" t="s">
        <v>80</v>
      </c>
      <c r="O22" s="20" t="s">
        <v>80</v>
      </c>
      <c r="P22" s="26" t="s">
        <v>80</v>
      </c>
    </row>
    <row r="23" spans="1:16">
      <c r="A23" s="9" t="s">
        <v>181</v>
      </c>
      <c r="B23" s="15">
        <v>5.21837639716715</v>
      </c>
      <c r="C23" s="15">
        <v>3.53064476553517</v>
      </c>
      <c r="D23" s="24">
        <v>6.6948996804671399</v>
      </c>
      <c r="E23" s="15">
        <v>2.8914398519681699</v>
      </c>
      <c r="F23" s="15">
        <v>2.3083623771603201</v>
      </c>
      <c r="G23" s="24">
        <v>3.4045468818920699</v>
      </c>
      <c r="H23" s="15">
        <v>7.7216417104478801</v>
      </c>
      <c r="I23" s="15">
        <v>4.8298381843521501</v>
      </c>
      <c r="J23" s="24">
        <v>10.274349114088199</v>
      </c>
      <c r="K23" s="20" t="s">
        <v>80</v>
      </c>
      <c r="L23" s="20" t="s">
        <v>80</v>
      </c>
      <c r="M23" s="26" t="s">
        <v>80</v>
      </c>
      <c r="N23" s="20" t="s">
        <v>80</v>
      </c>
      <c r="O23" s="20" t="s">
        <v>80</v>
      </c>
      <c r="P23" s="26" t="s">
        <v>80</v>
      </c>
    </row>
    <row r="24" spans="1:16">
      <c r="A24" s="9" t="s">
        <v>182</v>
      </c>
      <c r="B24" s="15">
        <v>23.988805071460298</v>
      </c>
      <c r="C24" s="15">
        <v>23.872342016881099</v>
      </c>
      <c r="D24" s="24">
        <v>24.0906935521332</v>
      </c>
      <c r="E24" s="15">
        <v>33.009162405981897</v>
      </c>
      <c r="F24" s="15">
        <v>31.428589526366601</v>
      </c>
      <c r="G24" s="24">
        <v>34.400063428363097</v>
      </c>
      <c r="H24" s="15">
        <v>15.232777339354101</v>
      </c>
      <c r="I24" s="15">
        <v>16.452271844472701</v>
      </c>
      <c r="J24" s="24">
        <v>14.1562821266527</v>
      </c>
      <c r="K24" s="20" t="s">
        <v>80</v>
      </c>
      <c r="L24" s="20" t="s">
        <v>80</v>
      </c>
      <c r="M24" s="26" t="s">
        <v>80</v>
      </c>
      <c r="N24" s="20" t="s">
        <v>80</v>
      </c>
      <c r="O24" s="20" t="s">
        <v>80</v>
      </c>
      <c r="P24" s="26" t="s">
        <v>80</v>
      </c>
    </row>
    <row r="25" spans="1:16">
      <c r="A25" s="9" t="s">
        <v>183</v>
      </c>
      <c r="B25" s="20" t="s">
        <v>80</v>
      </c>
      <c r="C25" s="20" t="s">
        <v>80</v>
      </c>
      <c r="D25" s="26" t="s">
        <v>80</v>
      </c>
      <c r="E25" s="20" t="s">
        <v>80</v>
      </c>
      <c r="F25" s="20" t="s">
        <v>80</v>
      </c>
      <c r="G25" s="26" t="s">
        <v>80</v>
      </c>
      <c r="H25" s="20" t="s">
        <v>80</v>
      </c>
      <c r="I25" s="20" t="s">
        <v>80</v>
      </c>
      <c r="J25" s="26" t="s">
        <v>80</v>
      </c>
      <c r="K25" s="20" t="s">
        <v>80</v>
      </c>
      <c r="L25" s="20" t="s">
        <v>80</v>
      </c>
      <c r="M25" s="26" t="s">
        <v>80</v>
      </c>
      <c r="N25" s="20" t="s">
        <v>80</v>
      </c>
      <c r="O25" s="20" t="s">
        <v>80</v>
      </c>
      <c r="P25" s="26" t="s">
        <v>80</v>
      </c>
    </row>
    <row r="26" spans="1:16">
      <c r="A26" s="9" t="s">
        <v>184</v>
      </c>
      <c r="B26" s="15">
        <v>4.1382765616401302</v>
      </c>
      <c r="C26" s="15">
        <v>4.5514906164590201</v>
      </c>
      <c r="D26" s="24">
        <v>3.7767734876372199</v>
      </c>
      <c r="E26" s="15">
        <v>5.5865470038369596</v>
      </c>
      <c r="F26" s="15">
        <v>5.9791090873273598</v>
      </c>
      <c r="G26" s="24">
        <v>5.2410931432039796</v>
      </c>
      <c r="H26" s="15">
        <v>2.57918407043445</v>
      </c>
      <c r="I26" s="15">
        <v>3.0963036632080301</v>
      </c>
      <c r="J26" s="26" t="s">
        <v>80</v>
      </c>
      <c r="K26" s="20" t="s">
        <v>80</v>
      </c>
      <c r="L26" s="20" t="s">
        <v>80</v>
      </c>
      <c r="M26" s="26" t="s">
        <v>80</v>
      </c>
      <c r="N26" s="20" t="s">
        <v>80</v>
      </c>
      <c r="O26" s="20" t="s">
        <v>80</v>
      </c>
      <c r="P26" s="26" t="s">
        <v>80</v>
      </c>
    </row>
    <row r="27" spans="1:16">
      <c r="A27" s="9" t="s">
        <v>185</v>
      </c>
      <c r="B27" s="15">
        <v>7.1612369092497499</v>
      </c>
      <c r="C27" s="15">
        <v>8.9323164995533393</v>
      </c>
      <c r="D27" s="24">
        <v>5.6117961079702301</v>
      </c>
      <c r="E27" s="15">
        <v>1.97707789521434</v>
      </c>
      <c r="F27" s="20" t="s">
        <v>80</v>
      </c>
      <c r="G27" s="26" t="s">
        <v>80</v>
      </c>
      <c r="H27" s="15">
        <v>12.373754148129899</v>
      </c>
      <c r="I27" s="15">
        <v>16.019189411535301</v>
      </c>
      <c r="J27" s="24">
        <v>9.1557867093286607</v>
      </c>
      <c r="K27" s="20" t="s">
        <v>80</v>
      </c>
      <c r="L27" s="20" t="s">
        <v>80</v>
      </c>
      <c r="M27" s="26" t="s">
        <v>80</v>
      </c>
      <c r="N27" s="20" t="s">
        <v>80</v>
      </c>
      <c r="O27" s="20" t="s">
        <v>80</v>
      </c>
      <c r="P27" s="26" t="s">
        <v>80</v>
      </c>
    </row>
    <row r="28" spans="1:16">
      <c r="A28" s="9" t="s">
        <v>186</v>
      </c>
      <c r="B28" s="15">
        <v>5.8365318478757802</v>
      </c>
      <c r="C28" s="15">
        <v>7.8156001298212203</v>
      </c>
      <c r="D28" s="24">
        <v>4.1051307514186801</v>
      </c>
      <c r="E28" s="15">
        <v>2.4637725189205502</v>
      </c>
      <c r="F28" s="15">
        <v>3.4924116180964901</v>
      </c>
      <c r="G28" s="26" t="s">
        <v>80</v>
      </c>
      <c r="H28" s="15">
        <v>9.2112583422961904</v>
      </c>
      <c r="I28" s="15">
        <v>12.177552708889699</v>
      </c>
      <c r="J28" s="24">
        <v>6.5927949776003603</v>
      </c>
      <c r="K28" s="20" t="s">
        <v>80</v>
      </c>
      <c r="L28" s="20" t="s">
        <v>80</v>
      </c>
      <c r="M28" s="26" t="s">
        <v>80</v>
      </c>
      <c r="N28" s="20" t="s">
        <v>80</v>
      </c>
      <c r="O28" s="20" t="s">
        <v>80</v>
      </c>
      <c r="P28" s="26" t="s">
        <v>80</v>
      </c>
    </row>
    <row r="29" spans="1:16">
      <c r="A29" s="9" t="s">
        <v>187</v>
      </c>
      <c r="B29" s="20" t="s">
        <v>80</v>
      </c>
      <c r="C29" s="20" t="s">
        <v>80</v>
      </c>
      <c r="D29" s="26" t="s">
        <v>80</v>
      </c>
      <c r="E29" s="20" t="s">
        <v>80</v>
      </c>
      <c r="F29" s="20" t="s">
        <v>80</v>
      </c>
      <c r="G29" s="26" t="s">
        <v>80</v>
      </c>
      <c r="H29" s="20" t="s">
        <v>80</v>
      </c>
      <c r="I29" s="20" t="s">
        <v>80</v>
      </c>
      <c r="J29" s="26" t="s">
        <v>80</v>
      </c>
      <c r="K29" s="20" t="s">
        <v>80</v>
      </c>
      <c r="L29" s="20" t="s">
        <v>80</v>
      </c>
      <c r="M29" s="26" t="s">
        <v>80</v>
      </c>
      <c r="N29" s="20" t="s">
        <v>80</v>
      </c>
      <c r="O29" s="20" t="s">
        <v>80</v>
      </c>
      <c r="P29" s="26" t="s">
        <v>80</v>
      </c>
    </row>
    <row r="30" spans="1:16">
      <c r="A30" s="9" t="s">
        <v>188</v>
      </c>
      <c r="B30" s="15">
        <v>2.08275495203022</v>
      </c>
      <c r="C30" s="15">
        <v>2.1900678657272201</v>
      </c>
      <c r="D30" s="24">
        <v>1.9888715331840801</v>
      </c>
      <c r="E30" s="15">
        <v>3.00319145257843</v>
      </c>
      <c r="F30" s="15">
        <v>2.7763126692915399</v>
      </c>
      <c r="G30" s="24">
        <v>3.2028443352136899</v>
      </c>
      <c r="H30" s="15">
        <v>1.1667100602876299</v>
      </c>
      <c r="I30" s="20" t="s">
        <v>80</v>
      </c>
      <c r="J30" s="26" t="s">
        <v>80</v>
      </c>
      <c r="K30" s="20" t="s">
        <v>80</v>
      </c>
      <c r="L30" s="20" t="s">
        <v>80</v>
      </c>
      <c r="M30" s="26" t="s">
        <v>80</v>
      </c>
      <c r="N30" s="20" t="s">
        <v>80</v>
      </c>
      <c r="O30" s="20" t="s">
        <v>80</v>
      </c>
      <c r="P30" s="26" t="s">
        <v>80</v>
      </c>
    </row>
    <row r="31" spans="1:16">
      <c r="A31" s="9" t="s">
        <v>189</v>
      </c>
      <c r="B31" s="15">
        <v>4.4701757674903302</v>
      </c>
      <c r="C31" s="15">
        <v>5.6135410269051</v>
      </c>
      <c r="D31" s="24">
        <v>3.4698950384920999</v>
      </c>
      <c r="E31" s="15">
        <v>5.5477058171025098</v>
      </c>
      <c r="F31" s="15">
        <v>7.4709080234755998</v>
      </c>
      <c r="G31" s="24">
        <v>3.8552916617102202</v>
      </c>
      <c r="H31" s="15">
        <v>3.1816854365215699</v>
      </c>
      <c r="I31" s="15">
        <v>3.6916398978291198</v>
      </c>
      <c r="J31" s="24">
        <v>2.7315288068778001</v>
      </c>
      <c r="K31" s="20" t="s">
        <v>80</v>
      </c>
      <c r="L31" s="20" t="s">
        <v>80</v>
      </c>
      <c r="M31" s="26" t="s">
        <v>80</v>
      </c>
      <c r="N31" s="20" t="s">
        <v>80</v>
      </c>
      <c r="O31" s="20" t="s">
        <v>80</v>
      </c>
      <c r="P31" s="26" t="s">
        <v>80</v>
      </c>
    </row>
    <row r="32" spans="1:16">
      <c r="A32" s="9" t="s">
        <v>190</v>
      </c>
      <c r="B32" s="20" t="s">
        <v>80</v>
      </c>
      <c r="C32" s="20" t="s">
        <v>80</v>
      </c>
      <c r="D32" s="26" t="s">
        <v>80</v>
      </c>
      <c r="E32" s="20" t="s">
        <v>80</v>
      </c>
      <c r="F32" s="20" t="s">
        <v>80</v>
      </c>
      <c r="G32" s="26" t="s">
        <v>80</v>
      </c>
      <c r="H32" s="20" t="s">
        <v>80</v>
      </c>
      <c r="I32" s="20" t="s">
        <v>80</v>
      </c>
      <c r="J32" s="26" t="s">
        <v>80</v>
      </c>
      <c r="K32" s="20" t="s">
        <v>80</v>
      </c>
      <c r="L32" s="20" t="s">
        <v>80</v>
      </c>
      <c r="M32" s="26" t="s">
        <v>80</v>
      </c>
      <c r="N32" s="20" t="s">
        <v>80</v>
      </c>
      <c r="O32" s="20" t="s">
        <v>80</v>
      </c>
      <c r="P32" s="26" t="s">
        <v>80</v>
      </c>
    </row>
    <row r="33" spans="1:16">
      <c r="A33" s="9" t="s">
        <v>191</v>
      </c>
      <c r="B33" s="15">
        <v>7.2439074859245496</v>
      </c>
      <c r="C33" s="15">
        <v>7.0513224513191002</v>
      </c>
      <c r="D33" s="24">
        <v>7.4123917889266302</v>
      </c>
      <c r="E33" s="15">
        <v>6.1441808141313796</v>
      </c>
      <c r="F33" s="15">
        <v>6.7428593577172302</v>
      </c>
      <c r="G33" s="24">
        <v>5.6173448743967196</v>
      </c>
      <c r="H33" s="15">
        <v>8.22476308962022</v>
      </c>
      <c r="I33" s="15">
        <v>7.2678491525510598</v>
      </c>
      <c r="J33" s="24">
        <v>9.0694682259684907</v>
      </c>
      <c r="K33" s="20" t="s">
        <v>80</v>
      </c>
      <c r="L33" s="20" t="s">
        <v>80</v>
      </c>
      <c r="M33" s="26" t="s">
        <v>80</v>
      </c>
      <c r="N33" s="20" t="s">
        <v>80</v>
      </c>
      <c r="O33" s="20" t="s">
        <v>80</v>
      </c>
      <c r="P33" s="26" t="s">
        <v>80</v>
      </c>
    </row>
    <row r="34" spans="1:16">
      <c r="A34" s="9" t="s">
        <v>192</v>
      </c>
      <c r="B34" s="15">
        <v>2.9465585960029599</v>
      </c>
      <c r="C34" s="15">
        <v>3.8298959166626698</v>
      </c>
      <c r="D34" s="24">
        <v>2.1737650448738099</v>
      </c>
      <c r="E34" s="15">
        <v>4.2294843153943997</v>
      </c>
      <c r="F34" s="15">
        <v>5.5048347847189003</v>
      </c>
      <c r="G34" s="24">
        <v>3.1071784131764999</v>
      </c>
      <c r="H34" s="15">
        <v>1.5369616994225499</v>
      </c>
      <c r="I34" s="20" t="s">
        <v>80</v>
      </c>
      <c r="J34" s="26" t="s">
        <v>80</v>
      </c>
      <c r="K34" s="20" t="s">
        <v>80</v>
      </c>
      <c r="L34" s="20" t="s">
        <v>80</v>
      </c>
      <c r="M34" s="26" t="s">
        <v>80</v>
      </c>
      <c r="N34" s="20" t="s">
        <v>80</v>
      </c>
      <c r="O34" s="20" t="s">
        <v>80</v>
      </c>
      <c r="P34" s="26" t="s">
        <v>80</v>
      </c>
    </row>
    <row r="35" spans="1:16">
      <c r="A35" s="9" t="s">
        <v>193</v>
      </c>
      <c r="B35" s="15">
        <v>1.7353309901812599</v>
      </c>
      <c r="C35" s="15">
        <v>2.46157834492239</v>
      </c>
      <c r="D35" s="24">
        <v>1.09996864428898</v>
      </c>
      <c r="E35" s="15">
        <v>2.4353739656485001</v>
      </c>
      <c r="F35" s="15">
        <v>3.3487520007082101</v>
      </c>
      <c r="G35" s="26" t="s">
        <v>80</v>
      </c>
      <c r="H35" s="20" t="s">
        <v>80</v>
      </c>
      <c r="I35" s="20" t="s">
        <v>80</v>
      </c>
      <c r="J35" s="26" t="s">
        <v>80</v>
      </c>
      <c r="K35" s="20" t="s">
        <v>80</v>
      </c>
      <c r="L35" s="20" t="s">
        <v>80</v>
      </c>
      <c r="M35" s="26" t="s">
        <v>80</v>
      </c>
      <c r="N35" s="20" t="s">
        <v>80</v>
      </c>
      <c r="O35" s="20" t="s">
        <v>80</v>
      </c>
      <c r="P35" s="26" t="s">
        <v>80</v>
      </c>
    </row>
    <row r="36" spans="1:16">
      <c r="A36" s="9" t="s">
        <v>194</v>
      </c>
      <c r="B36" s="15">
        <v>6.2323581052957104</v>
      </c>
      <c r="C36" s="15">
        <v>4.6886542845291599</v>
      </c>
      <c r="D36" s="24">
        <v>7.5828776968950802</v>
      </c>
      <c r="E36" s="15">
        <v>1.47231346592872</v>
      </c>
      <c r="F36" s="15">
        <v>2.4967645934826801</v>
      </c>
      <c r="G36" s="26" t="s">
        <v>80</v>
      </c>
      <c r="H36" s="15">
        <v>10.8582159283078</v>
      </c>
      <c r="I36" s="15">
        <v>6.6278367333424804</v>
      </c>
      <c r="J36" s="24">
        <v>14.592536117679099</v>
      </c>
      <c r="K36" s="20" t="s">
        <v>80</v>
      </c>
      <c r="L36" s="20" t="s">
        <v>80</v>
      </c>
      <c r="M36" s="26" t="s">
        <v>80</v>
      </c>
      <c r="N36" s="20" t="s">
        <v>80</v>
      </c>
      <c r="O36" s="20" t="s">
        <v>80</v>
      </c>
      <c r="P36" s="26" t="s">
        <v>80</v>
      </c>
    </row>
    <row r="37" spans="1:16">
      <c r="A37" s="9" t="s">
        <v>195</v>
      </c>
      <c r="B37" s="15">
        <v>3.9431346192298098</v>
      </c>
      <c r="C37" s="15">
        <v>4.7222005004400902</v>
      </c>
      <c r="D37" s="24">
        <v>3.26156363289991</v>
      </c>
      <c r="E37" s="15">
        <v>4.1600373605306302</v>
      </c>
      <c r="F37" s="15">
        <v>4.9890465287593502</v>
      </c>
      <c r="G37" s="24">
        <v>3.43051092456309</v>
      </c>
      <c r="H37" s="15">
        <v>3.7083127459568499</v>
      </c>
      <c r="I37" s="15">
        <v>4.3383358663693903</v>
      </c>
      <c r="J37" s="24">
        <v>3.1521668427415599</v>
      </c>
      <c r="K37" s="20" t="s">
        <v>80</v>
      </c>
      <c r="L37" s="20" t="s">
        <v>80</v>
      </c>
      <c r="M37" s="26" t="s">
        <v>80</v>
      </c>
      <c r="N37" s="20" t="s">
        <v>80</v>
      </c>
      <c r="O37" s="20" t="s">
        <v>80</v>
      </c>
      <c r="P37" s="26" t="s">
        <v>80</v>
      </c>
    </row>
    <row r="38" spans="1:16">
      <c r="A38" s="9" t="s">
        <v>196</v>
      </c>
      <c r="B38" s="15">
        <v>3.45052468382129</v>
      </c>
      <c r="C38" s="15">
        <v>4.5869739153846503</v>
      </c>
      <c r="D38" s="24">
        <v>2.4562944879523401</v>
      </c>
      <c r="E38" s="15">
        <v>4.3067897482179003</v>
      </c>
      <c r="F38" s="15">
        <v>5.8627015899253001</v>
      </c>
      <c r="G38" s="24">
        <v>2.93759039064537</v>
      </c>
      <c r="H38" s="15">
        <v>2.3841245596987601</v>
      </c>
      <c r="I38" s="15">
        <v>3.3060230389938399</v>
      </c>
      <c r="J38" s="26" t="s">
        <v>80</v>
      </c>
      <c r="K38" s="20" t="s">
        <v>80</v>
      </c>
      <c r="L38" s="20" t="s">
        <v>80</v>
      </c>
      <c r="M38" s="26" t="s">
        <v>80</v>
      </c>
      <c r="N38" s="20" t="s">
        <v>80</v>
      </c>
      <c r="O38" s="20" t="s">
        <v>80</v>
      </c>
      <c r="P38" s="26" t="s">
        <v>80</v>
      </c>
    </row>
    <row r="39" spans="1:16">
      <c r="A39" s="9" t="s">
        <v>197</v>
      </c>
      <c r="B39" s="15">
        <v>2.9796341870614702</v>
      </c>
      <c r="C39" s="15">
        <v>3.18037034359658</v>
      </c>
      <c r="D39" s="24">
        <v>2.8040188206316601</v>
      </c>
      <c r="E39" s="15">
        <v>3.9492887387839501</v>
      </c>
      <c r="F39" s="15">
        <v>4.0031168892011202</v>
      </c>
      <c r="G39" s="24">
        <v>3.9019200723885401</v>
      </c>
      <c r="H39" s="15">
        <v>1.8127506664297801</v>
      </c>
      <c r="I39" s="20" t="s">
        <v>80</v>
      </c>
      <c r="J39" s="26" t="s">
        <v>80</v>
      </c>
      <c r="K39" s="20" t="s">
        <v>80</v>
      </c>
      <c r="L39" s="20" t="s">
        <v>80</v>
      </c>
      <c r="M39" s="26" t="s">
        <v>80</v>
      </c>
      <c r="N39" s="20" t="s">
        <v>80</v>
      </c>
      <c r="O39" s="20" t="s">
        <v>80</v>
      </c>
      <c r="P39" s="26" t="s">
        <v>80</v>
      </c>
    </row>
    <row r="40" spans="1:16">
      <c r="A40" s="9" t="s">
        <v>198</v>
      </c>
      <c r="B40" s="15">
        <v>1.1633847263910699</v>
      </c>
      <c r="C40" s="15">
        <v>1.4527261876924</v>
      </c>
      <c r="D40" s="26" t="s">
        <v>80</v>
      </c>
      <c r="E40" s="20" t="s">
        <v>80</v>
      </c>
      <c r="F40" s="20" t="s">
        <v>80</v>
      </c>
      <c r="G40" s="26" t="s">
        <v>80</v>
      </c>
      <c r="H40" s="15">
        <v>1.3489057007304599</v>
      </c>
      <c r="I40" s="20" t="s">
        <v>80</v>
      </c>
      <c r="J40" s="26" t="s">
        <v>80</v>
      </c>
      <c r="K40" s="20" t="s">
        <v>80</v>
      </c>
      <c r="L40" s="20" t="s">
        <v>80</v>
      </c>
      <c r="M40" s="26" t="s">
        <v>80</v>
      </c>
      <c r="N40" s="20" t="s">
        <v>80</v>
      </c>
      <c r="O40" s="20" t="s">
        <v>80</v>
      </c>
      <c r="P40" s="26" t="s">
        <v>80</v>
      </c>
    </row>
    <row r="41" spans="1:16">
      <c r="A41" s="9" t="s">
        <v>199</v>
      </c>
      <c r="B41" s="15">
        <v>3.2423575032130501</v>
      </c>
      <c r="C41" s="15">
        <v>3.4293179768620101</v>
      </c>
      <c r="D41" s="24">
        <v>3.0787938849068999</v>
      </c>
      <c r="E41" s="15">
        <v>4.0266540215167304</v>
      </c>
      <c r="F41" s="15">
        <v>4.7661384285284596</v>
      </c>
      <c r="G41" s="24">
        <v>3.3759091991723902</v>
      </c>
      <c r="H41" s="15">
        <v>2.4176056153953098</v>
      </c>
      <c r="I41" s="20" t="s">
        <v>80</v>
      </c>
      <c r="J41" s="24">
        <v>2.6059273574004398</v>
      </c>
      <c r="K41" s="20" t="s">
        <v>80</v>
      </c>
      <c r="L41" s="20" t="s">
        <v>80</v>
      </c>
      <c r="M41" s="26" t="s">
        <v>80</v>
      </c>
      <c r="N41" s="20" t="s">
        <v>80</v>
      </c>
      <c r="O41" s="20" t="s">
        <v>80</v>
      </c>
      <c r="P41" s="26" t="s">
        <v>80</v>
      </c>
    </row>
    <row r="42" spans="1:16">
      <c r="A42" s="9" t="s">
        <v>200</v>
      </c>
      <c r="B42" s="15">
        <v>2.5586633175024098</v>
      </c>
      <c r="C42" s="15">
        <v>3.0100647066010602</v>
      </c>
      <c r="D42" s="24">
        <v>2.16375179920988</v>
      </c>
      <c r="E42" s="15">
        <v>2.8919263664778501</v>
      </c>
      <c r="F42" s="15">
        <v>3.7296162714590402</v>
      </c>
      <c r="G42" s="26" t="s">
        <v>80</v>
      </c>
      <c r="H42" s="15">
        <v>2.0760952157903998</v>
      </c>
      <c r="I42" s="15">
        <v>2.2715085056494599</v>
      </c>
      <c r="J42" s="26" t="s">
        <v>80</v>
      </c>
      <c r="K42" s="20" t="s">
        <v>80</v>
      </c>
      <c r="L42" s="20" t="s">
        <v>80</v>
      </c>
      <c r="M42" s="26" t="s">
        <v>80</v>
      </c>
      <c r="N42" s="20" t="s">
        <v>80</v>
      </c>
      <c r="O42" s="20" t="s">
        <v>80</v>
      </c>
      <c r="P42" s="26" t="s">
        <v>80</v>
      </c>
    </row>
    <row r="43" spans="1:16">
      <c r="A43" s="9" t="s">
        <v>201</v>
      </c>
      <c r="B43" s="15">
        <v>16.142543481753702</v>
      </c>
      <c r="C43" s="15">
        <v>14.522952420348901</v>
      </c>
      <c r="D43" s="24">
        <v>17.5594535323619</v>
      </c>
      <c r="E43" s="15">
        <v>24.764421800831901</v>
      </c>
      <c r="F43" s="15">
        <v>22.6486265577939</v>
      </c>
      <c r="G43" s="24">
        <v>26.6263174493306</v>
      </c>
      <c r="H43" s="15">
        <v>7.7855188278141298</v>
      </c>
      <c r="I43" s="15">
        <v>6.5562271112819799</v>
      </c>
      <c r="J43" s="24">
        <v>8.8706624199384798</v>
      </c>
      <c r="K43" s="20" t="s">
        <v>80</v>
      </c>
      <c r="L43" s="20" t="s">
        <v>80</v>
      </c>
      <c r="M43" s="26" t="s">
        <v>80</v>
      </c>
      <c r="N43" s="20" t="s">
        <v>80</v>
      </c>
      <c r="O43" s="20" t="s">
        <v>80</v>
      </c>
      <c r="P43" s="26" t="s">
        <v>80</v>
      </c>
    </row>
    <row r="44" spans="1:16">
      <c r="A44" s="9" t="s">
        <v>202</v>
      </c>
      <c r="B44" s="15">
        <v>10.1169749329</v>
      </c>
      <c r="C44" s="15">
        <v>10.9180236663511</v>
      </c>
      <c r="D44" s="24">
        <v>9.4161721015547606</v>
      </c>
      <c r="E44" s="15">
        <v>10.71028503488</v>
      </c>
      <c r="F44" s="15">
        <v>11.5511649766462</v>
      </c>
      <c r="G44" s="24">
        <v>9.9703123415695405</v>
      </c>
      <c r="H44" s="15">
        <v>9.5933841283115093</v>
      </c>
      <c r="I44" s="15">
        <v>10.5221874066903</v>
      </c>
      <c r="J44" s="24">
        <v>8.7734933633105605</v>
      </c>
      <c r="K44" s="20" t="s">
        <v>80</v>
      </c>
      <c r="L44" s="20" t="s">
        <v>80</v>
      </c>
      <c r="M44" s="26" t="s">
        <v>80</v>
      </c>
      <c r="N44" s="20" t="s">
        <v>80</v>
      </c>
      <c r="O44" s="20" t="s">
        <v>80</v>
      </c>
      <c r="P44" s="26" t="s">
        <v>80</v>
      </c>
    </row>
    <row r="45" spans="1:16">
      <c r="A45" s="9" t="s">
        <v>203</v>
      </c>
      <c r="B45" s="15">
        <v>2.7694292137846901</v>
      </c>
      <c r="C45" s="15">
        <v>2.5775100268506699</v>
      </c>
      <c r="D45" s="24">
        <v>2.93733099550699</v>
      </c>
      <c r="E45" s="15">
        <v>3.2632007160248402</v>
      </c>
      <c r="F45" s="15">
        <v>3.5851673135505702</v>
      </c>
      <c r="G45" s="24">
        <v>2.9798707440591601</v>
      </c>
      <c r="H45" s="15">
        <v>2.28178799877755</v>
      </c>
      <c r="I45" s="20" t="s">
        <v>80</v>
      </c>
      <c r="J45" s="24">
        <v>2.9316850767942899</v>
      </c>
      <c r="K45" s="20" t="s">
        <v>80</v>
      </c>
      <c r="L45" s="20" t="s">
        <v>80</v>
      </c>
      <c r="M45" s="26" t="s">
        <v>80</v>
      </c>
      <c r="N45" s="20" t="s">
        <v>80</v>
      </c>
      <c r="O45" s="20" t="s">
        <v>80</v>
      </c>
      <c r="P45" s="26" t="s">
        <v>80</v>
      </c>
    </row>
    <row r="46" spans="1:16">
      <c r="A46" s="9" t="s">
        <v>204</v>
      </c>
      <c r="B46" s="15">
        <v>1.7848654696452799</v>
      </c>
      <c r="C46" s="15">
        <v>2.8474784887086799</v>
      </c>
      <c r="D46" s="24">
        <v>0.85523137712807196</v>
      </c>
      <c r="E46" s="15">
        <v>1.8755065263866</v>
      </c>
      <c r="F46" s="15">
        <v>3.19659575888029</v>
      </c>
      <c r="G46" s="26" t="s">
        <v>80</v>
      </c>
      <c r="H46" s="15">
        <v>1.58252590336792</v>
      </c>
      <c r="I46" s="15">
        <v>2.4939017017160698</v>
      </c>
      <c r="J46" s="26" t="s">
        <v>80</v>
      </c>
      <c r="K46" s="20" t="s">
        <v>80</v>
      </c>
      <c r="L46" s="20" t="s">
        <v>80</v>
      </c>
      <c r="M46" s="26" t="s">
        <v>80</v>
      </c>
      <c r="N46" s="20" t="s">
        <v>80</v>
      </c>
      <c r="O46" s="20" t="s">
        <v>80</v>
      </c>
      <c r="P46" s="26" t="s">
        <v>80</v>
      </c>
    </row>
    <row r="47" spans="1:16">
      <c r="A47" s="9" t="s">
        <v>205</v>
      </c>
      <c r="B47" s="15">
        <v>1.20023976179315</v>
      </c>
      <c r="C47" s="15">
        <v>1.5826876916921</v>
      </c>
      <c r="D47" s="26" t="s">
        <v>80</v>
      </c>
      <c r="E47" s="15">
        <v>1.6213924974048499</v>
      </c>
      <c r="F47" s="20" t="s">
        <v>80</v>
      </c>
      <c r="G47" s="26" t="s">
        <v>80</v>
      </c>
      <c r="H47" s="20" t="s">
        <v>80</v>
      </c>
      <c r="I47" s="20" t="s">
        <v>80</v>
      </c>
      <c r="J47" s="26" t="s">
        <v>80</v>
      </c>
      <c r="K47" s="20" t="s">
        <v>80</v>
      </c>
      <c r="L47" s="20" t="s">
        <v>80</v>
      </c>
      <c r="M47" s="26" t="s">
        <v>80</v>
      </c>
      <c r="N47" s="20" t="s">
        <v>80</v>
      </c>
      <c r="O47" s="20" t="s">
        <v>80</v>
      </c>
      <c r="P47" s="26" t="s">
        <v>80</v>
      </c>
    </row>
    <row r="48" spans="1:16">
      <c r="A48" s="9" t="s">
        <v>206</v>
      </c>
      <c r="B48" s="15">
        <v>1.1245173382968501</v>
      </c>
      <c r="C48" s="20" t="s">
        <v>80</v>
      </c>
      <c r="D48" s="24">
        <v>1.2038881509617301</v>
      </c>
      <c r="E48" s="15">
        <v>1.17099102463216</v>
      </c>
      <c r="F48" s="20" t="s">
        <v>80</v>
      </c>
      <c r="G48" s="26" t="s">
        <v>80</v>
      </c>
      <c r="H48" s="20" t="s">
        <v>80</v>
      </c>
      <c r="I48" s="20" t="s">
        <v>80</v>
      </c>
      <c r="J48" s="26" t="s">
        <v>80</v>
      </c>
      <c r="K48" s="20" t="s">
        <v>80</v>
      </c>
      <c r="L48" s="20" t="s">
        <v>80</v>
      </c>
      <c r="M48" s="26" t="s">
        <v>80</v>
      </c>
      <c r="N48" s="20" t="s">
        <v>80</v>
      </c>
      <c r="O48" s="20" t="s">
        <v>80</v>
      </c>
      <c r="P48" s="26" t="s">
        <v>80</v>
      </c>
    </row>
    <row r="49" spans="1:16">
      <c r="A49" s="9" t="s">
        <v>207</v>
      </c>
      <c r="B49" s="15">
        <v>5.6368792359233497</v>
      </c>
      <c r="C49" s="15">
        <v>5.0566363785934296</v>
      </c>
      <c r="D49" s="24">
        <v>6.1445085726963304</v>
      </c>
      <c r="E49" s="15">
        <v>5.3108808396035396</v>
      </c>
      <c r="F49" s="15">
        <v>5.4721512947318098</v>
      </c>
      <c r="G49" s="24">
        <v>5.1689631565844696</v>
      </c>
      <c r="H49" s="15">
        <v>6.0333609962704298</v>
      </c>
      <c r="I49" s="15">
        <v>4.5553565547684398</v>
      </c>
      <c r="J49" s="24">
        <v>7.3380529804901702</v>
      </c>
      <c r="K49" s="20" t="s">
        <v>80</v>
      </c>
      <c r="L49" s="20" t="s">
        <v>80</v>
      </c>
      <c r="M49" s="26" t="s">
        <v>80</v>
      </c>
      <c r="N49" s="20" t="s">
        <v>80</v>
      </c>
      <c r="O49" s="20" t="s">
        <v>80</v>
      </c>
      <c r="P49" s="26" t="s">
        <v>80</v>
      </c>
    </row>
    <row r="50" spans="1:16">
      <c r="A50" s="9" t="s">
        <v>208</v>
      </c>
      <c r="B50" s="15">
        <v>21.395951471167098</v>
      </c>
      <c r="C50" s="15">
        <v>29.294582847751499</v>
      </c>
      <c r="D50" s="24">
        <v>14.4857810891298</v>
      </c>
      <c r="E50" s="15">
        <v>19.795532932476899</v>
      </c>
      <c r="F50" s="15">
        <v>28.414980600103799</v>
      </c>
      <c r="G50" s="24">
        <v>12.210435954107</v>
      </c>
      <c r="H50" s="15">
        <v>23.057949050600499</v>
      </c>
      <c r="I50" s="15">
        <v>30.4214020768223</v>
      </c>
      <c r="J50" s="24">
        <v>16.557942778814802</v>
      </c>
      <c r="K50" s="20" t="s">
        <v>80</v>
      </c>
      <c r="L50" s="20" t="s">
        <v>80</v>
      </c>
      <c r="M50" s="26" t="s">
        <v>80</v>
      </c>
      <c r="N50" s="20" t="s">
        <v>80</v>
      </c>
      <c r="O50" s="20" t="s">
        <v>80</v>
      </c>
      <c r="P50" s="26" t="s">
        <v>80</v>
      </c>
    </row>
    <row r="51" spans="1:16">
      <c r="A51" s="9" t="s">
        <v>209</v>
      </c>
      <c r="B51" s="15">
        <v>2.37580147631021</v>
      </c>
      <c r="C51" s="15">
        <v>3.2803827844221098</v>
      </c>
      <c r="D51" s="24">
        <v>1.5844224809579399</v>
      </c>
      <c r="E51" s="15">
        <v>2.63836438925635</v>
      </c>
      <c r="F51" s="15">
        <v>3.7959625097109799</v>
      </c>
      <c r="G51" s="24">
        <v>1.61968032222442</v>
      </c>
      <c r="H51" s="15">
        <v>2.0524835157083601</v>
      </c>
      <c r="I51" s="15">
        <v>2.7194770972328799</v>
      </c>
      <c r="J51" s="26" t="s">
        <v>80</v>
      </c>
      <c r="K51" s="20" t="s">
        <v>80</v>
      </c>
      <c r="L51" s="20" t="s">
        <v>80</v>
      </c>
      <c r="M51" s="26" t="s">
        <v>80</v>
      </c>
      <c r="N51" s="20" t="s">
        <v>80</v>
      </c>
      <c r="O51" s="20" t="s">
        <v>80</v>
      </c>
      <c r="P51" s="26" t="s">
        <v>80</v>
      </c>
    </row>
    <row r="52" spans="1:16">
      <c r="A52" s="9" t="s">
        <v>210</v>
      </c>
      <c r="B52" s="15">
        <v>2.3928338543669998</v>
      </c>
      <c r="C52" s="15">
        <v>2.3479578966045298</v>
      </c>
      <c r="D52" s="24">
        <v>2.4320938855560801</v>
      </c>
      <c r="E52" s="15">
        <v>3.3021235615053302</v>
      </c>
      <c r="F52" s="15">
        <v>3.17094626273366</v>
      </c>
      <c r="G52" s="24">
        <v>3.4175593261751098</v>
      </c>
      <c r="H52" s="15">
        <v>1.3203238462204401</v>
      </c>
      <c r="I52" s="20" t="s">
        <v>80</v>
      </c>
      <c r="J52" s="26" t="s">
        <v>80</v>
      </c>
      <c r="K52" s="20" t="s">
        <v>80</v>
      </c>
      <c r="L52" s="20" t="s">
        <v>80</v>
      </c>
      <c r="M52" s="26" t="s">
        <v>80</v>
      </c>
      <c r="N52" s="20" t="s">
        <v>80</v>
      </c>
      <c r="O52" s="20" t="s">
        <v>80</v>
      </c>
      <c r="P52" s="26" t="s">
        <v>80</v>
      </c>
    </row>
    <row r="53" spans="1:16">
      <c r="A53" s="9" t="s">
        <v>211</v>
      </c>
      <c r="B53" s="15">
        <v>5.3226262014480001</v>
      </c>
      <c r="C53" s="15">
        <v>5.8158241543806897</v>
      </c>
      <c r="D53" s="24">
        <v>4.8911486802991799</v>
      </c>
      <c r="E53" s="15">
        <v>6.1128698339659699</v>
      </c>
      <c r="F53" s="15">
        <v>6.5363961609254897</v>
      </c>
      <c r="G53" s="24">
        <v>5.7401675000395898</v>
      </c>
      <c r="H53" s="15">
        <v>4.4295189301744102</v>
      </c>
      <c r="I53" s="15">
        <v>4.8795777057369598</v>
      </c>
      <c r="J53" s="24">
        <v>4.0322345510371598</v>
      </c>
      <c r="K53" s="20" t="s">
        <v>80</v>
      </c>
      <c r="L53" s="20" t="s">
        <v>80</v>
      </c>
      <c r="M53" s="26" t="s">
        <v>80</v>
      </c>
      <c r="N53" s="20" t="s">
        <v>80</v>
      </c>
      <c r="O53" s="20" t="s">
        <v>80</v>
      </c>
      <c r="P53" s="26" t="s">
        <v>80</v>
      </c>
    </row>
    <row r="54" spans="1:16">
      <c r="A54" s="9" t="s">
        <v>212</v>
      </c>
      <c r="B54" s="15">
        <v>3.7879113772252002</v>
      </c>
      <c r="C54" s="15">
        <v>4.8202779581147501</v>
      </c>
      <c r="D54" s="24">
        <v>2.8847385830350101</v>
      </c>
      <c r="E54" s="15">
        <v>2.8079841007629902</v>
      </c>
      <c r="F54" s="15">
        <v>4.1704612888273704</v>
      </c>
      <c r="G54" s="26" t="s">
        <v>80</v>
      </c>
      <c r="H54" s="15">
        <v>4.7417966926526898</v>
      </c>
      <c r="I54" s="15">
        <v>5.4757063742256804</v>
      </c>
      <c r="J54" s="24">
        <v>4.0939460828693504</v>
      </c>
      <c r="K54" s="20" t="s">
        <v>80</v>
      </c>
      <c r="L54" s="20" t="s">
        <v>80</v>
      </c>
      <c r="M54" s="26" t="s">
        <v>80</v>
      </c>
      <c r="N54" s="20" t="s">
        <v>80</v>
      </c>
      <c r="O54" s="20" t="s">
        <v>80</v>
      </c>
      <c r="P54" s="26" t="s">
        <v>80</v>
      </c>
    </row>
    <row r="55" spans="1:16">
      <c r="A55" s="9" t="s">
        <v>213</v>
      </c>
      <c r="B55" s="15">
        <v>2.0174010241149301</v>
      </c>
      <c r="C55" s="15">
        <v>1.9424642640429199</v>
      </c>
      <c r="D55" s="24">
        <v>2.0829599488560602</v>
      </c>
      <c r="E55" s="15">
        <v>2.1017615334271</v>
      </c>
      <c r="F55" s="15">
        <v>2.2440113534192299</v>
      </c>
      <c r="G55" s="26" t="s">
        <v>80</v>
      </c>
      <c r="H55" s="15">
        <v>1.86446226503943</v>
      </c>
      <c r="I55" s="20" t="s">
        <v>80</v>
      </c>
      <c r="J55" s="26" t="s">
        <v>80</v>
      </c>
      <c r="K55" s="20" t="s">
        <v>80</v>
      </c>
      <c r="L55" s="20" t="s">
        <v>80</v>
      </c>
      <c r="M55" s="26" t="s">
        <v>80</v>
      </c>
      <c r="N55" s="20" t="s">
        <v>80</v>
      </c>
      <c r="O55" s="20" t="s">
        <v>80</v>
      </c>
      <c r="P55" s="26" t="s">
        <v>80</v>
      </c>
    </row>
    <row r="56" spans="1:16">
      <c r="A56" s="9" t="s">
        <v>214</v>
      </c>
      <c r="B56" s="15">
        <v>1.5902897513549801</v>
      </c>
      <c r="C56" s="15">
        <v>1.7974302596060101</v>
      </c>
      <c r="D56" s="24">
        <v>1.40907149507837</v>
      </c>
      <c r="E56" s="15">
        <v>1.6399145892984599</v>
      </c>
      <c r="F56" s="20" t="s">
        <v>80</v>
      </c>
      <c r="G56" s="26" t="s">
        <v>80</v>
      </c>
      <c r="H56" s="15">
        <v>1.2536518478316701</v>
      </c>
      <c r="I56" s="20" t="s">
        <v>80</v>
      </c>
      <c r="J56" s="26" t="s">
        <v>80</v>
      </c>
      <c r="K56" s="20" t="s">
        <v>80</v>
      </c>
      <c r="L56" s="20" t="s">
        <v>80</v>
      </c>
      <c r="M56" s="26" t="s">
        <v>80</v>
      </c>
      <c r="N56" s="20" t="s">
        <v>80</v>
      </c>
      <c r="O56" s="20" t="s">
        <v>80</v>
      </c>
      <c r="P56" s="26" t="s">
        <v>80</v>
      </c>
    </row>
    <row r="57" spans="1:16">
      <c r="A57" s="9" t="s">
        <v>215</v>
      </c>
      <c r="B57" s="15">
        <v>2.4981529839208698</v>
      </c>
      <c r="C57" s="15">
        <v>3.0089652915823302</v>
      </c>
      <c r="D57" s="24">
        <v>2.0512654269642998</v>
      </c>
      <c r="E57" s="15">
        <v>2.2133962732649</v>
      </c>
      <c r="F57" s="15">
        <v>2.9808156243216999</v>
      </c>
      <c r="G57" s="26" t="s">
        <v>80</v>
      </c>
      <c r="H57" s="15">
        <v>2.5859476570314399</v>
      </c>
      <c r="I57" s="15">
        <v>2.9961128171493798</v>
      </c>
      <c r="J57" s="26" t="s">
        <v>80</v>
      </c>
      <c r="K57" s="20" t="s">
        <v>80</v>
      </c>
      <c r="L57" s="20" t="s">
        <v>80</v>
      </c>
      <c r="M57" s="26" t="s">
        <v>80</v>
      </c>
      <c r="N57" s="20" t="s">
        <v>80</v>
      </c>
      <c r="O57" s="20" t="s">
        <v>80</v>
      </c>
      <c r="P57" s="26" t="s">
        <v>80</v>
      </c>
    </row>
    <row r="58" spans="1:16">
      <c r="A58" s="9" t="s">
        <v>216</v>
      </c>
      <c r="B58" s="15">
        <v>4.4604694834452596</v>
      </c>
      <c r="C58" s="15">
        <v>2.9954710056319098</v>
      </c>
      <c r="D58" s="24">
        <v>5.7421331804151299</v>
      </c>
      <c r="E58" s="15">
        <v>5.0905395818024299</v>
      </c>
      <c r="F58" s="15">
        <v>3.4639143173075699</v>
      </c>
      <c r="G58" s="24">
        <v>6.5219666122141202</v>
      </c>
      <c r="H58" s="15">
        <v>3.8691817830453301</v>
      </c>
      <c r="I58" s="15">
        <v>2.4237806561330602</v>
      </c>
      <c r="J58" s="24">
        <v>5.1450935538842604</v>
      </c>
      <c r="K58" s="20" t="s">
        <v>80</v>
      </c>
      <c r="L58" s="20" t="s">
        <v>80</v>
      </c>
      <c r="M58" s="26" t="s">
        <v>80</v>
      </c>
      <c r="N58" s="20" t="s">
        <v>80</v>
      </c>
      <c r="O58" s="20" t="s">
        <v>80</v>
      </c>
      <c r="P58" s="26" t="s">
        <v>80</v>
      </c>
    </row>
    <row r="59" spans="1:16">
      <c r="A59" s="9" t="s">
        <v>217</v>
      </c>
      <c r="B59" s="20" t="s">
        <v>80</v>
      </c>
      <c r="C59" s="20" t="s">
        <v>80</v>
      </c>
      <c r="D59" s="26" t="s">
        <v>80</v>
      </c>
      <c r="E59" s="20" t="s">
        <v>80</v>
      </c>
      <c r="F59" s="20" t="s">
        <v>80</v>
      </c>
      <c r="G59" s="26" t="s">
        <v>80</v>
      </c>
      <c r="H59" s="20" t="s">
        <v>80</v>
      </c>
      <c r="I59" s="20" t="s">
        <v>80</v>
      </c>
      <c r="J59" s="26" t="s">
        <v>80</v>
      </c>
      <c r="K59" s="20" t="s">
        <v>80</v>
      </c>
      <c r="L59" s="20" t="s">
        <v>80</v>
      </c>
      <c r="M59" s="26" t="s">
        <v>80</v>
      </c>
      <c r="N59" s="20" t="s">
        <v>80</v>
      </c>
      <c r="O59" s="20" t="s">
        <v>80</v>
      </c>
      <c r="P59" s="26" t="s">
        <v>80</v>
      </c>
    </row>
    <row r="60" spans="1:16">
      <c r="A60" s="9" t="s">
        <v>218</v>
      </c>
      <c r="B60" s="20" t="s">
        <v>80</v>
      </c>
      <c r="C60" s="20" t="s">
        <v>80</v>
      </c>
      <c r="D60" s="26" t="s">
        <v>80</v>
      </c>
      <c r="E60" s="20" t="s">
        <v>80</v>
      </c>
      <c r="F60" s="20" t="s">
        <v>80</v>
      </c>
      <c r="G60" s="26" t="s">
        <v>80</v>
      </c>
      <c r="H60" s="20" t="s">
        <v>80</v>
      </c>
      <c r="I60" s="20" t="s">
        <v>80</v>
      </c>
      <c r="J60" s="26" t="s">
        <v>80</v>
      </c>
      <c r="K60" s="20" t="s">
        <v>80</v>
      </c>
      <c r="L60" s="20" t="s">
        <v>80</v>
      </c>
      <c r="M60" s="26" t="s">
        <v>80</v>
      </c>
      <c r="N60" s="20" t="s">
        <v>80</v>
      </c>
      <c r="O60" s="20" t="s">
        <v>80</v>
      </c>
      <c r="P60" s="26" t="s">
        <v>80</v>
      </c>
    </row>
    <row r="61" spans="1:16">
      <c r="A61" s="9" t="s">
        <v>219</v>
      </c>
      <c r="B61" s="20" t="s">
        <v>80</v>
      </c>
      <c r="C61" s="20" t="s">
        <v>80</v>
      </c>
      <c r="D61" s="26" t="s">
        <v>80</v>
      </c>
      <c r="E61" s="20" t="s">
        <v>80</v>
      </c>
      <c r="F61" s="20" t="s">
        <v>80</v>
      </c>
      <c r="G61" s="26" t="s">
        <v>80</v>
      </c>
      <c r="H61" s="20" t="s">
        <v>80</v>
      </c>
      <c r="I61" s="20" t="s">
        <v>80</v>
      </c>
      <c r="J61" s="26" t="s">
        <v>80</v>
      </c>
      <c r="K61" s="20" t="s">
        <v>80</v>
      </c>
      <c r="L61" s="20" t="s">
        <v>80</v>
      </c>
      <c r="M61" s="26" t="s">
        <v>80</v>
      </c>
      <c r="N61" s="20" t="s">
        <v>80</v>
      </c>
      <c r="O61" s="20" t="s">
        <v>80</v>
      </c>
      <c r="P61" s="26" t="s">
        <v>80</v>
      </c>
    </row>
    <row r="62" spans="1:16">
      <c r="A62" s="9" t="s">
        <v>220</v>
      </c>
      <c r="B62" s="15">
        <v>1.2863310227147799</v>
      </c>
      <c r="C62" s="15">
        <v>1.13222194479135</v>
      </c>
      <c r="D62" s="24">
        <v>1.4211543781921101</v>
      </c>
      <c r="E62" s="15">
        <v>1.3041959426024601</v>
      </c>
      <c r="F62" s="20" t="s">
        <v>80</v>
      </c>
      <c r="G62" s="26" t="s">
        <v>80</v>
      </c>
      <c r="H62" s="15">
        <v>1.0797387128716101</v>
      </c>
      <c r="I62" s="20" t="s">
        <v>80</v>
      </c>
      <c r="J62" s="26" t="s">
        <v>80</v>
      </c>
      <c r="K62" s="20" t="s">
        <v>80</v>
      </c>
      <c r="L62" s="20" t="s">
        <v>80</v>
      </c>
      <c r="M62" s="26" t="s">
        <v>80</v>
      </c>
      <c r="N62" s="20" t="s">
        <v>80</v>
      </c>
      <c r="O62" s="20" t="s">
        <v>80</v>
      </c>
      <c r="P62" s="26" t="s">
        <v>80</v>
      </c>
    </row>
    <row r="63" spans="1:16">
      <c r="A63" s="9" t="s">
        <v>221</v>
      </c>
      <c r="B63" s="15">
        <v>1.6498032934759801</v>
      </c>
      <c r="C63" s="15">
        <v>2.2280811451493898</v>
      </c>
      <c r="D63" s="24">
        <v>1.14389305501772</v>
      </c>
      <c r="E63" s="15">
        <v>2.1976571929794502</v>
      </c>
      <c r="F63" s="15">
        <v>3.4340881186530599</v>
      </c>
      <c r="G63" s="26" t="s">
        <v>80</v>
      </c>
      <c r="H63" s="20" t="s">
        <v>80</v>
      </c>
      <c r="I63" s="20" t="s">
        <v>80</v>
      </c>
      <c r="J63" s="26" t="s">
        <v>80</v>
      </c>
      <c r="K63" s="20" t="s">
        <v>80</v>
      </c>
      <c r="L63" s="20" t="s">
        <v>80</v>
      </c>
      <c r="M63" s="26" t="s">
        <v>80</v>
      </c>
      <c r="N63" s="20" t="s">
        <v>80</v>
      </c>
      <c r="O63" s="20" t="s">
        <v>80</v>
      </c>
      <c r="P63" s="26" t="s">
        <v>80</v>
      </c>
    </row>
    <row r="64" spans="1:16">
      <c r="A64" s="11" t="s">
        <v>222</v>
      </c>
      <c r="B64" s="16">
        <v>3.5311122268427702</v>
      </c>
      <c r="C64" s="16">
        <v>4.1606908199631203</v>
      </c>
      <c r="D64" s="25">
        <v>2.9803211923045501</v>
      </c>
      <c r="E64" s="16">
        <v>3.06346078236052</v>
      </c>
      <c r="F64" s="16">
        <v>3.99924189349509</v>
      </c>
      <c r="G64" s="25">
        <v>2.2399752468381999</v>
      </c>
      <c r="H64" s="16">
        <v>3.8173279592340199</v>
      </c>
      <c r="I64" s="16">
        <v>4.0350267788537204</v>
      </c>
      <c r="J64" s="25">
        <v>3.6251567471886301</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S71"/>
  <sheetViews>
    <sheetView zoomScale="55" workbookViewId="0"/>
  </sheetViews>
  <sheetFormatPr defaultColWidth="10.90625" defaultRowHeight="15"/>
  <cols>
    <col min="1" max="1" width="51.6796875" customWidth="1"/>
    <col min="2" max="44" width="13.6796875" customWidth="1"/>
  </cols>
  <sheetData>
    <row r="1" spans="1:45" ht="39.9" customHeight="1">
      <c r="A1" s="10" t="s">
        <v>229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c r="A3" s="9" t="s">
        <v>161</v>
      </c>
      <c r="B3" s="36">
        <v>3.61725212941491</v>
      </c>
      <c r="C3" s="32">
        <v>3.5114270312970501</v>
      </c>
      <c r="D3" s="32">
        <v>3.56395995914554</v>
      </c>
      <c r="E3" s="32">
        <v>5.1325196649216602</v>
      </c>
      <c r="F3" s="15">
        <v>9.8039215686274499</v>
      </c>
      <c r="G3" s="20" t="s">
        <v>80</v>
      </c>
      <c r="H3" s="15">
        <v>3.3519553072625698</v>
      </c>
      <c r="I3" s="15">
        <v>5.9405940594059397</v>
      </c>
      <c r="J3" s="20" t="s">
        <v>80</v>
      </c>
      <c r="K3" s="20" t="s">
        <v>80</v>
      </c>
      <c r="L3" s="20" t="s">
        <v>80</v>
      </c>
      <c r="M3" s="20" t="s">
        <v>80</v>
      </c>
      <c r="N3" s="15">
        <v>4.1666666666666696</v>
      </c>
      <c r="O3" s="15">
        <v>4.0322580645161299</v>
      </c>
      <c r="P3" s="15">
        <v>7.4380165289256199</v>
      </c>
      <c r="Q3" s="20" t="s">
        <v>80</v>
      </c>
      <c r="R3" s="20" t="s">
        <v>80</v>
      </c>
      <c r="S3" s="20" t="s">
        <v>80</v>
      </c>
      <c r="T3" s="20" t="s">
        <v>80</v>
      </c>
      <c r="U3" s="20" t="s">
        <v>80</v>
      </c>
      <c r="V3" s="20" t="s">
        <v>80</v>
      </c>
      <c r="W3" s="15">
        <v>10.869565217391299</v>
      </c>
      <c r="X3" s="15">
        <v>7.20720720720721</v>
      </c>
      <c r="Y3" s="15">
        <v>5.3030303030303001</v>
      </c>
      <c r="Z3" s="20" t="s">
        <v>80</v>
      </c>
      <c r="AA3" s="20" t="s">
        <v>80</v>
      </c>
      <c r="AB3" s="20" t="s">
        <v>80</v>
      </c>
      <c r="AC3" s="20" t="s">
        <v>80</v>
      </c>
      <c r="AD3" s="20" t="s">
        <v>80</v>
      </c>
      <c r="AE3" s="20" t="s">
        <v>80</v>
      </c>
      <c r="AF3" s="20" t="s">
        <v>80</v>
      </c>
      <c r="AG3" s="20" t="s">
        <v>80</v>
      </c>
      <c r="AH3" s="20" t="s">
        <v>80</v>
      </c>
      <c r="AI3" s="20" t="s">
        <v>80</v>
      </c>
      <c r="AJ3" s="32">
        <v>2.1916950306360898</v>
      </c>
      <c r="AK3" s="15">
        <v>2.3668639053254399</v>
      </c>
      <c r="AL3" s="15">
        <v>2.6143790849673199</v>
      </c>
      <c r="AM3" s="20" t="s">
        <v>80</v>
      </c>
      <c r="AN3" s="15">
        <v>4.3795620437956204</v>
      </c>
      <c r="AO3" s="15">
        <v>2.0958083832335301</v>
      </c>
      <c r="AP3" s="15">
        <v>3.19829424307036</v>
      </c>
      <c r="AQ3" s="20" t="s">
        <v>80</v>
      </c>
      <c r="AR3" s="24">
        <v>2.7272727272727302</v>
      </c>
      <c r="AS3" s="38"/>
    </row>
    <row r="4" spans="1:45">
      <c r="A4" s="9" t="s">
        <v>162</v>
      </c>
      <c r="B4" s="36">
        <v>5.3549833712101096</v>
      </c>
      <c r="C4" s="32">
        <v>5.50407285022749</v>
      </c>
      <c r="D4" s="32">
        <v>5.6348917752910399</v>
      </c>
      <c r="E4" s="32">
        <v>5.2485441680998699</v>
      </c>
      <c r="F4" s="20" t="s">
        <v>80</v>
      </c>
      <c r="G4" s="20" t="s">
        <v>80</v>
      </c>
      <c r="H4" s="15">
        <v>2.7932960893854699</v>
      </c>
      <c r="I4" s="15">
        <v>6.9306930693069297</v>
      </c>
      <c r="J4" s="20" t="s">
        <v>80</v>
      </c>
      <c r="K4" s="20" t="s">
        <v>80</v>
      </c>
      <c r="L4" s="20" t="s">
        <v>80</v>
      </c>
      <c r="M4" s="15">
        <v>7.1428571428571397</v>
      </c>
      <c r="N4" s="20" t="s">
        <v>80</v>
      </c>
      <c r="O4" s="15">
        <v>4.0322580645161299</v>
      </c>
      <c r="P4" s="15">
        <v>8.2644628099173598</v>
      </c>
      <c r="Q4" s="20" t="s">
        <v>80</v>
      </c>
      <c r="R4" s="20" t="s">
        <v>80</v>
      </c>
      <c r="S4" s="20" t="s">
        <v>80</v>
      </c>
      <c r="T4" s="20" t="s">
        <v>80</v>
      </c>
      <c r="U4" s="15">
        <v>10.714285714285699</v>
      </c>
      <c r="V4" s="20" t="s">
        <v>80</v>
      </c>
      <c r="W4" s="20" t="s">
        <v>80</v>
      </c>
      <c r="X4" s="15">
        <v>7.20720720720721</v>
      </c>
      <c r="Y4" s="15">
        <v>4.5454545454545396</v>
      </c>
      <c r="Z4" s="20" t="s">
        <v>80</v>
      </c>
      <c r="AA4" s="20" t="s">
        <v>80</v>
      </c>
      <c r="AB4" s="20" t="s">
        <v>80</v>
      </c>
      <c r="AC4" s="20" t="s">
        <v>80</v>
      </c>
      <c r="AD4" s="20" t="s">
        <v>80</v>
      </c>
      <c r="AE4" s="20" t="s">
        <v>80</v>
      </c>
      <c r="AF4" s="20" t="s">
        <v>80</v>
      </c>
      <c r="AG4" s="20" t="s">
        <v>80</v>
      </c>
      <c r="AH4" s="15">
        <v>13.9784946236559</v>
      </c>
      <c r="AI4" s="20" t="s">
        <v>80</v>
      </c>
      <c r="AJ4" s="32">
        <v>5.9728905582571397</v>
      </c>
      <c r="AK4" s="15">
        <v>5.9171597633136104</v>
      </c>
      <c r="AL4" s="15">
        <v>5.4466230936819198</v>
      </c>
      <c r="AM4" s="15">
        <v>4.5454545454545503</v>
      </c>
      <c r="AN4" s="15">
        <v>10.9489051094891</v>
      </c>
      <c r="AO4" s="15">
        <v>5.9880239520958103</v>
      </c>
      <c r="AP4" s="15">
        <v>5.1172707889125801</v>
      </c>
      <c r="AQ4" s="15">
        <v>5.1470588235294104</v>
      </c>
      <c r="AR4" s="24">
        <v>6.3636363636363598</v>
      </c>
      <c r="AS4" s="38"/>
    </row>
    <row r="5" spans="1:45">
      <c r="A5" s="9" t="s">
        <v>163</v>
      </c>
      <c r="B5" s="36">
        <v>2.8921024083957101</v>
      </c>
      <c r="C5" s="32">
        <v>2.9566415699313202</v>
      </c>
      <c r="D5" s="32">
        <v>2.1534465325486201</v>
      </c>
      <c r="E5" s="32">
        <v>2.1142736380927598</v>
      </c>
      <c r="F5" s="20" t="s">
        <v>80</v>
      </c>
      <c r="G5" s="20" t="s">
        <v>80</v>
      </c>
      <c r="H5" s="20" t="s">
        <v>80</v>
      </c>
      <c r="I5" s="20" t="s">
        <v>80</v>
      </c>
      <c r="J5" s="20" t="s">
        <v>80</v>
      </c>
      <c r="K5" s="20" t="s">
        <v>80</v>
      </c>
      <c r="L5" s="20" t="s">
        <v>80</v>
      </c>
      <c r="M5" s="20" t="s">
        <v>80</v>
      </c>
      <c r="N5" s="20" t="s">
        <v>80</v>
      </c>
      <c r="O5" s="20" t="s">
        <v>80</v>
      </c>
      <c r="P5" s="20" t="s">
        <v>80</v>
      </c>
      <c r="Q5" s="20" t="s">
        <v>80</v>
      </c>
      <c r="R5" s="20" t="s">
        <v>80</v>
      </c>
      <c r="S5" s="20" t="s">
        <v>80</v>
      </c>
      <c r="T5" s="20" t="s">
        <v>80</v>
      </c>
      <c r="U5" s="20" t="s">
        <v>80</v>
      </c>
      <c r="V5" s="20" t="s">
        <v>80</v>
      </c>
      <c r="W5" s="20" t="s">
        <v>80</v>
      </c>
      <c r="X5" s="20" t="s">
        <v>80</v>
      </c>
      <c r="Y5" s="20" t="s">
        <v>80</v>
      </c>
      <c r="Z5" s="20" t="s">
        <v>80</v>
      </c>
      <c r="AA5" s="20" t="s">
        <v>80</v>
      </c>
      <c r="AB5" s="20" t="s">
        <v>80</v>
      </c>
      <c r="AC5" s="20" t="s">
        <v>80</v>
      </c>
      <c r="AD5" s="20" t="s">
        <v>80</v>
      </c>
      <c r="AE5" s="20" t="s">
        <v>80</v>
      </c>
      <c r="AF5" s="20" t="s">
        <v>80</v>
      </c>
      <c r="AG5" s="20" t="s">
        <v>80</v>
      </c>
      <c r="AH5" s="15">
        <v>8.6021505376344098</v>
      </c>
      <c r="AI5" s="20" t="s">
        <v>80</v>
      </c>
      <c r="AJ5" s="32">
        <v>2.1877172007367802</v>
      </c>
      <c r="AK5" s="15">
        <v>1.62721893491124</v>
      </c>
      <c r="AL5" s="15">
        <v>2.17864923747277</v>
      </c>
      <c r="AM5" s="20" t="s">
        <v>80</v>
      </c>
      <c r="AN5" s="15">
        <v>5.8394160583941597</v>
      </c>
      <c r="AO5" s="15">
        <v>4.7904191616766498</v>
      </c>
      <c r="AP5" s="15">
        <v>4.0511727078891298</v>
      </c>
      <c r="AQ5" s="20" t="s">
        <v>80</v>
      </c>
      <c r="AR5" s="24">
        <v>2.7272727272727302</v>
      </c>
      <c r="AS5" s="38"/>
    </row>
    <row r="6" spans="1:45">
      <c r="A6" s="9" t="s">
        <v>164</v>
      </c>
      <c r="B6" s="36">
        <v>5.9788342681915596</v>
      </c>
      <c r="C6" s="32">
        <v>5.5308032535410003</v>
      </c>
      <c r="D6" s="32">
        <v>4.9128937273297497</v>
      </c>
      <c r="E6" s="32">
        <v>5.87693207201644</v>
      </c>
      <c r="F6" s="20" t="s">
        <v>80</v>
      </c>
      <c r="G6" s="20" t="s">
        <v>80</v>
      </c>
      <c r="H6" s="15">
        <v>3.3519553072625698</v>
      </c>
      <c r="I6" s="20" t="s">
        <v>80</v>
      </c>
      <c r="J6" s="20" t="s">
        <v>80</v>
      </c>
      <c r="K6" s="20" t="s">
        <v>80</v>
      </c>
      <c r="L6" s="20" t="s">
        <v>80</v>
      </c>
      <c r="M6" s="15">
        <v>5.9523809523809499</v>
      </c>
      <c r="N6" s="15">
        <v>6.9444444444444402</v>
      </c>
      <c r="O6" s="15">
        <v>7.2580645161290303</v>
      </c>
      <c r="P6" s="20" t="s">
        <v>80</v>
      </c>
      <c r="Q6" s="20" t="s">
        <v>80</v>
      </c>
      <c r="R6" s="20" t="s">
        <v>80</v>
      </c>
      <c r="S6" s="20" t="s">
        <v>80</v>
      </c>
      <c r="T6" s="20" t="s">
        <v>80</v>
      </c>
      <c r="U6" s="20" t="s">
        <v>80</v>
      </c>
      <c r="V6" s="15">
        <v>26.315789473684202</v>
      </c>
      <c r="W6" s="20" t="s">
        <v>80</v>
      </c>
      <c r="X6" s="15">
        <v>17.1171171171171</v>
      </c>
      <c r="Y6" s="20" t="s">
        <v>80</v>
      </c>
      <c r="Z6" s="20" t="s">
        <v>80</v>
      </c>
      <c r="AA6" s="20" t="s">
        <v>80</v>
      </c>
      <c r="AB6" s="20" t="s">
        <v>80</v>
      </c>
      <c r="AC6" s="20" t="s">
        <v>80</v>
      </c>
      <c r="AD6" s="20" t="s">
        <v>80</v>
      </c>
      <c r="AE6" s="20" t="s">
        <v>80</v>
      </c>
      <c r="AF6" s="20" t="s">
        <v>80</v>
      </c>
      <c r="AG6" s="20" t="s">
        <v>80</v>
      </c>
      <c r="AH6" s="20" t="s">
        <v>80</v>
      </c>
      <c r="AI6" s="15">
        <v>8.9285714285714306</v>
      </c>
      <c r="AJ6" s="32">
        <v>4.0694983466628196</v>
      </c>
      <c r="AK6" s="15">
        <v>2.9585798816567999</v>
      </c>
      <c r="AL6" s="15">
        <v>4.5751633986928102</v>
      </c>
      <c r="AM6" s="15">
        <v>4.5454545454545503</v>
      </c>
      <c r="AN6" s="15">
        <v>5.10948905109489</v>
      </c>
      <c r="AO6" s="15">
        <v>5.0898203592814397</v>
      </c>
      <c r="AP6" s="15">
        <v>3.62473347547974</v>
      </c>
      <c r="AQ6" s="20" t="s">
        <v>80</v>
      </c>
      <c r="AR6" s="24">
        <v>6.9696969696969697</v>
      </c>
      <c r="AS6" s="38"/>
    </row>
    <row r="7" spans="1:45">
      <c r="A7" s="9" t="s">
        <v>165</v>
      </c>
      <c r="B7" s="36">
        <v>2.2232601326097501</v>
      </c>
      <c r="C7" s="32">
        <v>2.0591160249773601</v>
      </c>
      <c r="D7" s="32">
        <v>2.0026707986246901</v>
      </c>
      <c r="E7" s="32">
        <v>3.14126022297329</v>
      </c>
      <c r="F7" s="20" t="s">
        <v>80</v>
      </c>
      <c r="G7" s="20" t="s">
        <v>80</v>
      </c>
      <c r="H7" s="15">
        <v>3.3519553072625698</v>
      </c>
      <c r="I7" s="20" t="s">
        <v>80</v>
      </c>
      <c r="J7" s="20" t="s">
        <v>80</v>
      </c>
      <c r="K7" s="20" t="s">
        <v>80</v>
      </c>
      <c r="L7" s="20" t="s">
        <v>80</v>
      </c>
      <c r="M7" s="20" t="s">
        <v>80</v>
      </c>
      <c r="N7" s="15">
        <v>4.8611111111111098</v>
      </c>
      <c r="O7" s="20" t="s">
        <v>80</v>
      </c>
      <c r="P7" s="20" t="s">
        <v>80</v>
      </c>
      <c r="Q7" s="20" t="s">
        <v>80</v>
      </c>
      <c r="R7" s="20" t="s">
        <v>80</v>
      </c>
      <c r="S7" s="20" t="s">
        <v>80</v>
      </c>
      <c r="T7" s="20" t="s">
        <v>80</v>
      </c>
      <c r="U7" s="20" t="s">
        <v>80</v>
      </c>
      <c r="V7" s="20" t="s">
        <v>80</v>
      </c>
      <c r="W7" s="20" t="s">
        <v>80</v>
      </c>
      <c r="X7" s="15">
        <v>8.1081081081081106</v>
      </c>
      <c r="Y7" s="20" t="s">
        <v>80</v>
      </c>
      <c r="Z7" s="20" t="s">
        <v>80</v>
      </c>
      <c r="AA7" s="20" t="s">
        <v>80</v>
      </c>
      <c r="AB7" s="20" t="s">
        <v>80</v>
      </c>
      <c r="AC7" s="20" t="s">
        <v>80</v>
      </c>
      <c r="AD7" s="20" t="s">
        <v>80</v>
      </c>
      <c r="AE7" s="20" t="s">
        <v>80</v>
      </c>
      <c r="AF7" s="20" t="s">
        <v>80</v>
      </c>
      <c r="AG7" s="20" t="s">
        <v>80</v>
      </c>
      <c r="AH7" s="20" t="s">
        <v>80</v>
      </c>
      <c r="AI7" s="20" t="s">
        <v>80</v>
      </c>
      <c r="AJ7" s="32">
        <v>1.0065682408121099</v>
      </c>
      <c r="AK7" s="15">
        <v>0.73964497041420096</v>
      </c>
      <c r="AL7" s="15">
        <v>1.9607843137254899</v>
      </c>
      <c r="AM7" s="20" t="s">
        <v>80</v>
      </c>
      <c r="AN7" s="15">
        <v>3.6496350364963499</v>
      </c>
      <c r="AO7" s="20" t="s">
        <v>80</v>
      </c>
      <c r="AP7" s="20" t="s">
        <v>80</v>
      </c>
      <c r="AQ7" s="20" t="s">
        <v>80</v>
      </c>
      <c r="AR7" s="26" t="s">
        <v>80</v>
      </c>
      <c r="AS7" s="38"/>
    </row>
    <row r="8" spans="1:45">
      <c r="A8" s="9" t="s">
        <v>166</v>
      </c>
      <c r="B8" s="36">
        <v>0.28190070093734898</v>
      </c>
      <c r="C8" s="32">
        <v>0.28733195551896001</v>
      </c>
      <c r="D8" s="34" t="s">
        <v>80</v>
      </c>
      <c r="E8" s="34" t="s">
        <v>80</v>
      </c>
      <c r="F8" s="20" t="s">
        <v>80</v>
      </c>
      <c r="G8" s="20" t="s">
        <v>80</v>
      </c>
      <c r="H8" s="20" t="s">
        <v>80</v>
      </c>
      <c r="I8" s="20" t="s">
        <v>80</v>
      </c>
      <c r="J8" s="20" t="s">
        <v>80</v>
      </c>
      <c r="K8" s="20" t="s">
        <v>80</v>
      </c>
      <c r="L8" s="20" t="s">
        <v>80</v>
      </c>
      <c r="M8" s="20" t="s">
        <v>80</v>
      </c>
      <c r="N8" s="20" t="s">
        <v>80</v>
      </c>
      <c r="O8" s="20" t="s">
        <v>80</v>
      </c>
      <c r="P8" s="20" t="s">
        <v>80</v>
      </c>
      <c r="Q8" s="20" t="s">
        <v>80</v>
      </c>
      <c r="R8" s="20" t="s">
        <v>80</v>
      </c>
      <c r="S8" s="20" t="s">
        <v>80</v>
      </c>
      <c r="T8" s="20" t="s">
        <v>80</v>
      </c>
      <c r="U8" s="20" t="s">
        <v>80</v>
      </c>
      <c r="V8" s="20" t="s">
        <v>80</v>
      </c>
      <c r="W8" s="20" t="s">
        <v>80</v>
      </c>
      <c r="X8" s="20" t="s">
        <v>80</v>
      </c>
      <c r="Y8" s="20" t="s">
        <v>80</v>
      </c>
      <c r="Z8" s="20" t="s">
        <v>80</v>
      </c>
      <c r="AA8" s="20" t="s">
        <v>80</v>
      </c>
      <c r="AB8" s="20" t="s">
        <v>80</v>
      </c>
      <c r="AC8" s="20" t="s">
        <v>80</v>
      </c>
      <c r="AD8" s="20" t="s">
        <v>80</v>
      </c>
      <c r="AE8" s="20" t="s">
        <v>80</v>
      </c>
      <c r="AF8" s="20" t="s">
        <v>80</v>
      </c>
      <c r="AG8" s="20" t="s">
        <v>80</v>
      </c>
      <c r="AH8" s="20" t="s">
        <v>80</v>
      </c>
      <c r="AI8" s="20" t="s">
        <v>80</v>
      </c>
      <c r="AJ8" s="34" t="s">
        <v>80</v>
      </c>
      <c r="AK8" s="20" t="s">
        <v>80</v>
      </c>
      <c r="AL8" s="20" t="s">
        <v>80</v>
      </c>
      <c r="AM8" s="20" t="s">
        <v>80</v>
      </c>
      <c r="AN8" s="20" t="s">
        <v>80</v>
      </c>
      <c r="AO8" s="20" t="s">
        <v>80</v>
      </c>
      <c r="AP8" s="20" t="s">
        <v>80</v>
      </c>
      <c r="AQ8" s="20" t="s">
        <v>80</v>
      </c>
      <c r="AR8" s="26" t="s">
        <v>80</v>
      </c>
      <c r="AS8" s="38"/>
    </row>
    <row r="9" spans="1:45">
      <c r="A9" s="9" t="s">
        <v>167</v>
      </c>
      <c r="B9" s="36">
        <v>1.4944667296380301</v>
      </c>
      <c r="C9" s="32">
        <v>1.4404051904155299</v>
      </c>
      <c r="D9" s="32">
        <v>1.7716802459482399</v>
      </c>
      <c r="E9" s="32">
        <v>1.89050702057265</v>
      </c>
      <c r="F9" s="20" t="s">
        <v>80</v>
      </c>
      <c r="G9" s="20" t="s">
        <v>80</v>
      </c>
      <c r="H9" s="20" t="s">
        <v>80</v>
      </c>
      <c r="I9" s="20" t="s">
        <v>80</v>
      </c>
      <c r="J9" s="20" t="s">
        <v>80</v>
      </c>
      <c r="K9" s="15">
        <v>16.2162162162162</v>
      </c>
      <c r="L9" s="20" t="s">
        <v>80</v>
      </c>
      <c r="M9" s="20" t="s">
        <v>80</v>
      </c>
      <c r="N9" s="20" t="s">
        <v>80</v>
      </c>
      <c r="O9" s="20" t="s">
        <v>80</v>
      </c>
      <c r="P9" s="20" t="s">
        <v>80</v>
      </c>
      <c r="Q9" s="20" t="s">
        <v>80</v>
      </c>
      <c r="R9" s="20" t="s">
        <v>80</v>
      </c>
      <c r="S9" s="20" t="s">
        <v>80</v>
      </c>
      <c r="T9" s="20" t="s">
        <v>80</v>
      </c>
      <c r="U9" s="20" t="s">
        <v>80</v>
      </c>
      <c r="V9" s="20" t="s">
        <v>80</v>
      </c>
      <c r="W9" s="20" t="s">
        <v>80</v>
      </c>
      <c r="X9" s="20" t="s">
        <v>80</v>
      </c>
      <c r="Y9" s="15">
        <v>4.5454545454545396</v>
      </c>
      <c r="Z9" s="20" t="s">
        <v>80</v>
      </c>
      <c r="AA9" s="20" t="s">
        <v>80</v>
      </c>
      <c r="AB9" s="20" t="s">
        <v>80</v>
      </c>
      <c r="AC9" s="20" t="s">
        <v>80</v>
      </c>
      <c r="AD9" s="20" t="s">
        <v>80</v>
      </c>
      <c r="AE9" s="20" t="s">
        <v>80</v>
      </c>
      <c r="AF9" s="20" t="s">
        <v>80</v>
      </c>
      <c r="AG9" s="20" t="s">
        <v>80</v>
      </c>
      <c r="AH9" s="20" t="s">
        <v>80</v>
      </c>
      <c r="AI9" s="20" t="s">
        <v>80</v>
      </c>
      <c r="AJ9" s="32">
        <v>1.6677238490163799</v>
      </c>
      <c r="AK9" s="15">
        <v>1.1834319526627199</v>
      </c>
      <c r="AL9" s="15">
        <v>2.6143790849673199</v>
      </c>
      <c r="AM9" s="15">
        <v>2.52525252525253</v>
      </c>
      <c r="AN9" s="20" t="s">
        <v>80</v>
      </c>
      <c r="AO9" s="15">
        <v>1.79640718562874</v>
      </c>
      <c r="AP9" s="15">
        <v>1.2793176972281399</v>
      </c>
      <c r="AQ9" s="20" t="s">
        <v>80</v>
      </c>
      <c r="AR9" s="26" t="s">
        <v>80</v>
      </c>
      <c r="AS9" s="38"/>
    </row>
    <row r="10" spans="1:45">
      <c r="A10" s="9" t="s">
        <v>168</v>
      </c>
      <c r="B10" s="36">
        <v>7.50207043428553</v>
      </c>
      <c r="C10" s="32">
        <v>8.0894842376893408</v>
      </c>
      <c r="D10" s="32">
        <v>7.4713952725386799</v>
      </c>
      <c r="E10" s="32">
        <v>6.05832241328421</v>
      </c>
      <c r="F10" s="20" t="s">
        <v>80</v>
      </c>
      <c r="G10" s="20" t="s">
        <v>80</v>
      </c>
      <c r="H10" s="15">
        <v>4.4692737430167604</v>
      </c>
      <c r="I10" s="15">
        <v>10.891089108910901</v>
      </c>
      <c r="J10" s="15">
        <v>10</v>
      </c>
      <c r="K10" s="20" t="s">
        <v>80</v>
      </c>
      <c r="L10" s="20" t="s">
        <v>80</v>
      </c>
      <c r="M10" s="15">
        <v>7.1428571428571397</v>
      </c>
      <c r="N10" s="15">
        <v>6.25</v>
      </c>
      <c r="O10" s="15">
        <v>4.0322580645161299</v>
      </c>
      <c r="P10" s="15">
        <v>6.61157024793388</v>
      </c>
      <c r="Q10" s="20" t="s">
        <v>80</v>
      </c>
      <c r="R10" s="20" t="s">
        <v>80</v>
      </c>
      <c r="S10" s="20" t="s">
        <v>80</v>
      </c>
      <c r="T10" s="20" t="s">
        <v>80</v>
      </c>
      <c r="U10" s="15">
        <v>12.5</v>
      </c>
      <c r="V10" s="20" t="s">
        <v>80</v>
      </c>
      <c r="W10" s="15">
        <v>10.869565217391299</v>
      </c>
      <c r="X10" s="15">
        <v>8.1081081081081106</v>
      </c>
      <c r="Y10" s="15">
        <v>6.8181818181818201</v>
      </c>
      <c r="Z10" s="20" t="s">
        <v>80</v>
      </c>
      <c r="AA10" s="20" t="s">
        <v>80</v>
      </c>
      <c r="AB10" s="20" t="s">
        <v>80</v>
      </c>
      <c r="AC10" s="20" t="s">
        <v>80</v>
      </c>
      <c r="AD10" s="20" t="s">
        <v>80</v>
      </c>
      <c r="AE10" s="20" t="s">
        <v>80</v>
      </c>
      <c r="AF10" s="20" t="s">
        <v>80</v>
      </c>
      <c r="AG10" s="20" t="s">
        <v>80</v>
      </c>
      <c r="AH10" s="20" t="s">
        <v>80</v>
      </c>
      <c r="AI10" s="15">
        <v>14.285714285714301</v>
      </c>
      <c r="AJ10" s="32">
        <v>8.7076314955162495</v>
      </c>
      <c r="AK10" s="15">
        <v>8.1360946745562099</v>
      </c>
      <c r="AL10" s="15">
        <v>8.7145969498910691</v>
      </c>
      <c r="AM10" s="15">
        <v>7.5757575757575797</v>
      </c>
      <c r="AN10" s="15">
        <v>9.4890510948905096</v>
      </c>
      <c r="AO10" s="15">
        <v>10.7784431137725</v>
      </c>
      <c r="AP10" s="15">
        <v>14.498933901918999</v>
      </c>
      <c r="AQ10" s="15">
        <v>9.5588235294117592</v>
      </c>
      <c r="AR10" s="24">
        <v>3.3333333333333299</v>
      </c>
      <c r="AS10" s="38"/>
    </row>
    <row r="11" spans="1:45">
      <c r="A11" s="9" t="s">
        <v>169</v>
      </c>
      <c r="B11" s="36">
        <v>2.9373691278334202</v>
      </c>
      <c r="C11" s="32">
        <v>2.8320650708589201</v>
      </c>
      <c r="D11" s="32">
        <v>4.4391923412113101</v>
      </c>
      <c r="E11" s="32">
        <v>4.9638271656760597</v>
      </c>
      <c r="F11" s="20" t="s">
        <v>80</v>
      </c>
      <c r="G11" s="20" t="s">
        <v>80</v>
      </c>
      <c r="H11" s="15">
        <v>3.91061452513966</v>
      </c>
      <c r="I11" s="15">
        <v>8.9108910891089099</v>
      </c>
      <c r="J11" s="20" t="s">
        <v>80</v>
      </c>
      <c r="K11" s="20" t="s">
        <v>80</v>
      </c>
      <c r="L11" s="15">
        <v>4.6728971962616797</v>
      </c>
      <c r="M11" s="20" t="s">
        <v>80</v>
      </c>
      <c r="N11" s="15">
        <v>6.25</v>
      </c>
      <c r="O11" s="15">
        <v>4.0322580645161299</v>
      </c>
      <c r="P11" s="15">
        <v>4.1322314049586799</v>
      </c>
      <c r="Q11" s="20" t="s">
        <v>80</v>
      </c>
      <c r="R11" s="20" t="s">
        <v>80</v>
      </c>
      <c r="S11" s="15">
        <v>10.869565217391299</v>
      </c>
      <c r="T11" s="20" t="s">
        <v>80</v>
      </c>
      <c r="U11" s="15">
        <v>14.285714285714301</v>
      </c>
      <c r="V11" s="15">
        <v>13.157894736842101</v>
      </c>
      <c r="W11" s="20" t="s">
        <v>80</v>
      </c>
      <c r="X11" s="15">
        <v>6.3063063063063103</v>
      </c>
      <c r="Y11" s="20" t="s">
        <v>80</v>
      </c>
      <c r="Z11" s="20" t="s">
        <v>80</v>
      </c>
      <c r="AA11" s="20" t="s">
        <v>80</v>
      </c>
      <c r="AB11" s="20" t="s">
        <v>80</v>
      </c>
      <c r="AC11" s="20" t="s">
        <v>80</v>
      </c>
      <c r="AD11" s="20" t="s">
        <v>80</v>
      </c>
      <c r="AE11" s="20" t="s">
        <v>80</v>
      </c>
      <c r="AF11" s="20" t="s">
        <v>80</v>
      </c>
      <c r="AG11" s="20" t="s">
        <v>80</v>
      </c>
      <c r="AH11" s="15">
        <v>8.6021505376344098</v>
      </c>
      <c r="AI11" s="20" t="s">
        <v>80</v>
      </c>
      <c r="AJ11" s="32">
        <v>3.9802120631660598</v>
      </c>
      <c r="AK11" s="15">
        <v>2.6627218934911201</v>
      </c>
      <c r="AL11" s="15">
        <v>3.9215686274509798</v>
      </c>
      <c r="AM11" s="15">
        <v>5.0505050505050502</v>
      </c>
      <c r="AN11" s="15">
        <v>9.4890510948905096</v>
      </c>
      <c r="AO11" s="15">
        <v>5.0898203592814397</v>
      </c>
      <c r="AP11" s="15">
        <v>4.6908315565032002</v>
      </c>
      <c r="AQ11" s="20" t="s">
        <v>80</v>
      </c>
      <c r="AR11" s="24">
        <v>2.4242424242424199</v>
      </c>
      <c r="AS11" s="38"/>
    </row>
    <row r="12" spans="1:45">
      <c r="A12" s="9" t="s">
        <v>170</v>
      </c>
      <c r="B12" s="36">
        <v>1.08491258147811</v>
      </c>
      <c r="C12" s="32">
        <v>0.82726310238612799</v>
      </c>
      <c r="D12" s="32">
        <v>0.77232941213390305</v>
      </c>
      <c r="E12" s="32">
        <v>1.1152691824985901</v>
      </c>
      <c r="F12" s="20" t="s">
        <v>80</v>
      </c>
      <c r="G12" s="20" t="s">
        <v>80</v>
      </c>
      <c r="H12" s="20" t="s">
        <v>80</v>
      </c>
      <c r="I12" s="20" t="s">
        <v>80</v>
      </c>
      <c r="J12" s="20" t="s">
        <v>80</v>
      </c>
      <c r="K12" s="20" t="s">
        <v>80</v>
      </c>
      <c r="L12" s="20" t="s">
        <v>80</v>
      </c>
      <c r="M12" s="20" t="s">
        <v>80</v>
      </c>
      <c r="N12" s="20" t="s">
        <v>80</v>
      </c>
      <c r="O12" s="20" t="s">
        <v>80</v>
      </c>
      <c r="P12" s="15">
        <v>5.7851239669421499</v>
      </c>
      <c r="Q12" s="20" t="s">
        <v>80</v>
      </c>
      <c r="R12" s="20" t="s">
        <v>80</v>
      </c>
      <c r="S12" s="20" t="s">
        <v>80</v>
      </c>
      <c r="T12" s="20" t="s">
        <v>80</v>
      </c>
      <c r="U12" s="20" t="s">
        <v>80</v>
      </c>
      <c r="V12" s="20" t="s">
        <v>80</v>
      </c>
      <c r="W12" s="20" t="s">
        <v>80</v>
      </c>
      <c r="X12" s="20" t="s">
        <v>80</v>
      </c>
      <c r="Y12" s="20" t="s">
        <v>80</v>
      </c>
      <c r="Z12" s="20" t="s">
        <v>80</v>
      </c>
      <c r="AA12" s="20" t="s">
        <v>80</v>
      </c>
      <c r="AB12" s="20" t="s">
        <v>80</v>
      </c>
      <c r="AC12" s="20" t="s">
        <v>80</v>
      </c>
      <c r="AD12" s="20" t="s">
        <v>80</v>
      </c>
      <c r="AE12" s="20" t="s">
        <v>80</v>
      </c>
      <c r="AF12" s="20" t="s">
        <v>80</v>
      </c>
      <c r="AG12" s="20" t="s">
        <v>80</v>
      </c>
      <c r="AH12" s="20" t="s">
        <v>80</v>
      </c>
      <c r="AI12" s="20" t="s">
        <v>80</v>
      </c>
      <c r="AJ12" s="34" t="s">
        <v>80</v>
      </c>
      <c r="AK12" s="20" t="s">
        <v>80</v>
      </c>
      <c r="AL12" s="20" t="s">
        <v>80</v>
      </c>
      <c r="AM12" s="20" t="s">
        <v>80</v>
      </c>
      <c r="AN12" s="20" t="s">
        <v>80</v>
      </c>
      <c r="AO12" s="20" t="s">
        <v>80</v>
      </c>
      <c r="AP12" s="20" t="s">
        <v>80</v>
      </c>
      <c r="AQ12" s="20" t="s">
        <v>80</v>
      </c>
      <c r="AR12" s="26" t="s">
        <v>80</v>
      </c>
      <c r="AS12" s="38"/>
    </row>
    <row r="13" spans="1:45">
      <c r="A13" s="9" t="s">
        <v>171</v>
      </c>
      <c r="B13" s="36">
        <v>2.0714048944577201</v>
      </c>
      <c r="C13" s="32">
        <v>1.7191208420978801</v>
      </c>
      <c r="D13" s="32">
        <v>1.8697464532212</v>
      </c>
      <c r="E13" s="32">
        <v>1.95711239398986</v>
      </c>
      <c r="F13" s="20" t="s">
        <v>80</v>
      </c>
      <c r="G13" s="20" t="s">
        <v>80</v>
      </c>
      <c r="H13" s="20" t="s">
        <v>80</v>
      </c>
      <c r="I13" s="20" t="s">
        <v>80</v>
      </c>
      <c r="J13" s="20" t="s">
        <v>80</v>
      </c>
      <c r="K13" s="20" t="s">
        <v>80</v>
      </c>
      <c r="L13" s="20" t="s">
        <v>80</v>
      </c>
      <c r="M13" s="20" t="s">
        <v>80</v>
      </c>
      <c r="N13" s="20" t="s">
        <v>80</v>
      </c>
      <c r="O13" s="15">
        <v>4.8387096774193497</v>
      </c>
      <c r="P13" s="20" t="s">
        <v>80</v>
      </c>
      <c r="Q13" s="20" t="s">
        <v>80</v>
      </c>
      <c r="R13" s="20" t="s">
        <v>80</v>
      </c>
      <c r="S13" s="20" t="s">
        <v>80</v>
      </c>
      <c r="T13" s="20" t="s">
        <v>80</v>
      </c>
      <c r="U13" s="20" t="s">
        <v>80</v>
      </c>
      <c r="V13" s="20" t="s">
        <v>80</v>
      </c>
      <c r="W13" s="20" t="s">
        <v>80</v>
      </c>
      <c r="X13" s="20" t="s">
        <v>80</v>
      </c>
      <c r="Y13" s="20" t="s">
        <v>80</v>
      </c>
      <c r="Z13" s="20" t="s">
        <v>80</v>
      </c>
      <c r="AA13" s="20" t="s">
        <v>80</v>
      </c>
      <c r="AB13" s="20" t="s">
        <v>80</v>
      </c>
      <c r="AC13" s="20" t="s">
        <v>80</v>
      </c>
      <c r="AD13" s="20" t="s">
        <v>80</v>
      </c>
      <c r="AE13" s="20" t="s">
        <v>80</v>
      </c>
      <c r="AF13" s="20" t="s">
        <v>80</v>
      </c>
      <c r="AG13" s="20" t="s">
        <v>80</v>
      </c>
      <c r="AH13" s="20" t="s">
        <v>80</v>
      </c>
      <c r="AI13" s="20" t="s">
        <v>80</v>
      </c>
      <c r="AJ13" s="32">
        <v>1.7933137767845899</v>
      </c>
      <c r="AK13" s="15">
        <v>1.4792899408283999</v>
      </c>
      <c r="AL13" s="15">
        <v>1.52505446623094</v>
      </c>
      <c r="AM13" s="15">
        <v>2.52525252525253</v>
      </c>
      <c r="AN13" s="20" t="s">
        <v>80</v>
      </c>
      <c r="AO13" s="15">
        <v>2.0958083832335301</v>
      </c>
      <c r="AP13" s="15">
        <v>1.2793176972281399</v>
      </c>
      <c r="AQ13" s="20" t="s">
        <v>80</v>
      </c>
      <c r="AR13" s="24">
        <v>1.8181818181818199</v>
      </c>
      <c r="AS13" s="38"/>
    </row>
    <row r="14" spans="1:45">
      <c r="A14" s="9" t="s">
        <v>172</v>
      </c>
      <c r="B14" s="36">
        <v>4.3841922039719003</v>
      </c>
      <c r="C14" s="32">
        <v>4.5386710990181802</v>
      </c>
      <c r="D14" s="32">
        <v>5.6494641638957503</v>
      </c>
      <c r="E14" s="32">
        <v>7.3958966568687901</v>
      </c>
      <c r="F14" s="15">
        <v>15.6862745098039</v>
      </c>
      <c r="G14" s="20" t="s">
        <v>80</v>
      </c>
      <c r="H14" s="15">
        <v>6.7039106145251397</v>
      </c>
      <c r="I14" s="15">
        <v>9.9009900990098991</v>
      </c>
      <c r="J14" s="20" t="s">
        <v>80</v>
      </c>
      <c r="K14" s="20" t="s">
        <v>80</v>
      </c>
      <c r="L14" s="15">
        <v>5.6074766355140202</v>
      </c>
      <c r="M14" s="15">
        <v>10.714285714285699</v>
      </c>
      <c r="N14" s="15">
        <v>5.5555555555555598</v>
      </c>
      <c r="O14" s="15">
        <v>4.8387096774193497</v>
      </c>
      <c r="P14" s="15">
        <v>11.5702479338843</v>
      </c>
      <c r="Q14" s="20" t="s">
        <v>80</v>
      </c>
      <c r="R14" s="15">
        <v>12.7659574468085</v>
      </c>
      <c r="S14" s="20" t="s">
        <v>80</v>
      </c>
      <c r="T14" s="20" t="s">
        <v>80</v>
      </c>
      <c r="U14" s="20" t="s">
        <v>80</v>
      </c>
      <c r="V14" s="20" t="s">
        <v>80</v>
      </c>
      <c r="W14" s="15">
        <v>13.0434782608696</v>
      </c>
      <c r="X14" s="15">
        <v>8.1081081081081106</v>
      </c>
      <c r="Y14" s="15">
        <v>6.8181818181818201</v>
      </c>
      <c r="Z14" s="20" t="s">
        <v>80</v>
      </c>
      <c r="AA14" s="20" t="s">
        <v>80</v>
      </c>
      <c r="AB14" s="20" t="s">
        <v>80</v>
      </c>
      <c r="AC14" s="20" t="s">
        <v>80</v>
      </c>
      <c r="AD14" s="20" t="s">
        <v>80</v>
      </c>
      <c r="AE14" s="20" t="s">
        <v>80</v>
      </c>
      <c r="AF14" s="15">
        <v>27.272727272727298</v>
      </c>
      <c r="AG14" s="20" t="s">
        <v>80</v>
      </c>
      <c r="AH14" s="15">
        <v>10.752688172042999</v>
      </c>
      <c r="AI14" s="20" t="s">
        <v>80</v>
      </c>
      <c r="AJ14" s="32">
        <v>4.1215860402317102</v>
      </c>
      <c r="AK14" s="15">
        <v>5.32544378698225</v>
      </c>
      <c r="AL14" s="15">
        <v>2.8322440087145999</v>
      </c>
      <c r="AM14" s="15">
        <v>2.52525252525253</v>
      </c>
      <c r="AN14" s="15">
        <v>8.0291970802919703</v>
      </c>
      <c r="AO14" s="15">
        <v>5.6886227544910204</v>
      </c>
      <c r="AP14" s="15">
        <v>2.98507462686567</v>
      </c>
      <c r="AQ14" s="15">
        <v>10.294117647058799</v>
      </c>
      <c r="AR14" s="24">
        <v>3.6363636363636398</v>
      </c>
      <c r="AS14" s="38"/>
    </row>
    <row r="15" spans="1:45">
      <c r="A15" s="9" t="s">
        <v>173</v>
      </c>
      <c r="B15" s="36">
        <v>6.1267677042598097</v>
      </c>
      <c r="C15" s="32">
        <v>8.2963470880712897</v>
      </c>
      <c r="D15" s="32">
        <v>11.1717625440553</v>
      </c>
      <c r="E15" s="32">
        <v>12.3749968294483</v>
      </c>
      <c r="F15" s="15">
        <v>27.4509803921569</v>
      </c>
      <c r="G15" s="20" t="s">
        <v>80</v>
      </c>
      <c r="H15" s="15">
        <v>11.173184357541899</v>
      </c>
      <c r="I15" s="15">
        <v>16.8316831683168</v>
      </c>
      <c r="J15" s="15">
        <v>7.1428571428571397</v>
      </c>
      <c r="K15" s="15">
        <v>45.945945945945901</v>
      </c>
      <c r="L15" s="15">
        <v>5.6074766355140202</v>
      </c>
      <c r="M15" s="15">
        <v>8.3333333333333304</v>
      </c>
      <c r="N15" s="15">
        <v>12.5</v>
      </c>
      <c r="O15" s="15">
        <v>12.0967741935484</v>
      </c>
      <c r="P15" s="15">
        <v>6.61157024793388</v>
      </c>
      <c r="Q15" s="15">
        <v>17.647058823529399</v>
      </c>
      <c r="R15" s="20" t="s">
        <v>80</v>
      </c>
      <c r="S15" s="15">
        <v>39.130434782608702</v>
      </c>
      <c r="T15" s="20" t="s">
        <v>80</v>
      </c>
      <c r="U15" s="15">
        <v>17.8571428571429</v>
      </c>
      <c r="V15" s="15">
        <v>15.789473684210501</v>
      </c>
      <c r="W15" s="20" t="s">
        <v>80</v>
      </c>
      <c r="X15" s="15">
        <v>18.018018018018001</v>
      </c>
      <c r="Y15" s="15">
        <v>3.7878787878787898</v>
      </c>
      <c r="Z15" s="20" t="s">
        <v>80</v>
      </c>
      <c r="AA15" s="20" t="s">
        <v>80</v>
      </c>
      <c r="AB15" s="20" t="s">
        <v>80</v>
      </c>
      <c r="AC15" s="15">
        <v>23.8095238095238</v>
      </c>
      <c r="AD15" s="20" t="s">
        <v>80</v>
      </c>
      <c r="AE15" s="20" t="s">
        <v>80</v>
      </c>
      <c r="AF15" s="15">
        <v>13.636363636363599</v>
      </c>
      <c r="AG15" s="20" t="s">
        <v>80</v>
      </c>
      <c r="AH15" s="15">
        <v>17.204301075268798</v>
      </c>
      <c r="AI15" s="20" t="s">
        <v>80</v>
      </c>
      <c r="AJ15" s="32">
        <v>10.119104998062801</v>
      </c>
      <c r="AK15" s="15">
        <v>6.3609467455621296</v>
      </c>
      <c r="AL15" s="15">
        <v>8.4967320261437909</v>
      </c>
      <c r="AM15" s="15">
        <v>2.52525252525253</v>
      </c>
      <c r="AN15" s="15">
        <v>16.788321167883201</v>
      </c>
      <c r="AO15" s="15">
        <v>16.766467065868301</v>
      </c>
      <c r="AP15" s="15">
        <v>14.498933901918999</v>
      </c>
      <c r="AQ15" s="15">
        <v>5.1470588235294104</v>
      </c>
      <c r="AR15" s="24">
        <v>15.1515151515152</v>
      </c>
      <c r="AS15" s="38"/>
    </row>
    <row r="16" spans="1:45">
      <c r="A16" s="9" t="s">
        <v>174</v>
      </c>
      <c r="B16" s="36">
        <v>0.40361937654808799</v>
      </c>
      <c r="C16" s="32">
        <v>0.39201245976104199</v>
      </c>
      <c r="D16" s="34" t="s">
        <v>80</v>
      </c>
      <c r="E16" s="34" t="s">
        <v>80</v>
      </c>
      <c r="F16" s="20" t="s">
        <v>80</v>
      </c>
      <c r="G16" s="20" t="s">
        <v>80</v>
      </c>
      <c r="H16" s="20" t="s">
        <v>80</v>
      </c>
      <c r="I16" s="20" t="s">
        <v>80</v>
      </c>
      <c r="J16" s="20" t="s">
        <v>80</v>
      </c>
      <c r="K16" s="20" t="s">
        <v>80</v>
      </c>
      <c r="L16" s="20" t="s">
        <v>80</v>
      </c>
      <c r="M16" s="20" t="s">
        <v>80</v>
      </c>
      <c r="N16" s="20" t="s">
        <v>80</v>
      </c>
      <c r="O16" s="20" t="s">
        <v>80</v>
      </c>
      <c r="P16" s="20" t="s">
        <v>80</v>
      </c>
      <c r="Q16" s="20" t="s">
        <v>80</v>
      </c>
      <c r="R16" s="20" t="s">
        <v>80</v>
      </c>
      <c r="S16" s="20" t="s">
        <v>80</v>
      </c>
      <c r="T16" s="20" t="s">
        <v>80</v>
      </c>
      <c r="U16" s="20" t="s">
        <v>80</v>
      </c>
      <c r="V16" s="20" t="s">
        <v>80</v>
      </c>
      <c r="W16" s="20" t="s">
        <v>80</v>
      </c>
      <c r="X16" s="20" t="s">
        <v>80</v>
      </c>
      <c r="Y16" s="20" t="s">
        <v>80</v>
      </c>
      <c r="Z16" s="20" t="s">
        <v>80</v>
      </c>
      <c r="AA16" s="20" t="s">
        <v>80</v>
      </c>
      <c r="AB16" s="20" t="s">
        <v>80</v>
      </c>
      <c r="AC16" s="20" t="s">
        <v>80</v>
      </c>
      <c r="AD16" s="20" t="s">
        <v>80</v>
      </c>
      <c r="AE16" s="20" t="s">
        <v>80</v>
      </c>
      <c r="AF16" s="20" t="s">
        <v>80</v>
      </c>
      <c r="AG16" s="20" t="s">
        <v>80</v>
      </c>
      <c r="AH16" s="20" t="s">
        <v>80</v>
      </c>
      <c r="AI16" s="20" t="s">
        <v>80</v>
      </c>
      <c r="AJ16" s="34" t="s">
        <v>80</v>
      </c>
      <c r="AK16" s="20" t="s">
        <v>80</v>
      </c>
      <c r="AL16" s="20" t="s">
        <v>80</v>
      </c>
      <c r="AM16" s="20" t="s">
        <v>80</v>
      </c>
      <c r="AN16" s="20" t="s">
        <v>80</v>
      </c>
      <c r="AO16" s="20" t="s">
        <v>80</v>
      </c>
      <c r="AP16" s="20" t="s">
        <v>80</v>
      </c>
      <c r="AQ16" s="20" t="s">
        <v>80</v>
      </c>
      <c r="AR16" s="26" t="s">
        <v>80</v>
      </c>
      <c r="AS16" s="38"/>
    </row>
    <row r="17" spans="1:45">
      <c r="A17" s="9" t="s">
        <v>175</v>
      </c>
      <c r="B17" s="36">
        <v>3.8286353927064298</v>
      </c>
      <c r="C17" s="32">
        <v>4.0806950105366502</v>
      </c>
      <c r="D17" s="32">
        <v>4.0478681376302204</v>
      </c>
      <c r="E17" s="32">
        <v>5.5933782373618399</v>
      </c>
      <c r="F17" s="15">
        <v>9.8039215686274499</v>
      </c>
      <c r="G17" s="20" t="s">
        <v>80</v>
      </c>
      <c r="H17" s="20" t="s">
        <v>80</v>
      </c>
      <c r="I17" s="15">
        <v>8.9108910891089099</v>
      </c>
      <c r="J17" s="20" t="s">
        <v>80</v>
      </c>
      <c r="K17" s="20" t="s">
        <v>80</v>
      </c>
      <c r="L17" s="15">
        <v>5.6074766355140202</v>
      </c>
      <c r="M17" s="15">
        <v>8.3333333333333304</v>
      </c>
      <c r="N17" s="15">
        <v>4.1666666666666696</v>
      </c>
      <c r="O17" s="15">
        <v>6.4516129032258096</v>
      </c>
      <c r="P17" s="15">
        <v>4.95867768595041</v>
      </c>
      <c r="Q17" s="20" t="s">
        <v>80</v>
      </c>
      <c r="R17" s="20" t="s">
        <v>80</v>
      </c>
      <c r="S17" s="20" t="s">
        <v>80</v>
      </c>
      <c r="T17" s="15">
        <v>11.6279069767442</v>
      </c>
      <c r="U17" s="15">
        <v>8.9285714285714306</v>
      </c>
      <c r="V17" s="20" t="s">
        <v>80</v>
      </c>
      <c r="W17" s="20" t="s">
        <v>80</v>
      </c>
      <c r="X17" s="15">
        <v>12.612612612612599</v>
      </c>
      <c r="Y17" s="20" t="s">
        <v>80</v>
      </c>
      <c r="Z17" s="20" t="s">
        <v>80</v>
      </c>
      <c r="AA17" s="20" t="s">
        <v>80</v>
      </c>
      <c r="AB17" s="20" t="s">
        <v>80</v>
      </c>
      <c r="AC17" s="20" t="s">
        <v>80</v>
      </c>
      <c r="AD17" s="20" t="s">
        <v>80</v>
      </c>
      <c r="AE17" s="20" t="s">
        <v>80</v>
      </c>
      <c r="AF17" s="20" t="s">
        <v>80</v>
      </c>
      <c r="AG17" s="20" t="s">
        <v>80</v>
      </c>
      <c r="AH17" s="20" t="s">
        <v>80</v>
      </c>
      <c r="AI17" s="20" t="s">
        <v>80</v>
      </c>
      <c r="AJ17" s="32">
        <v>2.6957683108216002</v>
      </c>
      <c r="AK17" s="15">
        <v>2.6627218934911201</v>
      </c>
      <c r="AL17" s="15">
        <v>3.2679738562091498</v>
      </c>
      <c r="AM17" s="20" t="s">
        <v>80</v>
      </c>
      <c r="AN17" s="15">
        <v>4.3795620437956204</v>
      </c>
      <c r="AO17" s="15">
        <v>3.2934131736526902</v>
      </c>
      <c r="AP17" s="15">
        <v>1.2793176972281399</v>
      </c>
      <c r="AQ17" s="20" t="s">
        <v>80</v>
      </c>
      <c r="AR17" s="26" t="s">
        <v>80</v>
      </c>
      <c r="AS17" s="38"/>
    </row>
    <row r="18" spans="1:45">
      <c r="A18" s="9" t="s">
        <v>176</v>
      </c>
      <c r="B18" s="36">
        <v>10.915436754923</v>
      </c>
      <c r="C18" s="32">
        <v>10.9677886659719</v>
      </c>
      <c r="D18" s="32">
        <v>11.075245431955</v>
      </c>
      <c r="E18" s="32">
        <v>12.340882475150099</v>
      </c>
      <c r="F18" s="15">
        <v>13.7254901960784</v>
      </c>
      <c r="G18" s="20" t="s">
        <v>80</v>
      </c>
      <c r="H18" s="15">
        <v>8.9385474860335208</v>
      </c>
      <c r="I18" s="15">
        <v>9.9009900990098991</v>
      </c>
      <c r="J18" s="15">
        <v>18.571428571428601</v>
      </c>
      <c r="K18" s="20" t="s">
        <v>80</v>
      </c>
      <c r="L18" s="15">
        <v>9.3457943925233593</v>
      </c>
      <c r="M18" s="15">
        <v>14.285714285714301</v>
      </c>
      <c r="N18" s="15">
        <v>11.8055555555556</v>
      </c>
      <c r="O18" s="15">
        <v>11.290322580645199</v>
      </c>
      <c r="P18" s="15">
        <v>16.528925619834698</v>
      </c>
      <c r="Q18" s="15">
        <v>14.705882352941201</v>
      </c>
      <c r="R18" s="15">
        <v>14.893617021276601</v>
      </c>
      <c r="S18" s="20" t="s">
        <v>80</v>
      </c>
      <c r="T18" s="20" t="s">
        <v>80</v>
      </c>
      <c r="U18" s="15">
        <v>17.8571428571429</v>
      </c>
      <c r="V18" s="15">
        <v>21.052631578947398</v>
      </c>
      <c r="W18" s="15">
        <v>10.869565217391299</v>
      </c>
      <c r="X18" s="15">
        <v>15.315315315315299</v>
      </c>
      <c r="Y18" s="15">
        <v>6.0606060606060597</v>
      </c>
      <c r="Z18" s="20" t="s">
        <v>80</v>
      </c>
      <c r="AA18" s="20" t="s">
        <v>80</v>
      </c>
      <c r="AB18" s="15">
        <v>31.818181818181799</v>
      </c>
      <c r="AC18" s="15">
        <v>14.285714285714301</v>
      </c>
      <c r="AD18" s="20" t="s">
        <v>80</v>
      </c>
      <c r="AE18" s="20" t="s">
        <v>80</v>
      </c>
      <c r="AF18" s="15">
        <v>13.636363636363599</v>
      </c>
      <c r="AG18" s="20" t="s">
        <v>80</v>
      </c>
      <c r="AH18" s="15">
        <v>7.5268817204301097</v>
      </c>
      <c r="AI18" s="15">
        <v>12.5</v>
      </c>
      <c r="AJ18" s="32">
        <v>9.9679944167698302</v>
      </c>
      <c r="AK18" s="15">
        <v>7.9881656804733696</v>
      </c>
      <c r="AL18" s="15">
        <v>9.8039215686274499</v>
      </c>
      <c r="AM18" s="15">
        <v>12.1212121212121</v>
      </c>
      <c r="AN18" s="15">
        <v>13.868613138686101</v>
      </c>
      <c r="AO18" s="15">
        <v>7.4850299401197598</v>
      </c>
      <c r="AP18" s="15">
        <v>9.5948827292110899</v>
      </c>
      <c r="AQ18" s="15">
        <v>8.8235294117646994</v>
      </c>
      <c r="AR18" s="24">
        <v>13.3333333333333</v>
      </c>
      <c r="AS18" s="38"/>
    </row>
    <row r="19" spans="1:45">
      <c r="A19" s="9" t="s">
        <v>177</v>
      </c>
      <c r="B19" s="36">
        <v>4.9115167681525396</v>
      </c>
      <c r="C19" s="32">
        <v>4.8009034006615199</v>
      </c>
      <c r="D19" s="32">
        <v>4.3481480708508604</v>
      </c>
      <c r="E19" s="32">
        <v>6.0990389330764598</v>
      </c>
      <c r="F19" s="20" t="s">
        <v>80</v>
      </c>
      <c r="G19" s="20" t="s">
        <v>80</v>
      </c>
      <c r="H19" s="15">
        <v>2.7932960893854699</v>
      </c>
      <c r="I19" s="15">
        <v>8.9108910891089099</v>
      </c>
      <c r="J19" s="20" t="s">
        <v>80</v>
      </c>
      <c r="K19" s="20" t="s">
        <v>80</v>
      </c>
      <c r="L19" s="20" t="s">
        <v>80</v>
      </c>
      <c r="M19" s="15">
        <v>7.1428571428571397</v>
      </c>
      <c r="N19" s="15">
        <v>8.3333333333333304</v>
      </c>
      <c r="O19" s="15">
        <v>7.2580645161290303</v>
      </c>
      <c r="P19" s="20" t="s">
        <v>80</v>
      </c>
      <c r="Q19" s="20" t="s">
        <v>80</v>
      </c>
      <c r="R19" s="20" t="s">
        <v>80</v>
      </c>
      <c r="S19" s="20" t="s">
        <v>80</v>
      </c>
      <c r="T19" s="20" t="s">
        <v>80</v>
      </c>
      <c r="U19" s="20" t="s">
        <v>80</v>
      </c>
      <c r="V19" s="15">
        <v>13.157894736842101</v>
      </c>
      <c r="W19" s="20" t="s">
        <v>80</v>
      </c>
      <c r="X19" s="15">
        <v>14.4144144144144</v>
      </c>
      <c r="Y19" s="15">
        <v>5.3030303030303001</v>
      </c>
      <c r="Z19" s="20" t="s">
        <v>80</v>
      </c>
      <c r="AA19" s="20" t="s">
        <v>80</v>
      </c>
      <c r="AB19" s="20" t="s">
        <v>80</v>
      </c>
      <c r="AC19" s="20" t="s">
        <v>80</v>
      </c>
      <c r="AD19" s="20" t="s">
        <v>80</v>
      </c>
      <c r="AE19" s="15">
        <v>15.1515151515152</v>
      </c>
      <c r="AF19" s="20" t="s">
        <v>80</v>
      </c>
      <c r="AG19" s="20" t="s">
        <v>80</v>
      </c>
      <c r="AH19" s="15">
        <v>8.6021505376344098</v>
      </c>
      <c r="AI19" s="20" t="s">
        <v>80</v>
      </c>
      <c r="AJ19" s="32">
        <v>2.8163695130872499</v>
      </c>
      <c r="AK19" s="15">
        <v>2.9585798816567999</v>
      </c>
      <c r="AL19" s="15">
        <v>2.8322440087145999</v>
      </c>
      <c r="AM19" s="15">
        <v>3.5353535353535399</v>
      </c>
      <c r="AN19" s="20" t="s">
        <v>80</v>
      </c>
      <c r="AO19" s="15">
        <v>2.39520958083832</v>
      </c>
      <c r="AP19" s="15">
        <v>4.0511727078891298</v>
      </c>
      <c r="AQ19" s="15">
        <v>3.6764705882352899</v>
      </c>
      <c r="AR19" s="24">
        <v>4.5454545454545503</v>
      </c>
      <c r="AS19" s="38"/>
    </row>
    <row r="20" spans="1:45">
      <c r="A20" s="9" t="s">
        <v>178</v>
      </c>
      <c r="B20" s="36">
        <v>0.85494288457628098</v>
      </c>
      <c r="C20" s="32">
        <v>0.73649025128619705</v>
      </c>
      <c r="D20" s="32">
        <v>0.65151750815201803</v>
      </c>
      <c r="E20" s="34" t="s">
        <v>80</v>
      </c>
      <c r="F20" s="20" t="s">
        <v>80</v>
      </c>
      <c r="G20" s="20" t="s">
        <v>80</v>
      </c>
      <c r="H20" s="20" t="s">
        <v>80</v>
      </c>
      <c r="I20" s="20" t="s">
        <v>80</v>
      </c>
      <c r="J20" s="20" t="s">
        <v>80</v>
      </c>
      <c r="K20" s="20" t="s">
        <v>80</v>
      </c>
      <c r="L20" s="20" t="s">
        <v>80</v>
      </c>
      <c r="M20" s="20" t="s">
        <v>80</v>
      </c>
      <c r="N20" s="20" t="s">
        <v>80</v>
      </c>
      <c r="O20" s="20" t="s">
        <v>80</v>
      </c>
      <c r="P20" s="20" t="s">
        <v>80</v>
      </c>
      <c r="Q20" s="20" t="s">
        <v>80</v>
      </c>
      <c r="R20" s="20" t="s">
        <v>80</v>
      </c>
      <c r="S20" s="20" t="s">
        <v>80</v>
      </c>
      <c r="T20" s="20" t="s">
        <v>80</v>
      </c>
      <c r="U20" s="20" t="s">
        <v>80</v>
      </c>
      <c r="V20" s="20" t="s">
        <v>80</v>
      </c>
      <c r="W20" s="20" t="s">
        <v>80</v>
      </c>
      <c r="X20" s="20" t="s">
        <v>80</v>
      </c>
      <c r="Y20" s="20" t="s">
        <v>80</v>
      </c>
      <c r="Z20" s="20" t="s">
        <v>80</v>
      </c>
      <c r="AA20" s="20" t="s">
        <v>80</v>
      </c>
      <c r="AB20" s="20" t="s">
        <v>80</v>
      </c>
      <c r="AC20" s="20" t="s">
        <v>80</v>
      </c>
      <c r="AD20" s="20" t="s">
        <v>80</v>
      </c>
      <c r="AE20" s="20" t="s">
        <v>80</v>
      </c>
      <c r="AF20" s="20" t="s">
        <v>80</v>
      </c>
      <c r="AG20" s="20" t="s">
        <v>80</v>
      </c>
      <c r="AH20" s="20" t="s">
        <v>80</v>
      </c>
      <c r="AI20" s="20" t="s">
        <v>80</v>
      </c>
      <c r="AJ20" s="34" t="s">
        <v>80</v>
      </c>
      <c r="AK20" s="20" t="s">
        <v>80</v>
      </c>
      <c r="AL20" s="20" t="s">
        <v>80</v>
      </c>
      <c r="AM20" s="20" t="s">
        <v>80</v>
      </c>
      <c r="AN20" s="20" t="s">
        <v>80</v>
      </c>
      <c r="AO20" s="20" t="s">
        <v>80</v>
      </c>
      <c r="AP20" s="20" t="s">
        <v>80</v>
      </c>
      <c r="AQ20" s="20" t="s">
        <v>80</v>
      </c>
      <c r="AR20" s="26" t="s">
        <v>80</v>
      </c>
      <c r="AS20" s="38"/>
    </row>
    <row r="21" spans="1:45">
      <c r="A21" s="9" t="s">
        <v>179</v>
      </c>
      <c r="B21" s="36">
        <v>2.55943123551581</v>
      </c>
      <c r="C21" s="32">
        <v>2.5340038644260101</v>
      </c>
      <c r="D21" s="32">
        <v>4.1663101731395997</v>
      </c>
      <c r="E21" s="32">
        <v>3.2903585023737101</v>
      </c>
      <c r="F21" s="15">
        <v>9.8039215686274499</v>
      </c>
      <c r="G21" s="20" t="s">
        <v>80</v>
      </c>
      <c r="H21" s="20" t="s">
        <v>80</v>
      </c>
      <c r="I21" s="20" t="s">
        <v>80</v>
      </c>
      <c r="J21" s="20" t="s">
        <v>80</v>
      </c>
      <c r="K21" s="20" t="s">
        <v>80</v>
      </c>
      <c r="L21" s="20" t="s">
        <v>80</v>
      </c>
      <c r="M21" s="20" t="s">
        <v>80</v>
      </c>
      <c r="N21" s="15">
        <v>6.25</v>
      </c>
      <c r="O21" s="20" t="s">
        <v>80</v>
      </c>
      <c r="P21" s="15">
        <v>4.95867768595041</v>
      </c>
      <c r="Q21" s="20" t="s">
        <v>80</v>
      </c>
      <c r="R21" s="20" t="s">
        <v>80</v>
      </c>
      <c r="S21" s="20" t="s">
        <v>80</v>
      </c>
      <c r="T21" s="20" t="s">
        <v>80</v>
      </c>
      <c r="U21" s="20" t="s">
        <v>80</v>
      </c>
      <c r="V21" s="20" t="s">
        <v>80</v>
      </c>
      <c r="W21" s="20" t="s">
        <v>80</v>
      </c>
      <c r="X21" s="20" t="s">
        <v>80</v>
      </c>
      <c r="Y21" s="20" t="s">
        <v>80</v>
      </c>
      <c r="Z21" s="20" t="s">
        <v>80</v>
      </c>
      <c r="AA21" s="20" t="s">
        <v>80</v>
      </c>
      <c r="AB21" s="20" t="s">
        <v>80</v>
      </c>
      <c r="AC21" s="20" t="s">
        <v>80</v>
      </c>
      <c r="AD21" s="20" t="s">
        <v>80</v>
      </c>
      <c r="AE21" s="20" t="s">
        <v>80</v>
      </c>
      <c r="AF21" s="20" t="s">
        <v>80</v>
      </c>
      <c r="AG21" s="20" t="s">
        <v>80</v>
      </c>
      <c r="AH21" s="20" t="s">
        <v>80</v>
      </c>
      <c r="AI21" s="15">
        <v>16.071428571428601</v>
      </c>
      <c r="AJ21" s="32">
        <v>4.9326423391609904</v>
      </c>
      <c r="AK21" s="15">
        <v>4.5857988165680501</v>
      </c>
      <c r="AL21" s="15">
        <v>4.7930283224400902</v>
      </c>
      <c r="AM21" s="15">
        <v>4.5454545454545503</v>
      </c>
      <c r="AN21" s="15">
        <v>6.5693430656934302</v>
      </c>
      <c r="AO21" s="20" t="s">
        <v>80</v>
      </c>
      <c r="AP21" s="15">
        <v>2.5586353944562901</v>
      </c>
      <c r="AQ21" s="15">
        <v>5.8823529411764701</v>
      </c>
      <c r="AR21" s="24">
        <v>4.8484848484848504</v>
      </c>
      <c r="AS21" s="38"/>
    </row>
    <row r="22" spans="1:45">
      <c r="A22" s="9" t="s">
        <v>180</v>
      </c>
      <c r="B22" s="36">
        <v>1.0363360376879001</v>
      </c>
      <c r="C22" s="32">
        <v>0.97575428546424103</v>
      </c>
      <c r="D22" s="32">
        <v>1.2130097723976401</v>
      </c>
      <c r="E22" s="32">
        <v>1.7851987011686501</v>
      </c>
      <c r="F22" s="20" t="s">
        <v>80</v>
      </c>
      <c r="G22" s="20" t="s">
        <v>80</v>
      </c>
      <c r="H22" s="20" t="s">
        <v>80</v>
      </c>
      <c r="I22" s="20" t="s">
        <v>80</v>
      </c>
      <c r="J22" s="20" t="s">
        <v>80</v>
      </c>
      <c r="K22" s="20" t="s">
        <v>80</v>
      </c>
      <c r="L22" s="20" t="s">
        <v>80</v>
      </c>
      <c r="M22" s="20" t="s">
        <v>80</v>
      </c>
      <c r="N22" s="20" t="s">
        <v>80</v>
      </c>
      <c r="O22" s="20" t="s">
        <v>80</v>
      </c>
      <c r="P22" s="20" t="s">
        <v>80</v>
      </c>
      <c r="Q22" s="20" t="s">
        <v>80</v>
      </c>
      <c r="R22" s="20" t="s">
        <v>80</v>
      </c>
      <c r="S22" s="20" t="s">
        <v>80</v>
      </c>
      <c r="T22" s="20" t="s">
        <v>80</v>
      </c>
      <c r="U22" s="20" t="s">
        <v>80</v>
      </c>
      <c r="V22" s="20" t="s">
        <v>80</v>
      </c>
      <c r="W22" s="20" t="s">
        <v>80</v>
      </c>
      <c r="X22" s="20" t="s">
        <v>80</v>
      </c>
      <c r="Y22" s="20" t="s">
        <v>80</v>
      </c>
      <c r="Z22" s="20" t="s">
        <v>80</v>
      </c>
      <c r="AA22" s="20" t="s">
        <v>80</v>
      </c>
      <c r="AB22" s="20" t="s">
        <v>80</v>
      </c>
      <c r="AC22" s="20" t="s">
        <v>80</v>
      </c>
      <c r="AD22" s="20" t="s">
        <v>80</v>
      </c>
      <c r="AE22" s="20" t="s">
        <v>80</v>
      </c>
      <c r="AF22" s="20" t="s">
        <v>80</v>
      </c>
      <c r="AG22" s="20" t="s">
        <v>80</v>
      </c>
      <c r="AH22" s="20" t="s">
        <v>80</v>
      </c>
      <c r="AI22" s="20" t="s">
        <v>80</v>
      </c>
      <c r="AJ22" s="34" t="s">
        <v>80</v>
      </c>
      <c r="AK22" s="15">
        <v>0.73964497041420096</v>
      </c>
      <c r="AL22" s="20" t="s">
        <v>80</v>
      </c>
      <c r="AM22" s="20" t="s">
        <v>80</v>
      </c>
      <c r="AN22" s="20" t="s">
        <v>80</v>
      </c>
      <c r="AO22" s="20" t="s">
        <v>80</v>
      </c>
      <c r="AP22" s="20" t="s">
        <v>80</v>
      </c>
      <c r="AQ22" s="20" t="s">
        <v>80</v>
      </c>
      <c r="AR22" s="26" t="s">
        <v>80</v>
      </c>
      <c r="AS22" s="38"/>
    </row>
    <row r="23" spans="1:45">
      <c r="A23" s="9" t="s">
        <v>181</v>
      </c>
      <c r="B23" s="36">
        <v>5.5703404785507198</v>
      </c>
      <c r="C23" s="32">
        <v>6.0201998618334303</v>
      </c>
      <c r="D23" s="32">
        <v>5.21837639716715</v>
      </c>
      <c r="E23" s="32">
        <v>3.53064476553517</v>
      </c>
      <c r="F23" s="20" t="s">
        <v>80</v>
      </c>
      <c r="G23" s="20" t="s">
        <v>80</v>
      </c>
      <c r="H23" s="20" t="s">
        <v>80</v>
      </c>
      <c r="I23" s="15">
        <v>5.9405940594059397</v>
      </c>
      <c r="J23" s="15">
        <v>7.1428571428571397</v>
      </c>
      <c r="K23" s="20" t="s">
        <v>80</v>
      </c>
      <c r="L23" s="20" t="s">
        <v>80</v>
      </c>
      <c r="M23" s="20" t="s">
        <v>80</v>
      </c>
      <c r="N23" s="20" t="s">
        <v>80</v>
      </c>
      <c r="O23" s="15">
        <v>6.4516129032258096</v>
      </c>
      <c r="P23" s="15">
        <v>4.95867768595041</v>
      </c>
      <c r="Q23" s="20" t="s">
        <v>80</v>
      </c>
      <c r="R23" s="15">
        <v>10.6382978723404</v>
      </c>
      <c r="S23" s="20" t="s">
        <v>80</v>
      </c>
      <c r="T23" s="20" t="s">
        <v>80</v>
      </c>
      <c r="U23" s="20" t="s">
        <v>80</v>
      </c>
      <c r="V23" s="20" t="s">
        <v>80</v>
      </c>
      <c r="W23" s="20" t="s">
        <v>80</v>
      </c>
      <c r="X23" s="20" t="s">
        <v>80</v>
      </c>
      <c r="Y23" s="20" t="s">
        <v>80</v>
      </c>
      <c r="Z23" s="20" t="s">
        <v>80</v>
      </c>
      <c r="AA23" s="20" t="s">
        <v>80</v>
      </c>
      <c r="AB23" s="20" t="s">
        <v>80</v>
      </c>
      <c r="AC23" s="20" t="s">
        <v>80</v>
      </c>
      <c r="AD23" s="20" t="s">
        <v>80</v>
      </c>
      <c r="AE23" s="20" t="s">
        <v>80</v>
      </c>
      <c r="AF23" s="20" t="s">
        <v>80</v>
      </c>
      <c r="AG23" s="20" t="s">
        <v>80</v>
      </c>
      <c r="AH23" s="15">
        <v>5.3763440860215104</v>
      </c>
      <c r="AI23" s="20" t="s">
        <v>80</v>
      </c>
      <c r="AJ23" s="32">
        <v>6.6948996804671399</v>
      </c>
      <c r="AK23" s="15">
        <v>5.0295857988165702</v>
      </c>
      <c r="AL23" s="15">
        <v>3.9215686274509798</v>
      </c>
      <c r="AM23" s="15">
        <v>6.5656565656565702</v>
      </c>
      <c r="AN23" s="15">
        <v>10.9489051094891</v>
      </c>
      <c r="AO23" s="15">
        <v>4.7904191616766498</v>
      </c>
      <c r="AP23" s="15">
        <v>5.1172707889125801</v>
      </c>
      <c r="AQ23" s="15">
        <v>9.5588235294117592</v>
      </c>
      <c r="AR23" s="24">
        <v>6.6666666666666696</v>
      </c>
      <c r="AS23" s="38"/>
    </row>
    <row r="24" spans="1:45">
      <c r="A24" s="9" t="s">
        <v>182</v>
      </c>
      <c r="B24" s="36">
        <v>22.940609912452601</v>
      </c>
      <c r="C24" s="32">
        <v>24.233381867303802</v>
      </c>
      <c r="D24" s="32">
        <v>23.988805071460298</v>
      </c>
      <c r="E24" s="32">
        <v>23.872342016881099</v>
      </c>
      <c r="F24" s="15">
        <v>21.568627450980401</v>
      </c>
      <c r="G24" s="20" t="s">
        <v>80</v>
      </c>
      <c r="H24" s="15">
        <v>16.759776536312799</v>
      </c>
      <c r="I24" s="15">
        <v>13.8613861386139</v>
      </c>
      <c r="J24" s="15">
        <v>18.571428571428601</v>
      </c>
      <c r="K24" s="15">
        <v>16.2162162162162</v>
      </c>
      <c r="L24" s="15">
        <v>22.429906542056099</v>
      </c>
      <c r="M24" s="15">
        <v>23.8095238095238</v>
      </c>
      <c r="N24" s="15">
        <v>28.4722222222222</v>
      </c>
      <c r="O24" s="15">
        <v>35.4838709677419</v>
      </c>
      <c r="P24" s="15">
        <v>18.181818181818201</v>
      </c>
      <c r="Q24" s="15">
        <v>29.411764705882401</v>
      </c>
      <c r="R24" s="15">
        <v>23.404255319148898</v>
      </c>
      <c r="S24" s="15">
        <v>30.434782608695699</v>
      </c>
      <c r="T24" s="15">
        <v>20.930232558139501</v>
      </c>
      <c r="U24" s="15">
        <v>37.5</v>
      </c>
      <c r="V24" s="15">
        <v>47.368421052631597</v>
      </c>
      <c r="W24" s="15">
        <v>26.086956521739101</v>
      </c>
      <c r="X24" s="15">
        <v>32.4324324324324</v>
      </c>
      <c r="Y24" s="15">
        <v>17.424242424242401</v>
      </c>
      <c r="Z24" s="15">
        <v>17.241379310344801</v>
      </c>
      <c r="AA24" s="15">
        <v>13.0434782608696</v>
      </c>
      <c r="AB24" s="20" t="s">
        <v>80</v>
      </c>
      <c r="AC24" s="15">
        <v>11.9047619047619</v>
      </c>
      <c r="AD24" s="15">
        <v>30.434782608695699</v>
      </c>
      <c r="AE24" s="15">
        <v>24.2424242424242</v>
      </c>
      <c r="AF24" s="15">
        <v>56.818181818181799</v>
      </c>
      <c r="AG24" s="15">
        <v>33.3333333333333</v>
      </c>
      <c r="AH24" s="15">
        <v>22.580645161290299</v>
      </c>
      <c r="AI24" s="15">
        <v>25</v>
      </c>
      <c r="AJ24" s="32">
        <v>24.0906935521332</v>
      </c>
      <c r="AK24" s="15">
        <v>17.159763313609499</v>
      </c>
      <c r="AL24" s="15">
        <v>27.4509803921569</v>
      </c>
      <c r="AM24" s="15">
        <v>24.2424242424242</v>
      </c>
      <c r="AN24" s="15">
        <v>37.2262773722628</v>
      </c>
      <c r="AO24" s="15">
        <v>24.251497005988</v>
      </c>
      <c r="AP24" s="15">
        <v>20.682302771854999</v>
      </c>
      <c r="AQ24" s="15">
        <v>23.529411764705898</v>
      </c>
      <c r="AR24" s="24">
        <v>36.060606060606098</v>
      </c>
      <c r="AS24" s="38"/>
    </row>
    <row r="25" spans="1:45">
      <c r="A25" s="9" t="s">
        <v>183</v>
      </c>
      <c r="B25" s="36">
        <v>0.40052593877834902</v>
      </c>
      <c r="C25" s="32">
        <v>0.36467915110829402</v>
      </c>
      <c r="D25" s="34" t="s">
        <v>80</v>
      </c>
      <c r="E25" s="34" t="s">
        <v>80</v>
      </c>
      <c r="F25" s="20" t="s">
        <v>80</v>
      </c>
      <c r="G25" s="20" t="s">
        <v>80</v>
      </c>
      <c r="H25" s="20" t="s">
        <v>80</v>
      </c>
      <c r="I25" s="20" t="s">
        <v>80</v>
      </c>
      <c r="J25" s="20" t="s">
        <v>80</v>
      </c>
      <c r="K25" s="20" t="s">
        <v>80</v>
      </c>
      <c r="L25" s="20" t="s">
        <v>80</v>
      </c>
      <c r="M25" s="20" t="s">
        <v>80</v>
      </c>
      <c r="N25" s="20" t="s">
        <v>80</v>
      </c>
      <c r="O25" s="20" t="s">
        <v>80</v>
      </c>
      <c r="P25" s="20" t="s">
        <v>80</v>
      </c>
      <c r="Q25" s="20" t="s">
        <v>80</v>
      </c>
      <c r="R25" s="20" t="s">
        <v>80</v>
      </c>
      <c r="S25" s="20" t="s">
        <v>80</v>
      </c>
      <c r="T25" s="20" t="s">
        <v>80</v>
      </c>
      <c r="U25" s="20" t="s">
        <v>80</v>
      </c>
      <c r="V25" s="20" t="s">
        <v>80</v>
      </c>
      <c r="W25" s="20" t="s">
        <v>80</v>
      </c>
      <c r="X25" s="20" t="s">
        <v>80</v>
      </c>
      <c r="Y25" s="20" t="s">
        <v>80</v>
      </c>
      <c r="Z25" s="20" t="s">
        <v>80</v>
      </c>
      <c r="AA25" s="20" t="s">
        <v>80</v>
      </c>
      <c r="AB25" s="20" t="s">
        <v>80</v>
      </c>
      <c r="AC25" s="20" t="s">
        <v>80</v>
      </c>
      <c r="AD25" s="20" t="s">
        <v>80</v>
      </c>
      <c r="AE25" s="20" t="s">
        <v>80</v>
      </c>
      <c r="AF25" s="20" t="s">
        <v>80</v>
      </c>
      <c r="AG25" s="20" t="s">
        <v>80</v>
      </c>
      <c r="AH25" s="20" t="s">
        <v>80</v>
      </c>
      <c r="AI25" s="20" t="s">
        <v>80</v>
      </c>
      <c r="AJ25" s="34" t="s">
        <v>80</v>
      </c>
      <c r="AK25" s="20" t="s">
        <v>80</v>
      </c>
      <c r="AL25" s="20" t="s">
        <v>80</v>
      </c>
      <c r="AM25" s="20" t="s">
        <v>80</v>
      </c>
      <c r="AN25" s="20" t="s">
        <v>80</v>
      </c>
      <c r="AO25" s="20" t="s">
        <v>80</v>
      </c>
      <c r="AP25" s="20" t="s">
        <v>80</v>
      </c>
      <c r="AQ25" s="20" t="s">
        <v>80</v>
      </c>
      <c r="AR25" s="26" t="s">
        <v>80</v>
      </c>
      <c r="AS25" s="38"/>
    </row>
    <row r="26" spans="1:45">
      <c r="A26" s="9" t="s">
        <v>184</v>
      </c>
      <c r="B26" s="36">
        <v>3.6371770846970901</v>
      </c>
      <c r="C26" s="32">
        <v>3.7720087784054299</v>
      </c>
      <c r="D26" s="32">
        <v>4.1382765616401302</v>
      </c>
      <c r="E26" s="32">
        <v>4.5514906164590201</v>
      </c>
      <c r="F26" s="20" t="s">
        <v>80</v>
      </c>
      <c r="G26" s="20" t="s">
        <v>80</v>
      </c>
      <c r="H26" s="20" t="s">
        <v>80</v>
      </c>
      <c r="I26" s="20" t="s">
        <v>80</v>
      </c>
      <c r="J26" s="20" t="s">
        <v>80</v>
      </c>
      <c r="K26" s="20" t="s">
        <v>80</v>
      </c>
      <c r="L26" s="15">
        <v>4.6728971962616797</v>
      </c>
      <c r="M26" s="20" t="s">
        <v>80</v>
      </c>
      <c r="N26" s="15">
        <v>8.3333333333333304</v>
      </c>
      <c r="O26" s="20" t="s">
        <v>80</v>
      </c>
      <c r="P26" s="20" t="s">
        <v>80</v>
      </c>
      <c r="Q26" s="20" t="s">
        <v>80</v>
      </c>
      <c r="R26" s="20" t="s">
        <v>80</v>
      </c>
      <c r="S26" s="20" t="s">
        <v>80</v>
      </c>
      <c r="T26" s="20" t="s">
        <v>80</v>
      </c>
      <c r="U26" s="20" t="s">
        <v>80</v>
      </c>
      <c r="V26" s="15">
        <v>13.157894736842101</v>
      </c>
      <c r="W26" s="20" t="s">
        <v>80</v>
      </c>
      <c r="X26" s="15">
        <v>9.0090090090090094</v>
      </c>
      <c r="Y26" s="15">
        <v>3.7878787878787898</v>
      </c>
      <c r="Z26" s="20" t="s">
        <v>80</v>
      </c>
      <c r="AA26" s="20" t="s">
        <v>80</v>
      </c>
      <c r="AB26" s="20" t="s">
        <v>80</v>
      </c>
      <c r="AC26" s="20" t="s">
        <v>80</v>
      </c>
      <c r="AD26" s="20" t="s">
        <v>80</v>
      </c>
      <c r="AE26" s="20" t="s">
        <v>80</v>
      </c>
      <c r="AF26" s="20" t="s">
        <v>80</v>
      </c>
      <c r="AG26" s="20" t="s">
        <v>80</v>
      </c>
      <c r="AH26" s="15">
        <v>5.3763440860215104</v>
      </c>
      <c r="AI26" s="20" t="s">
        <v>80</v>
      </c>
      <c r="AJ26" s="32">
        <v>3.7767734876372199</v>
      </c>
      <c r="AK26" s="15">
        <v>2.2189349112426</v>
      </c>
      <c r="AL26" s="15">
        <v>4.3572984749455301</v>
      </c>
      <c r="AM26" s="20" t="s">
        <v>80</v>
      </c>
      <c r="AN26" s="15">
        <v>5.10948905109489</v>
      </c>
      <c r="AO26" s="15">
        <v>2.6946107784431099</v>
      </c>
      <c r="AP26" s="15">
        <v>2.7718550106609801</v>
      </c>
      <c r="AQ26" s="15">
        <v>6.6176470588235299</v>
      </c>
      <c r="AR26" s="24">
        <v>4.8484848484848504</v>
      </c>
      <c r="AS26" s="38"/>
    </row>
    <row r="27" spans="1:45">
      <c r="A27" s="9" t="s">
        <v>185</v>
      </c>
      <c r="B27" s="36">
        <v>7.9378004050992903</v>
      </c>
      <c r="C27" s="32">
        <v>7.5579949097710903</v>
      </c>
      <c r="D27" s="32">
        <v>7.1612369092497499</v>
      </c>
      <c r="E27" s="32">
        <v>8.9323164995533393</v>
      </c>
      <c r="F27" s="15">
        <v>13.7254901960784</v>
      </c>
      <c r="G27" s="20" t="s">
        <v>80</v>
      </c>
      <c r="H27" s="15">
        <v>5.5865921787709496</v>
      </c>
      <c r="I27" s="15">
        <v>13.8613861386139</v>
      </c>
      <c r="J27" s="15">
        <v>8.5714285714285694</v>
      </c>
      <c r="K27" s="15">
        <v>21.6216216216216</v>
      </c>
      <c r="L27" s="15">
        <v>7.4766355140186898</v>
      </c>
      <c r="M27" s="20" t="s">
        <v>80</v>
      </c>
      <c r="N27" s="15">
        <v>9.7222222222222197</v>
      </c>
      <c r="O27" s="15">
        <v>11.290322580645199</v>
      </c>
      <c r="P27" s="15">
        <v>9.9173553719008307</v>
      </c>
      <c r="Q27" s="20" t="s">
        <v>80</v>
      </c>
      <c r="R27" s="15">
        <v>12.7659574468085</v>
      </c>
      <c r="S27" s="15">
        <v>17.3913043478261</v>
      </c>
      <c r="T27" s="20" t="s">
        <v>80</v>
      </c>
      <c r="U27" s="15">
        <v>14.285714285714301</v>
      </c>
      <c r="V27" s="20" t="s">
        <v>80</v>
      </c>
      <c r="W27" s="15">
        <v>10.869565217391299</v>
      </c>
      <c r="X27" s="15">
        <v>12.612612612612599</v>
      </c>
      <c r="Y27" s="15">
        <v>4.5454545454545396</v>
      </c>
      <c r="Z27" s="15">
        <v>17.241379310344801</v>
      </c>
      <c r="AA27" s="20" t="s">
        <v>80</v>
      </c>
      <c r="AB27" s="20" t="s">
        <v>80</v>
      </c>
      <c r="AC27" s="20" t="s">
        <v>80</v>
      </c>
      <c r="AD27" s="20" t="s">
        <v>80</v>
      </c>
      <c r="AE27" s="20" t="s">
        <v>80</v>
      </c>
      <c r="AF27" s="20" t="s">
        <v>80</v>
      </c>
      <c r="AG27" s="20" t="s">
        <v>80</v>
      </c>
      <c r="AH27" s="15">
        <v>15.0537634408602</v>
      </c>
      <c r="AI27" s="20" t="s">
        <v>80</v>
      </c>
      <c r="AJ27" s="32">
        <v>5.6117961079702301</v>
      </c>
      <c r="AK27" s="15">
        <v>6.5088757396449699</v>
      </c>
      <c r="AL27" s="15">
        <v>4.3572984749455301</v>
      </c>
      <c r="AM27" s="15">
        <v>4.5454545454545503</v>
      </c>
      <c r="AN27" s="15">
        <v>11.6788321167883</v>
      </c>
      <c r="AO27" s="15">
        <v>5.9880239520958103</v>
      </c>
      <c r="AP27" s="15">
        <v>5.9701492537313401</v>
      </c>
      <c r="AQ27" s="15">
        <v>3.6764705882352899</v>
      </c>
      <c r="AR27" s="24">
        <v>4.5454545454545503</v>
      </c>
      <c r="AS27" s="38"/>
    </row>
    <row r="28" spans="1:45">
      <c r="A28" s="9" t="s">
        <v>186</v>
      </c>
      <c r="B28" s="36">
        <v>4.3991788642041403</v>
      </c>
      <c r="C28" s="32">
        <v>4.1892384964413303</v>
      </c>
      <c r="D28" s="32">
        <v>5.8365318478757802</v>
      </c>
      <c r="E28" s="32">
        <v>7.8156001298212203</v>
      </c>
      <c r="F28" s="15">
        <v>13.7254901960784</v>
      </c>
      <c r="G28" s="20" t="s">
        <v>80</v>
      </c>
      <c r="H28" s="20" t="s">
        <v>80</v>
      </c>
      <c r="I28" s="15">
        <v>4.9504950495049496</v>
      </c>
      <c r="J28" s="15">
        <v>12.8571428571429</v>
      </c>
      <c r="K28" s="20" t="s">
        <v>80</v>
      </c>
      <c r="L28" s="15">
        <v>6.5420560747663501</v>
      </c>
      <c r="M28" s="20" t="s">
        <v>80</v>
      </c>
      <c r="N28" s="15">
        <v>6.25</v>
      </c>
      <c r="O28" s="15">
        <v>8.0645161290322598</v>
      </c>
      <c r="P28" s="15">
        <v>9.0909090909090899</v>
      </c>
      <c r="Q28" s="20" t="s">
        <v>80</v>
      </c>
      <c r="R28" s="15">
        <v>17.021276595744698</v>
      </c>
      <c r="S28" s="20" t="s">
        <v>80</v>
      </c>
      <c r="T28" s="20" t="s">
        <v>80</v>
      </c>
      <c r="U28" s="20" t="s">
        <v>80</v>
      </c>
      <c r="V28" s="20" t="s">
        <v>80</v>
      </c>
      <c r="W28" s="15">
        <v>13.0434782608696</v>
      </c>
      <c r="X28" s="15">
        <v>7.20720720720721</v>
      </c>
      <c r="Y28" s="15">
        <v>4.5454545454545396</v>
      </c>
      <c r="Z28" s="15">
        <v>24.137931034482801</v>
      </c>
      <c r="AA28" s="15">
        <v>13.0434782608696</v>
      </c>
      <c r="AB28" s="20" t="s">
        <v>80</v>
      </c>
      <c r="AC28" s="20" t="s">
        <v>80</v>
      </c>
      <c r="AD28" s="15">
        <v>17.3913043478261</v>
      </c>
      <c r="AE28" s="20" t="s">
        <v>80</v>
      </c>
      <c r="AF28" s="15">
        <v>11.363636363636401</v>
      </c>
      <c r="AG28" s="20" t="s">
        <v>80</v>
      </c>
      <c r="AH28" s="15">
        <v>8.6021505376344098</v>
      </c>
      <c r="AI28" s="15">
        <v>12.5</v>
      </c>
      <c r="AJ28" s="32">
        <v>4.1051307514186801</v>
      </c>
      <c r="AK28" s="15">
        <v>3.8461538461538498</v>
      </c>
      <c r="AL28" s="15">
        <v>3.9215686274509798</v>
      </c>
      <c r="AM28" s="15">
        <v>8.0808080808080796</v>
      </c>
      <c r="AN28" s="15">
        <v>10.9489051094891</v>
      </c>
      <c r="AO28" s="15">
        <v>5.3892215568862296</v>
      </c>
      <c r="AP28" s="15">
        <v>2.3454157782516001</v>
      </c>
      <c r="AQ28" s="20" t="s">
        <v>80</v>
      </c>
      <c r="AR28" s="24">
        <v>6.0606060606060597</v>
      </c>
      <c r="AS28" s="38"/>
    </row>
    <row r="29" spans="1:45">
      <c r="A29" s="9" t="s">
        <v>187</v>
      </c>
      <c r="B29" s="36">
        <v>0.60444325089101603</v>
      </c>
      <c r="C29" s="32">
        <v>0.47065422944235602</v>
      </c>
      <c r="D29" s="34" t="s">
        <v>80</v>
      </c>
      <c r="E29" s="34" t="s">
        <v>80</v>
      </c>
      <c r="F29" s="20" t="s">
        <v>80</v>
      </c>
      <c r="G29" s="20" t="s">
        <v>80</v>
      </c>
      <c r="H29" s="20" t="s">
        <v>80</v>
      </c>
      <c r="I29" s="20" t="s">
        <v>80</v>
      </c>
      <c r="J29" s="20" t="s">
        <v>80</v>
      </c>
      <c r="K29" s="20" t="s">
        <v>80</v>
      </c>
      <c r="L29" s="20" t="s">
        <v>80</v>
      </c>
      <c r="M29" s="20" t="s">
        <v>80</v>
      </c>
      <c r="N29" s="20" t="s">
        <v>80</v>
      </c>
      <c r="O29" s="20" t="s">
        <v>80</v>
      </c>
      <c r="P29" s="20" t="s">
        <v>80</v>
      </c>
      <c r="Q29" s="20" t="s">
        <v>80</v>
      </c>
      <c r="R29" s="20" t="s">
        <v>80</v>
      </c>
      <c r="S29" s="20" t="s">
        <v>80</v>
      </c>
      <c r="T29" s="20" t="s">
        <v>80</v>
      </c>
      <c r="U29" s="20" t="s">
        <v>80</v>
      </c>
      <c r="V29" s="20" t="s">
        <v>80</v>
      </c>
      <c r="W29" s="20" t="s">
        <v>80</v>
      </c>
      <c r="X29" s="20" t="s">
        <v>80</v>
      </c>
      <c r="Y29" s="20" t="s">
        <v>80</v>
      </c>
      <c r="Z29" s="20" t="s">
        <v>80</v>
      </c>
      <c r="AA29" s="20" t="s">
        <v>80</v>
      </c>
      <c r="AB29" s="20" t="s">
        <v>80</v>
      </c>
      <c r="AC29" s="20" t="s">
        <v>80</v>
      </c>
      <c r="AD29" s="20" t="s">
        <v>80</v>
      </c>
      <c r="AE29" s="20" t="s">
        <v>80</v>
      </c>
      <c r="AF29" s="20" t="s">
        <v>80</v>
      </c>
      <c r="AG29" s="20" t="s">
        <v>80</v>
      </c>
      <c r="AH29" s="20" t="s">
        <v>80</v>
      </c>
      <c r="AI29" s="20" t="s">
        <v>80</v>
      </c>
      <c r="AJ29" s="34" t="s">
        <v>80</v>
      </c>
      <c r="AK29" s="20" t="s">
        <v>80</v>
      </c>
      <c r="AL29" s="20" t="s">
        <v>80</v>
      </c>
      <c r="AM29" s="20" t="s">
        <v>80</v>
      </c>
      <c r="AN29" s="20" t="s">
        <v>80</v>
      </c>
      <c r="AO29" s="20" t="s">
        <v>80</v>
      </c>
      <c r="AP29" s="20" t="s">
        <v>80</v>
      </c>
      <c r="AQ29" s="20" t="s">
        <v>80</v>
      </c>
      <c r="AR29" s="26" t="s">
        <v>80</v>
      </c>
      <c r="AS29" s="38"/>
    </row>
    <row r="30" spans="1:45">
      <c r="A30" s="9" t="s">
        <v>188</v>
      </c>
      <c r="B30" s="36">
        <v>2.9308780981006999</v>
      </c>
      <c r="C30" s="32">
        <v>3.6870288411453802</v>
      </c>
      <c r="D30" s="32">
        <v>2.08275495203022</v>
      </c>
      <c r="E30" s="32">
        <v>2.1900678657272201</v>
      </c>
      <c r="F30" s="20" t="s">
        <v>80</v>
      </c>
      <c r="G30" s="20" t="s">
        <v>80</v>
      </c>
      <c r="H30" s="20" t="s">
        <v>80</v>
      </c>
      <c r="I30" s="20" t="s">
        <v>80</v>
      </c>
      <c r="J30" s="20" t="s">
        <v>80</v>
      </c>
      <c r="K30" s="20" t="s">
        <v>80</v>
      </c>
      <c r="L30" s="20" t="s">
        <v>80</v>
      </c>
      <c r="M30" s="20" t="s">
        <v>80</v>
      </c>
      <c r="N30" s="20" t="s">
        <v>80</v>
      </c>
      <c r="O30" s="20" t="s">
        <v>80</v>
      </c>
      <c r="P30" s="20" t="s">
        <v>80</v>
      </c>
      <c r="Q30" s="20" t="s">
        <v>80</v>
      </c>
      <c r="R30" s="20" t="s">
        <v>80</v>
      </c>
      <c r="S30" s="20" t="s">
        <v>80</v>
      </c>
      <c r="T30" s="20" t="s">
        <v>80</v>
      </c>
      <c r="U30" s="20" t="s">
        <v>80</v>
      </c>
      <c r="V30" s="20" t="s">
        <v>80</v>
      </c>
      <c r="W30" s="20" t="s">
        <v>80</v>
      </c>
      <c r="X30" s="20" t="s">
        <v>80</v>
      </c>
      <c r="Y30" s="15">
        <v>3.7878787878787898</v>
      </c>
      <c r="Z30" s="20" t="s">
        <v>80</v>
      </c>
      <c r="AA30" s="20" t="s">
        <v>80</v>
      </c>
      <c r="AB30" s="20" t="s">
        <v>80</v>
      </c>
      <c r="AC30" s="20" t="s">
        <v>80</v>
      </c>
      <c r="AD30" s="20" t="s">
        <v>80</v>
      </c>
      <c r="AE30" s="20" t="s">
        <v>80</v>
      </c>
      <c r="AF30" s="20" t="s">
        <v>80</v>
      </c>
      <c r="AG30" s="20" t="s">
        <v>80</v>
      </c>
      <c r="AH30" s="20" t="s">
        <v>80</v>
      </c>
      <c r="AI30" s="20" t="s">
        <v>80</v>
      </c>
      <c r="AJ30" s="32">
        <v>1.9888715331840801</v>
      </c>
      <c r="AK30" s="15">
        <v>1.92307692307692</v>
      </c>
      <c r="AL30" s="15">
        <v>3.0501089324618702</v>
      </c>
      <c r="AM30" s="20" t="s">
        <v>80</v>
      </c>
      <c r="AN30" s="20" t="s">
        <v>80</v>
      </c>
      <c r="AO30" s="20" t="s">
        <v>80</v>
      </c>
      <c r="AP30" s="15">
        <v>3.41151385927505</v>
      </c>
      <c r="AQ30" s="20" t="s">
        <v>80</v>
      </c>
      <c r="AR30" s="24">
        <v>1.8181818181818199</v>
      </c>
      <c r="AS30" s="38"/>
    </row>
    <row r="31" spans="1:45">
      <c r="A31" s="9" t="s">
        <v>189</v>
      </c>
      <c r="B31" s="36">
        <v>6.9949084674478703</v>
      </c>
      <c r="C31" s="32">
        <v>7.2235261424613002</v>
      </c>
      <c r="D31" s="32">
        <v>4.4701757674903302</v>
      </c>
      <c r="E31" s="32">
        <v>5.6135410269051</v>
      </c>
      <c r="F31" s="20" t="s">
        <v>80</v>
      </c>
      <c r="G31" s="20" t="s">
        <v>80</v>
      </c>
      <c r="H31" s="15">
        <v>3.91061452513966</v>
      </c>
      <c r="I31" s="15">
        <v>8.9108910891089099</v>
      </c>
      <c r="J31" s="20" t="s">
        <v>80</v>
      </c>
      <c r="K31" s="20" t="s">
        <v>80</v>
      </c>
      <c r="L31" s="15">
        <v>6.5420560747663501</v>
      </c>
      <c r="M31" s="20" t="s">
        <v>80</v>
      </c>
      <c r="N31" s="15">
        <v>9.7222222222222197</v>
      </c>
      <c r="O31" s="15">
        <v>11.290322580645199</v>
      </c>
      <c r="P31" s="15">
        <v>4.95867768595041</v>
      </c>
      <c r="Q31" s="20" t="s">
        <v>80</v>
      </c>
      <c r="R31" s="20" t="s">
        <v>80</v>
      </c>
      <c r="S31" s="20" t="s">
        <v>80</v>
      </c>
      <c r="T31" s="20" t="s">
        <v>80</v>
      </c>
      <c r="U31" s="20" t="s">
        <v>80</v>
      </c>
      <c r="V31" s="20" t="s">
        <v>80</v>
      </c>
      <c r="W31" s="20" t="s">
        <v>80</v>
      </c>
      <c r="X31" s="15">
        <v>9.0090090090090094</v>
      </c>
      <c r="Y31" s="20" t="s">
        <v>80</v>
      </c>
      <c r="Z31" s="20" t="s">
        <v>80</v>
      </c>
      <c r="AA31" s="20" t="s">
        <v>80</v>
      </c>
      <c r="AB31" s="20" t="s">
        <v>80</v>
      </c>
      <c r="AC31" s="20" t="s">
        <v>80</v>
      </c>
      <c r="AD31" s="20" t="s">
        <v>80</v>
      </c>
      <c r="AE31" s="20" t="s">
        <v>80</v>
      </c>
      <c r="AF31" s="20" t="s">
        <v>80</v>
      </c>
      <c r="AG31" s="20" t="s">
        <v>80</v>
      </c>
      <c r="AH31" s="15">
        <v>5.3763440860215104</v>
      </c>
      <c r="AI31" s="15">
        <v>10.714285714285699</v>
      </c>
      <c r="AJ31" s="32">
        <v>3.4698950384920999</v>
      </c>
      <c r="AK31" s="15">
        <v>2.9585798816567999</v>
      </c>
      <c r="AL31" s="15">
        <v>3.2679738562091498</v>
      </c>
      <c r="AM31" s="15">
        <v>2.52525252525253</v>
      </c>
      <c r="AN31" s="15">
        <v>8.0291970802919703</v>
      </c>
      <c r="AO31" s="15">
        <v>2.6946107784431099</v>
      </c>
      <c r="AP31" s="15">
        <v>4.0511727078891298</v>
      </c>
      <c r="AQ31" s="15">
        <v>5.1470588235294104</v>
      </c>
      <c r="AR31" s="24">
        <v>5.7575757575757596</v>
      </c>
      <c r="AS31" s="38"/>
    </row>
    <row r="32" spans="1:45">
      <c r="A32" s="9" t="s">
        <v>190</v>
      </c>
      <c r="B32" s="36">
        <v>0.31382264659037301</v>
      </c>
      <c r="C32" s="32">
        <v>0.244420662868859</v>
      </c>
      <c r="D32" s="34" t="s">
        <v>80</v>
      </c>
      <c r="E32" s="34" t="s">
        <v>80</v>
      </c>
      <c r="F32" s="20" t="s">
        <v>80</v>
      </c>
      <c r="G32" s="20" t="s">
        <v>80</v>
      </c>
      <c r="H32" s="20" t="s">
        <v>80</v>
      </c>
      <c r="I32" s="20" t="s">
        <v>80</v>
      </c>
      <c r="J32" s="20" t="s">
        <v>80</v>
      </c>
      <c r="K32" s="20" t="s">
        <v>80</v>
      </c>
      <c r="L32" s="20" t="s">
        <v>80</v>
      </c>
      <c r="M32" s="20" t="s">
        <v>80</v>
      </c>
      <c r="N32" s="20" t="s">
        <v>80</v>
      </c>
      <c r="O32" s="20" t="s">
        <v>80</v>
      </c>
      <c r="P32" s="20" t="s">
        <v>80</v>
      </c>
      <c r="Q32" s="20" t="s">
        <v>80</v>
      </c>
      <c r="R32" s="20" t="s">
        <v>80</v>
      </c>
      <c r="S32" s="20" t="s">
        <v>80</v>
      </c>
      <c r="T32" s="20" t="s">
        <v>80</v>
      </c>
      <c r="U32" s="20" t="s">
        <v>80</v>
      </c>
      <c r="V32" s="20" t="s">
        <v>80</v>
      </c>
      <c r="W32" s="20" t="s">
        <v>80</v>
      </c>
      <c r="X32" s="20" t="s">
        <v>80</v>
      </c>
      <c r="Y32" s="20" t="s">
        <v>80</v>
      </c>
      <c r="Z32" s="20" t="s">
        <v>80</v>
      </c>
      <c r="AA32" s="20" t="s">
        <v>80</v>
      </c>
      <c r="AB32" s="20" t="s">
        <v>80</v>
      </c>
      <c r="AC32" s="20" t="s">
        <v>80</v>
      </c>
      <c r="AD32" s="20" t="s">
        <v>80</v>
      </c>
      <c r="AE32" s="20" t="s">
        <v>80</v>
      </c>
      <c r="AF32" s="20" t="s">
        <v>80</v>
      </c>
      <c r="AG32" s="20" t="s">
        <v>80</v>
      </c>
      <c r="AH32" s="20" t="s">
        <v>80</v>
      </c>
      <c r="AI32" s="20" t="s">
        <v>80</v>
      </c>
      <c r="AJ32" s="34" t="s">
        <v>80</v>
      </c>
      <c r="AK32" s="20" t="s">
        <v>80</v>
      </c>
      <c r="AL32" s="20" t="s">
        <v>80</v>
      </c>
      <c r="AM32" s="20" t="s">
        <v>80</v>
      </c>
      <c r="AN32" s="20" t="s">
        <v>80</v>
      </c>
      <c r="AO32" s="20" t="s">
        <v>80</v>
      </c>
      <c r="AP32" s="20" t="s">
        <v>80</v>
      </c>
      <c r="AQ32" s="20" t="s">
        <v>80</v>
      </c>
      <c r="AR32" s="26" t="s">
        <v>80</v>
      </c>
      <c r="AS32" s="38"/>
    </row>
    <row r="33" spans="1:45">
      <c r="A33" s="9" t="s">
        <v>191</v>
      </c>
      <c r="B33" s="36">
        <v>4.5538298587018904</v>
      </c>
      <c r="C33" s="32">
        <v>4.7386506015965599</v>
      </c>
      <c r="D33" s="32">
        <v>7.2439074859245496</v>
      </c>
      <c r="E33" s="32">
        <v>7.0513224513191002</v>
      </c>
      <c r="F33" s="20" t="s">
        <v>80</v>
      </c>
      <c r="G33" s="20" t="s">
        <v>80</v>
      </c>
      <c r="H33" s="15">
        <v>2.7932960893854699</v>
      </c>
      <c r="I33" s="15">
        <v>8.9108910891089099</v>
      </c>
      <c r="J33" s="20" t="s">
        <v>80</v>
      </c>
      <c r="K33" s="20" t="s">
        <v>80</v>
      </c>
      <c r="L33" s="20" t="s">
        <v>80</v>
      </c>
      <c r="M33" s="20" t="s">
        <v>80</v>
      </c>
      <c r="N33" s="15">
        <v>5.5555555555555598</v>
      </c>
      <c r="O33" s="15">
        <v>6.4516129032258096</v>
      </c>
      <c r="P33" s="15">
        <v>7.4380165289256199</v>
      </c>
      <c r="Q33" s="20" t="s">
        <v>80</v>
      </c>
      <c r="R33" s="15">
        <v>10.6382978723404</v>
      </c>
      <c r="S33" s="20" t="s">
        <v>80</v>
      </c>
      <c r="T33" s="20" t="s">
        <v>80</v>
      </c>
      <c r="U33" s="20" t="s">
        <v>80</v>
      </c>
      <c r="V33" s="20" t="s">
        <v>80</v>
      </c>
      <c r="W33" s="20" t="s">
        <v>80</v>
      </c>
      <c r="X33" s="15">
        <v>15.315315315315299</v>
      </c>
      <c r="Y33" s="15">
        <v>5.3030303030303001</v>
      </c>
      <c r="Z33" s="20" t="s">
        <v>80</v>
      </c>
      <c r="AA33" s="20" t="s">
        <v>80</v>
      </c>
      <c r="AB33" s="20" t="s">
        <v>80</v>
      </c>
      <c r="AC33" s="15">
        <v>14.285714285714301</v>
      </c>
      <c r="AD33" s="20" t="s">
        <v>80</v>
      </c>
      <c r="AE33" s="20" t="s">
        <v>80</v>
      </c>
      <c r="AF33" s="15">
        <v>29.545454545454501</v>
      </c>
      <c r="AG33" s="20" t="s">
        <v>80</v>
      </c>
      <c r="AH33" s="15">
        <v>23.655913978494599</v>
      </c>
      <c r="AI33" s="15">
        <v>8.9285714285714306</v>
      </c>
      <c r="AJ33" s="32">
        <v>7.4123917889266302</v>
      </c>
      <c r="AK33" s="15">
        <v>4.4378698224852098</v>
      </c>
      <c r="AL33" s="15">
        <v>4.7930283224400902</v>
      </c>
      <c r="AM33" s="15">
        <v>5.0505050505050502</v>
      </c>
      <c r="AN33" s="15">
        <v>10.9489051094891</v>
      </c>
      <c r="AO33" s="15">
        <v>10.179640718562901</v>
      </c>
      <c r="AP33" s="15">
        <v>2.7718550106609801</v>
      </c>
      <c r="AQ33" s="15">
        <v>11.764705882352899</v>
      </c>
      <c r="AR33" s="24">
        <v>18.7878787878788</v>
      </c>
      <c r="AS33" s="38"/>
    </row>
    <row r="34" spans="1:45">
      <c r="A34" s="9" t="s">
        <v>192</v>
      </c>
      <c r="B34" s="36">
        <v>1.9410735335935601</v>
      </c>
      <c r="C34" s="32">
        <v>2.1038550325886498</v>
      </c>
      <c r="D34" s="32">
        <v>2.9465585960029599</v>
      </c>
      <c r="E34" s="32">
        <v>3.8298959166626698</v>
      </c>
      <c r="F34" s="15">
        <v>9.8039215686274499</v>
      </c>
      <c r="G34" s="20" t="s">
        <v>80</v>
      </c>
      <c r="H34" s="15">
        <v>3.91061452513966</v>
      </c>
      <c r="I34" s="20" t="s">
        <v>80</v>
      </c>
      <c r="J34" s="20" t="s">
        <v>80</v>
      </c>
      <c r="K34" s="20" t="s">
        <v>80</v>
      </c>
      <c r="L34" s="20" t="s">
        <v>80</v>
      </c>
      <c r="M34" s="20" t="s">
        <v>80</v>
      </c>
      <c r="N34" s="20" t="s">
        <v>80</v>
      </c>
      <c r="O34" s="15">
        <v>4.0322580645161299</v>
      </c>
      <c r="P34" s="20" t="s">
        <v>80</v>
      </c>
      <c r="Q34" s="20" t="s">
        <v>80</v>
      </c>
      <c r="R34" s="20" t="s">
        <v>80</v>
      </c>
      <c r="S34" s="20" t="s">
        <v>80</v>
      </c>
      <c r="T34" s="15">
        <v>11.6279069767442</v>
      </c>
      <c r="U34" s="20" t="s">
        <v>80</v>
      </c>
      <c r="V34" s="20" t="s">
        <v>80</v>
      </c>
      <c r="W34" s="20" t="s">
        <v>80</v>
      </c>
      <c r="X34" s="15">
        <v>4.5045045045045002</v>
      </c>
      <c r="Y34" s="20" t="s">
        <v>80</v>
      </c>
      <c r="Z34" s="20" t="s">
        <v>80</v>
      </c>
      <c r="AA34" s="20" t="s">
        <v>80</v>
      </c>
      <c r="AB34" s="20" t="s">
        <v>80</v>
      </c>
      <c r="AC34" s="20" t="s">
        <v>80</v>
      </c>
      <c r="AD34" s="20" t="s">
        <v>80</v>
      </c>
      <c r="AE34" s="20" t="s">
        <v>80</v>
      </c>
      <c r="AF34" s="20" t="s">
        <v>80</v>
      </c>
      <c r="AG34" s="20" t="s">
        <v>80</v>
      </c>
      <c r="AH34" s="20" t="s">
        <v>80</v>
      </c>
      <c r="AI34" s="20" t="s">
        <v>80</v>
      </c>
      <c r="AJ34" s="32">
        <v>2.1737650448738099</v>
      </c>
      <c r="AK34" s="15">
        <v>2.3668639053254399</v>
      </c>
      <c r="AL34" s="15">
        <v>2.8322440087145999</v>
      </c>
      <c r="AM34" s="20" t="s">
        <v>80</v>
      </c>
      <c r="AN34" s="15">
        <v>5.8394160583941597</v>
      </c>
      <c r="AO34" s="15">
        <v>2.0958083832335301</v>
      </c>
      <c r="AP34" s="15">
        <v>1.0660980810234499</v>
      </c>
      <c r="AQ34" s="20" t="s">
        <v>80</v>
      </c>
      <c r="AR34" s="24">
        <v>3.0303030303030298</v>
      </c>
      <c r="AS34" s="38"/>
    </row>
    <row r="35" spans="1:45">
      <c r="A35" s="9" t="s">
        <v>193</v>
      </c>
      <c r="B35" s="36">
        <v>2.0413571216700799</v>
      </c>
      <c r="C35" s="32">
        <v>1.94985326147461</v>
      </c>
      <c r="D35" s="32">
        <v>1.7353309901812599</v>
      </c>
      <c r="E35" s="32">
        <v>2.46157834492239</v>
      </c>
      <c r="F35" s="20" t="s">
        <v>80</v>
      </c>
      <c r="G35" s="20" t="s">
        <v>80</v>
      </c>
      <c r="H35" s="20" t="s">
        <v>80</v>
      </c>
      <c r="I35" s="15">
        <v>4.9504950495049496</v>
      </c>
      <c r="J35" s="20" t="s">
        <v>80</v>
      </c>
      <c r="K35" s="20" t="s">
        <v>80</v>
      </c>
      <c r="L35" s="20" t="s">
        <v>80</v>
      </c>
      <c r="M35" s="20" t="s">
        <v>80</v>
      </c>
      <c r="N35" s="15">
        <v>4.8611111111111098</v>
      </c>
      <c r="O35" s="20" t="s">
        <v>80</v>
      </c>
      <c r="P35" s="20" t="s">
        <v>80</v>
      </c>
      <c r="Q35" s="20" t="s">
        <v>80</v>
      </c>
      <c r="R35" s="20" t="s">
        <v>80</v>
      </c>
      <c r="S35" s="20" t="s">
        <v>80</v>
      </c>
      <c r="T35" s="20" t="s">
        <v>80</v>
      </c>
      <c r="U35" s="20" t="s">
        <v>80</v>
      </c>
      <c r="V35" s="20" t="s">
        <v>80</v>
      </c>
      <c r="W35" s="20" t="s">
        <v>80</v>
      </c>
      <c r="X35" s="20" t="s">
        <v>80</v>
      </c>
      <c r="Y35" s="20" t="s">
        <v>80</v>
      </c>
      <c r="Z35" s="20" t="s">
        <v>80</v>
      </c>
      <c r="AA35" s="20" t="s">
        <v>80</v>
      </c>
      <c r="AB35" s="20" t="s">
        <v>80</v>
      </c>
      <c r="AC35" s="20" t="s">
        <v>80</v>
      </c>
      <c r="AD35" s="20" t="s">
        <v>80</v>
      </c>
      <c r="AE35" s="20" t="s">
        <v>80</v>
      </c>
      <c r="AF35" s="20" t="s">
        <v>80</v>
      </c>
      <c r="AG35" s="20" t="s">
        <v>80</v>
      </c>
      <c r="AH35" s="20" t="s">
        <v>80</v>
      </c>
      <c r="AI35" s="20" t="s">
        <v>80</v>
      </c>
      <c r="AJ35" s="32">
        <v>1.09996864428898</v>
      </c>
      <c r="AK35" s="15">
        <v>0.73964497041420096</v>
      </c>
      <c r="AL35" s="15">
        <v>1.52505446623094</v>
      </c>
      <c r="AM35" s="20" t="s">
        <v>80</v>
      </c>
      <c r="AN35" s="20" t="s">
        <v>80</v>
      </c>
      <c r="AO35" s="15">
        <v>1.79640718562874</v>
      </c>
      <c r="AP35" s="20" t="s">
        <v>80</v>
      </c>
      <c r="AQ35" s="20" t="s">
        <v>80</v>
      </c>
      <c r="AR35" s="24">
        <v>2.1212121212121202</v>
      </c>
      <c r="AS35" s="38"/>
    </row>
    <row r="36" spans="1:45">
      <c r="A36" s="9" t="s">
        <v>194</v>
      </c>
      <c r="B36" s="36">
        <v>6.3406467851349397</v>
      </c>
      <c r="C36" s="32">
        <v>7.8251222294372003</v>
      </c>
      <c r="D36" s="32">
        <v>6.2323581052957104</v>
      </c>
      <c r="E36" s="32">
        <v>4.6886542845291599</v>
      </c>
      <c r="F36" s="20" t="s">
        <v>80</v>
      </c>
      <c r="G36" s="20" t="s">
        <v>80</v>
      </c>
      <c r="H36" s="20" t="s">
        <v>80</v>
      </c>
      <c r="I36" s="15">
        <v>7.9207920792079198</v>
      </c>
      <c r="J36" s="20" t="s">
        <v>80</v>
      </c>
      <c r="K36" s="20" t="s">
        <v>80</v>
      </c>
      <c r="L36" s="20" t="s">
        <v>80</v>
      </c>
      <c r="M36" s="15">
        <v>7.1428571428571397</v>
      </c>
      <c r="N36" s="15">
        <v>5.5555555555555598</v>
      </c>
      <c r="O36" s="15">
        <v>4.0322580645161299</v>
      </c>
      <c r="P36" s="20" t="s">
        <v>80</v>
      </c>
      <c r="Q36" s="20" t="s">
        <v>80</v>
      </c>
      <c r="R36" s="15">
        <v>10.6382978723404</v>
      </c>
      <c r="S36" s="15">
        <v>10.869565217391299</v>
      </c>
      <c r="T36" s="20" t="s">
        <v>80</v>
      </c>
      <c r="U36" s="20" t="s">
        <v>80</v>
      </c>
      <c r="V36" s="20" t="s">
        <v>80</v>
      </c>
      <c r="W36" s="20" t="s">
        <v>80</v>
      </c>
      <c r="X36" s="15">
        <v>9.0090090090090094</v>
      </c>
      <c r="Y36" s="20" t="s">
        <v>80</v>
      </c>
      <c r="Z36" s="20" t="s">
        <v>80</v>
      </c>
      <c r="AA36" s="20" t="s">
        <v>80</v>
      </c>
      <c r="AB36" s="20" t="s">
        <v>80</v>
      </c>
      <c r="AC36" s="20" t="s">
        <v>80</v>
      </c>
      <c r="AD36" s="20" t="s">
        <v>80</v>
      </c>
      <c r="AE36" s="20" t="s">
        <v>80</v>
      </c>
      <c r="AF36" s="20" t="s">
        <v>80</v>
      </c>
      <c r="AG36" s="20" t="s">
        <v>80</v>
      </c>
      <c r="AH36" s="15">
        <v>7.5268817204301097</v>
      </c>
      <c r="AI36" s="20" t="s">
        <v>80</v>
      </c>
      <c r="AJ36" s="32">
        <v>7.5828776968950802</v>
      </c>
      <c r="AK36" s="15">
        <v>5.9171597633136104</v>
      </c>
      <c r="AL36" s="15">
        <v>2.8322440087145999</v>
      </c>
      <c r="AM36" s="15">
        <v>7.5757575757575797</v>
      </c>
      <c r="AN36" s="15">
        <v>12.408759124087601</v>
      </c>
      <c r="AO36" s="15">
        <v>10.179640718562901</v>
      </c>
      <c r="AP36" s="15">
        <v>6.1833688699360296</v>
      </c>
      <c r="AQ36" s="15">
        <v>12.5</v>
      </c>
      <c r="AR36" s="24">
        <v>7.2727272727272698</v>
      </c>
      <c r="AS36" s="38"/>
    </row>
    <row r="37" spans="1:45">
      <c r="A37" s="9" t="s">
        <v>195</v>
      </c>
      <c r="B37" s="36">
        <v>1.9725799011287199</v>
      </c>
      <c r="C37" s="32">
        <v>2.4600902329626799</v>
      </c>
      <c r="D37" s="32">
        <v>3.9431346192298098</v>
      </c>
      <c r="E37" s="32">
        <v>4.7222005004400902</v>
      </c>
      <c r="F37" s="15">
        <v>9.8039215686274499</v>
      </c>
      <c r="G37" s="20" t="s">
        <v>80</v>
      </c>
      <c r="H37" s="15">
        <v>4.4692737430167604</v>
      </c>
      <c r="I37" s="15">
        <v>6.9306930693069297</v>
      </c>
      <c r="J37" s="20" t="s">
        <v>80</v>
      </c>
      <c r="K37" s="20" t="s">
        <v>80</v>
      </c>
      <c r="L37" s="20" t="s">
        <v>80</v>
      </c>
      <c r="M37" s="20" t="s">
        <v>80</v>
      </c>
      <c r="N37" s="15">
        <v>3.4722222222222201</v>
      </c>
      <c r="O37" s="20" t="s">
        <v>80</v>
      </c>
      <c r="P37" s="20" t="s">
        <v>80</v>
      </c>
      <c r="Q37" s="20" t="s">
        <v>80</v>
      </c>
      <c r="R37" s="20" t="s">
        <v>80</v>
      </c>
      <c r="S37" s="15">
        <v>13.0434782608696</v>
      </c>
      <c r="T37" s="20" t="s">
        <v>80</v>
      </c>
      <c r="U37" s="20" t="s">
        <v>80</v>
      </c>
      <c r="V37" s="15">
        <v>13.157894736842101</v>
      </c>
      <c r="W37" s="20" t="s">
        <v>80</v>
      </c>
      <c r="X37" s="15">
        <v>13.5135135135135</v>
      </c>
      <c r="Y37" s="20" t="s">
        <v>80</v>
      </c>
      <c r="Z37" s="20" t="s">
        <v>80</v>
      </c>
      <c r="AA37" s="20" t="s">
        <v>80</v>
      </c>
      <c r="AB37" s="20" t="s">
        <v>80</v>
      </c>
      <c r="AC37" s="20" t="s">
        <v>80</v>
      </c>
      <c r="AD37" s="20" t="s">
        <v>80</v>
      </c>
      <c r="AE37" s="20" t="s">
        <v>80</v>
      </c>
      <c r="AF37" s="20" t="s">
        <v>80</v>
      </c>
      <c r="AG37" s="20" t="s">
        <v>80</v>
      </c>
      <c r="AH37" s="15">
        <v>5.3763440860215104</v>
      </c>
      <c r="AI37" s="20" t="s">
        <v>80</v>
      </c>
      <c r="AJ37" s="32">
        <v>3.26156363289991</v>
      </c>
      <c r="AK37" s="15">
        <v>1.1834319526627199</v>
      </c>
      <c r="AL37" s="15">
        <v>4.7930283224400902</v>
      </c>
      <c r="AM37" s="20" t="s">
        <v>80</v>
      </c>
      <c r="AN37" s="15">
        <v>6.5693430656934302</v>
      </c>
      <c r="AO37" s="15">
        <v>8.3832335329341294</v>
      </c>
      <c r="AP37" s="15">
        <v>3.19829424307036</v>
      </c>
      <c r="AQ37" s="20" t="s">
        <v>80</v>
      </c>
      <c r="AR37" s="24">
        <v>2.7272727272727302</v>
      </c>
      <c r="AS37" s="38"/>
    </row>
    <row r="38" spans="1:45">
      <c r="A38" s="9" t="s">
        <v>196</v>
      </c>
      <c r="B38" s="36">
        <v>3.0236775374030498</v>
      </c>
      <c r="C38" s="32">
        <v>2.93644987875166</v>
      </c>
      <c r="D38" s="32">
        <v>3.45052468382129</v>
      </c>
      <c r="E38" s="32">
        <v>4.5869739153846503</v>
      </c>
      <c r="F38" s="15">
        <v>11.764705882352899</v>
      </c>
      <c r="G38" s="20" t="s">
        <v>80</v>
      </c>
      <c r="H38" s="15">
        <v>3.3519553072625698</v>
      </c>
      <c r="I38" s="15">
        <v>16.8316831683168</v>
      </c>
      <c r="J38" s="20" t="s">
        <v>80</v>
      </c>
      <c r="K38" s="20" t="s">
        <v>80</v>
      </c>
      <c r="L38" s="15">
        <v>4.6728971962616797</v>
      </c>
      <c r="M38" s="20" t="s">
        <v>80</v>
      </c>
      <c r="N38" s="15">
        <v>6.9444444444444402</v>
      </c>
      <c r="O38" s="15">
        <v>6.4516129032258096</v>
      </c>
      <c r="P38" s="20" t="s">
        <v>80</v>
      </c>
      <c r="Q38" s="20" t="s">
        <v>80</v>
      </c>
      <c r="R38" s="20" t="s">
        <v>80</v>
      </c>
      <c r="S38" s="20" t="s">
        <v>80</v>
      </c>
      <c r="T38" s="20" t="s">
        <v>80</v>
      </c>
      <c r="U38" s="20" t="s">
        <v>80</v>
      </c>
      <c r="V38" s="20" t="s">
        <v>80</v>
      </c>
      <c r="W38" s="20" t="s">
        <v>80</v>
      </c>
      <c r="X38" s="15">
        <v>8.1081081081081106</v>
      </c>
      <c r="Y38" s="15">
        <v>3.7878787878787898</v>
      </c>
      <c r="Z38" s="20" t="s">
        <v>80</v>
      </c>
      <c r="AA38" s="20" t="s">
        <v>80</v>
      </c>
      <c r="AB38" s="20" t="s">
        <v>80</v>
      </c>
      <c r="AC38" s="20" t="s">
        <v>80</v>
      </c>
      <c r="AD38" s="20" t="s">
        <v>80</v>
      </c>
      <c r="AE38" s="20" t="s">
        <v>80</v>
      </c>
      <c r="AF38" s="20" t="s">
        <v>80</v>
      </c>
      <c r="AG38" s="20" t="s">
        <v>80</v>
      </c>
      <c r="AH38" s="15">
        <v>7.5268817204301097</v>
      </c>
      <c r="AI38" s="20" t="s">
        <v>80</v>
      </c>
      <c r="AJ38" s="32">
        <v>2.4562944879523401</v>
      </c>
      <c r="AK38" s="15">
        <v>0.88757396449704096</v>
      </c>
      <c r="AL38" s="15">
        <v>2.3965141612200398</v>
      </c>
      <c r="AM38" s="20" t="s">
        <v>80</v>
      </c>
      <c r="AN38" s="15">
        <v>7.2992700729926998</v>
      </c>
      <c r="AO38" s="15">
        <v>2.6946107784431099</v>
      </c>
      <c r="AP38" s="15">
        <v>4.9040511727078897</v>
      </c>
      <c r="AQ38" s="15">
        <v>3.6764705882352899</v>
      </c>
      <c r="AR38" s="26" t="s">
        <v>80</v>
      </c>
      <c r="AS38" s="38"/>
    </row>
    <row r="39" spans="1:45">
      <c r="A39" s="9" t="s">
        <v>197</v>
      </c>
      <c r="B39" s="36">
        <v>3.2807781621161101</v>
      </c>
      <c r="C39" s="32">
        <v>3.20806120656583</v>
      </c>
      <c r="D39" s="32">
        <v>2.9796341870614702</v>
      </c>
      <c r="E39" s="32">
        <v>3.18037034359658</v>
      </c>
      <c r="F39" s="20" t="s">
        <v>80</v>
      </c>
      <c r="G39" s="20" t="s">
        <v>80</v>
      </c>
      <c r="H39" s="20" t="s">
        <v>80</v>
      </c>
      <c r="I39" s="15">
        <v>4.9504950495049496</v>
      </c>
      <c r="J39" s="20" t="s">
        <v>80</v>
      </c>
      <c r="K39" s="20" t="s">
        <v>80</v>
      </c>
      <c r="L39" s="20" t="s">
        <v>80</v>
      </c>
      <c r="M39" s="20" t="s">
        <v>80</v>
      </c>
      <c r="N39" s="15">
        <v>6.25</v>
      </c>
      <c r="O39" s="20" t="s">
        <v>80</v>
      </c>
      <c r="P39" s="20" t="s">
        <v>80</v>
      </c>
      <c r="Q39" s="20" t="s">
        <v>80</v>
      </c>
      <c r="R39" s="20" t="s">
        <v>80</v>
      </c>
      <c r="S39" s="20" t="s">
        <v>80</v>
      </c>
      <c r="T39" s="20" t="s">
        <v>80</v>
      </c>
      <c r="U39" s="20" t="s">
        <v>80</v>
      </c>
      <c r="V39" s="20" t="s">
        <v>80</v>
      </c>
      <c r="W39" s="20" t="s">
        <v>80</v>
      </c>
      <c r="X39" s="20" t="s">
        <v>80</v>
      </c>
      <c r="Y39" s="20" t="s">
        <v>80</v>
      </c>
      <c r="Z39" s="20" t="s">
        <v>80</v>
      </c>
      <c r="AA39" s="20" t="s">
        <v>80</v>
      </c>
      <c r="AB39" s="20" t="s">
        <v>80</v>
      </c>
      <c r="AC39" s="20" t="s">
        <v>80</v>
      </c>
      <c r="AD39" s="20" t="s">
        <v>80</v>
      </c>
      <c r="AE39" s="20" t="s">
        <v>80</v>
      </c>
      <c r="AF39" s="20" t="s">
        <v>80</v>
      </c>
      <c r="AG39" s="20" t="s">
        <v>80</v>
      </c>
      <c r="AH39" s="15">
        <v>6.4516129032258096</v>
      </c>
      <c r="AI39" s="20" t="s">
        <v>80</v>
      </c>
      <c r="AJ39" s="32">
        <v>2.8040188206316601</v>
      </c>
      <c r="AK39" s="15">
        <v>1.92307692307692</v>
      </c>
      <c r="AL39" s="15">
        <v>5.6644880174291901</v>
      </c>
      <c r="AM39" s="20" t="s">
        <v>80</v>
      </c>
      <c r="AN39" s="15">
        <v>4.3795620437956204</v>
      </c>
      <c r="AO39" s="15">
        <v>3.5928143712574898</v>
      </c>
      <c r="AP39" s="15">
        <v>3.41151385927505</v>
      </c>
      <c r="AQ39" s="20" t="s">
        <v>80</v>
      </c>
      <c r="AR39" s="24">
        <v>1.8181818181818199</v>
      </c>
      <c r="AS39" s="38"/>
    </row>
    <row r="40" spans="1:45">
      <c r="A40" s="9" t="s">
        <v>198</v>
      </c>
      <c r="B40" s="36">
        <v>1.2878032030773501</v>
      </c>
      <c r="C40" s="32">
        <v>1.1420933034185901</v>
      </c>
      <c r="D40" s="32">
        <v>1.1633847263910699</v>
      </c>
      <c r="E40" s="32">
        <v>1.4527261876924</v>
      </c>
      <c r="F40" s="20" t="s">
        <v>80</v>
      </c>
      <c r="G40" s="20" t="s">
        <v>80</v>
      </c>
      <c r="H40" s="20" t="s">
        <v>80</v>
      </c>
      <c r="I40" s="20" t="s">
        <v>80</v>
      </c>
      <c r="J40" s="20" t="s">
        <v>80</v>
      </c>
      <c r="K40" s="20" t="s">
        <v>80</v>
      </c>
      <c r="L40" s="20" t="s">
        <v>80</v>
      </c>
      <c r="M40" s="20" t="s">
        <v>80</v>
      </c>
      <c r="N40" s="20" t="s">
        <v>80</v>
      </c>
      <c r="O40" s="20" t="s">
        <v>80</v>
      </c>
      <c r="P40" s="20" t="s">
        <v>80</v>
      </c>
      <c r="Q40" s="20" t="s">
        <v>80</v>
      </c>
      <c r="R40" s="20" t="s">
        <v>80</v>
      </c>
      <c r="S40" s="20" t="s">
        <v>80</v>
      </c>
      <c r="T40" s="20" t="s">
        <v>80</v>
      </c>
      <c r="U40" s="20" t="s">
        <v>80</v>
      </c>
      <c r="V40" s="20" t="s">
        <v>80</v>
      </c>
      <c r="W40" s="20" t="s">
        <v>80</v>
      </c>
      <c r="X40" s="20" t="s">
        <v>80</v>
      </c>
      <c r="Y40" s="20" t="s">
        <v>80</v>
      </c>
      <c r="Z40" s="20" t="s">
        <v>80</v>
      </c>
      <c r="AA40" s="20" t="s">
        <v>80</v>
      </c>
      <c r="AB40" s="20" t="s">
        <v>80</v>
      </c>
      <c r="AC40" s="20" t="s">
        <v>80</v>
      </c>
      <c r="AD40" s="20" t="s">
        <v>80</v>
      </c>
      <c r="AE40" s="20" t="s">
        <v>80</v>
      </c>
      <c r="AF40" s="20" t="s">
        <v>80</v>
      </c>
      <c r="AG40" s="20" t="s">
        <v>80</v>
      </c>
      <c r="AH40" s="20" t="s">
        <v>80</v>
      </c>
      <c r="AI40" s="20" t="s">
        <v>80</v>
      </c>
      <c r="AJ40" s="34" t="s">
        <v>80</v>
      </c>
      <c r="AK40" s="20" t="s">
        <v>80</v>
      </c>
      <c r="AL40" s="15">
        <v>2.8322440087145999</v>
      </c>
      <c r="AM40" s="20" t="s">
        <v>80</v>
      </c>
      <c r="AN40" s="20" t="s">
        <v>80</v>
      </c>
      <c r="AO40" s="20" t="s">
        <v>80</v>
      </c>
      <c r="AP40" s="15">
        <v>1.4925373134328399</v>
      </c>
      <c r="AQ40" s="20" t="s">
        <v>80</v>
      </c>
      <c r="AR40" s="26" t="s">
        <v>80</v>
      </c>
      <c r="AS40" s="38"/>
    </row>
    <row r="41" spans="1:45">
      <c r="A41" s="9" t="s">
        <v>199</v>
      </c>
      <c r="B41" s="36">
        <v>3.03330481375529</v>
      </c>
      <c r="C41" s="32">
        <v>2.9900210093774802</v>
      </c>
      <c r="D41" s="32">
        <v>3.2423575032130501</v>
      </c>
      <c r="E41" s="32">
        <v>3.4293179768620101</v>
      </c>
      <c r="F41" s="20" t="s">
        <v>80</v>
      </c>
      <c r="G41" s="20" t="s">
        <v>80</v>
      </c>
      <c r="H41" s="15">
        <v>2.7932960893854699</v>
      </c>
      <c r="I41" s="15">
        <v>6.9306930693069297</v>
      </c>
      <c r="J41" s="20" t="s">
        <v>80</v>
      </c>
      <c r="K41" s="20" t="s">
        <v>80</v>
      </c>
      <c r="L41" s="20" t="s">
        <v>80</v>
      </c>
      <c r="M41" s="20" t="s">
        <v>80</v>
      </c>
      <c r="N41" s="15">
        <v>4.1666666666666696</v>
      </c>
      <c r="O41" s="20" t="s">
        <v>80</v>
      </c>
      <c r="P41" s="15">
        <v>4.1322314049586799</v>
      </c>
      <c r="Q41" s="20" t="s">
        <v>80</v>
      </c>
      <c r="R41" s="20" t="s">
        <v>80</v>
      </c>
      <c r="S41" s="20" t="s">
        <v>80</v>
      </c>
      <c r="T41" s="20" t="s">
        <v>80</v>
      </c>
      <c r="U41" s="20" t="s">
        <v>80</v>
      </c>
      <c r="V41" s="20" t="s">
        <v>80</v>
      </c>
      <c r="W41" s="20" t="s">
        <v>80</v>
      </c>
      <c r="X41" s="15">
        <v>6.3063063063063103</v>
      </c>
      <c r="Y41" s="20" t="s">
        <v>80</v>
      </c>
      <c r="Z41" s="20" t="s">
        <v>80</v>
      </c>
      <c r="AA41" s="20" t="s">
        <v>80</v>
      </c>
      <c r="AB41" s="20" t="s">
        <v>80</v>
      </c>
      <c r="AC41" s="20" t="s">
        <v>80</v>
      </c>
      <c r="AD41" s="20" t="s">
        <v>80</v>
      </c>
      <c r="AE41" s="20" t="s">
        <v>80</v>
      </c>
      <c r="AF41" s="20" t="s">
        <v>80</v>
      </c>
      <c r="AG41" s="20" t="s">
        <v>80</v>
      </c>
      <c r="AH41" s="20" t="s">
        <v>80</v>
      </c>
      <c r="AI41" s="20" t="s">
        <v>80</v>
      </c>
      <c r="AJ41" s="32">
        <v>3.0787938849068999</v>
      </c>
      <c r="AK41" s="15">
        <v>2.0710059171597601</v>
      </c>
      <c r="AL41" s="15">
        <v>3.4858387799564299</v>
      </c>
      <c r="AM41" s="15">
        <v>2.52525252525253</v>
      </c>
      <c r="AN41" s="15">
        <v>4.3795620437956204</v>
      </c>
      <c r="AO41" s="15">
        <v>4.19161676646707</v>
      </c>
      <c r="AP41" s="15">
        <v>3.41151385927505</v>
      </c>
      <c r="AQ41" s="20" t="s">
        <v>80</v>
      </c>
      <c r="AR41" s="24">
        <v>3.6363636363636398</v>
      </c>
      <c r="AS41" s="38"/>
    </row>
    <row r="42" spans="1:45">
      <c r="A42" s="9" t="s">
        <v>200</v>
      </c>
      <c r="B42" s="36">
        <v>1.2276474341044501</v>
      </c>
      <c r="C42" s="32">
        <v>1.25508747554933</v>
      </c>
      <c r="D42" s="32">
        <v>2.5586633175024098</v>
      </c>
      <c r="E42" s="32">
        <v>3.0100647066010602</v>
      </c>
      <c r="F42" s="20" t="s">
        <v>80</v>
      </c>
      <c r="G42" s="20" t="s">
        <v>80</v>
      </c>
      <c r="H42" s="15">
        <v>2.7932960893854699</v>
      </c>
      <c r="I42" s="20" t="s">
        <v>80</v>
      </c>
      <c r="J42" s="20" t="s">
        <v>80</v>
      </c>
      <c r="K42" s="20" t="s">
        <v>80</v>
      </c>
      <c r="L42" s="20" t="s">
        <v>80</v>
      </c>
      <c r="M42" s="20" t="s">
        <v>80</v>
      </c>
      <c r="N42" s="20" t="s">
        <v>80</v>
      </c>
      <c r="O42" s="20" t="s">
        <v>80</v>
      </c>
      <c r="P42" s="20" t="s">
        <v>80</v>
      </c>
      <c r="Q42" s="20" t="s">
        <v>80</v>
      </c>
      <c r="R42" s="20" t="s">
        <v>80</v>
      </c>
      <c r="S42" s="15">
        <v>19.565217391304301</v>
      </c>
      <c r="T42" s="20" t="s">
        <v>80</v>
      </c>
      <c r="U42" s="15">
        <v>14.285714285714301</v>
      </c>
      <c r="V42" s="20" t="s">
        <v>80</v>
      </c>
      <c r="W42" s="20" t="s">
        <v>80</v>
      </c>
      <c r="X42" s="20" t="s">
        <v>80</v>
      </c>
      <c r="Y42" s="20" t="s">
        <v>80</v>
      </c>
      <c r="Z42" s="20" t="s">
        <v>80</v>
      </c>
      <c r="AA42" s="20" t="s">
        <v>80</v>
      </c>
      <c r="AB42" s="20" t="s">
        <v>80</v>
      </c>
      <c r="AC42" s="20" t="s">
        <v>80</v>
      </c>
      <c r="AD42" s="20" t="s">
        <v>80</v>
      </c>
      <c r="AE42" s="20" t="s">
        <v>80</v>
      </c>
      <c r="AF42" s="20" t="s">
        <v>80</v>
      </c>
      <c r="AG42" s="20" t="s">
        <v>80</v>
      </c>
      <c r="AH42" s="20" t="s">
        <v>80</v>
      </c>
      <c r="AI42" s="20" t="s">
        <v>80</v>
      </c>
      <c r="AJ42" s="32">
        <v>2.16375179920988</v>
      </c>
      <c r="AK42" s="15">
        <v>1.0355029585798801</v>
      </c>
      <c r="AL42" s="15">
        <v>1.7429193899782101</v>
      </c>
      <c r="AM42" s="15">
        <v>6.5656565656565702</v>
      </c>
      <c r="AN42" s="20" t="s">
        <v>80</v>
      </c>
      <c r="AO42" s="15">
        <v>2.6946107784431099</v>
      </c>
      <c r="AP42" s="15">
        <v>1.9189765458422201</v>
      </c>
      <c r="AQ42" s="20" t="s">
        <v>80</v>
      </c>
      <c r="AR42" s="26" t="s">
        <v>80</v>
      </c>
      <c r="AS42" s="38"/>
    </row>
    <row r="43" spans="1:45">
      <c r="A43" s="9" t="s">
        <v>201</v>
      </c>
      <c r="B43" s="36">
        <v>12.193386761295899</v>
      </c>
      <c r="C43" s="32">
        <v>16.894908401515401</v>
      </c>
      <c r="D43" s="32">
        <v>16.142543481753702</v>
      </c>
      <c r="E43" s="32">
        <v>14.522952420348901</v>
      </c>
      <c r="F43" s="20" t="s">
        <v>80</v>
      </c>
      <c r="G43" s="20" t="s">
        <v>80</v>
      </c>
      <c r="H43" s="15">
        <v>11.731843575418999</v>
      </c>
      <c r="I43" s="15">
        <v>15.841584158415801</v>
      </c>
      <c r="J43" s="15">
        <v>14.285714285714301</v>
      </c>
      <c r="K43" s="20" t="s">
        <v>80</v>
      </c>
      <c r="L43" s="15">
        <v>14.953271028037401</v>
      </c>
      <c r="M43" s="15">
        <v>9.5238095238095202</v>
      </c>
      <c r="N43" s="15">
        <v>11.1111111111111</v>
      </c>
      <c r="O43" s="15">
        <v>22.580645161290299</v>
      </c>
      <c r="P43" s="15">
        <v>19.008264462809901</v>
      </c>
      <c r="Q43" s="15">
        <v>26.470588235294102</v>
      </c>
      <c r="R43" s="15">
        <v>12.7659574468085</v>
      </c>
      <c r="S43" s="15">
        <v>13.0434782608696</v>
      </c>
      <c r="T43" s="15">
        <v>13.953488372093</v>
      </c>
      <c r="U43" s="15">
        <v>14.285714285714301</v>
      </c>
      <c r="V43" s="15">
        <v>21.052631578947398</v>
      </c>
      <c r="W43" s="15">
        <v>10.869565217391299</v>
      </c>
      <c r="X43" s="15">
        <v>20.720720720720699</v>
      </c>
      <c r="Y43" s="15">
        <v>9.8484848484848495</v>
      </c>
      <c r="Z43" s="15">
        <v>20.689655172413801</v>
      </c>
      <c r="AA43" s="20" t="s">
        <v>80</v>
      </c>
      <c r="AB43" s="20" t="s">
        <v>80</v>
      </c>
      <c r="AC43" s="15">
        <v>21.428571428571399</v>
      </c>
      <c r="AD43" s="15">
        <v>17.3913043478261</v>
      </c>
      <c r="AE43" s="15">
        <v>30.303030303030301</v>
      </c>
      <c r="AF43" s="15">
        <v>11.363636363636401</v>
      </c>
      <c r="AG43" s="20" t="s">
        <v>80</v>
      </c>
      <c r="AH43" s="15">
        <v>26.881720430107499</v>
      </c>
      <c r="AI43" s="15">
        <v>21.428571428571399</v>
      </c>
      <c r="AJ43" s="32">
        <v>17.5594535323619</v>
      </c>
      <c r="AK43" s="15">
        <v>15.236686390532499</v>
      </c>
      <c r="AL43" s="15">
        <v>12.8540305010893</v>
      </c>
      <c r="AM43" s="15">
        <v>18.181818181818201</v>
      </c>
      <c r="AN43" s="15">
        <v>23.3576642335766</v>
      </c>
      <c r="AO43" s="15">
        <v>17.964071856287401</v>
      </c>
      <c r="AP43" s="15">
        <v>18.5501066098081</v>
      </c>
      <c r="AQ43" s="15">
        <v>19.117647058823501</v>
      </c>
      <c r="AR43" s="24">
        <v>27.575757575757599</v>
      </c>
      <c r="AS43" s="38"/>
    </row>
    <row r="44" spans="1:45">
      <c r="A44" s="9" t="s">
        <v>202</v>
      </c>
      <c r="B44" s="36">
        <v>9.3784669420420101</v>
      </c>
      <c r="C44" s="32">
        <v>9.9293494597654295</v>
      </c>
      <c r="D44" s="32">
        <v>10.1169749329</v>
      </c>
      <c r="E44" s="32">
        <v>10.9180236663511</v>
      </c>
      <c r="F44" s="15">
        <v>13.7254901960784</v>
      </c>
      <c r="G44" s="20" t="s">
        <v>80</v>
      </c>
      <c r="H44" s="15">
        <v>6.1452513966480398</v>
      </c>
      <c r="I44" s="15">
        <v>10.891089108910901</v>
      </c>
      <c r="J44" s="15">
        <v>15.714285714285699</v>
      </c>
      <c r="K44" s="20" t="s">
        <v>80</v>
      </c>
      <c r="L44" s="15">
        <v>14.018691588785</v>
      </c>
      <c r="M44" s="15">
        <v>19.047619047619001</v>
      </c>
      <c r="N44" s="15">
        <v>6.9444444444444402</v>
      </c>
      <c r="O44" s="15">
        <v>8.8709677419354804</v>
      </c>
      <c r="P44" s="15">
        <v>20.6611570247934</v>
      </c>
      <c r="Q44" s="15">
        <v>20.588235294117599</v>
      </c>
      <c r="R44" s="20" t="s">
        <v>80</v>
      </c>
      <c r="S44" s="15">
        <v>13.0434782608696</v>
      </c>
      <c r="T44" s="15">
        <v>13.953488372093</v>
      </c>
      <c r="U44" s="15">
        <v>12.5</v>
      </c>
      <c r="V44" s="15">
        <v>18.421052631578899</v>
      </c>
      <c r="W44" s="20" t="s">
        <v>80</v>
      </c>
      <c r="X44" s="15">
        <v>14.4144144144144</v>
      </c>
      <c r="Y44" s="15">
        <v>8.3333333333333304</v>
      </c>
      <c r="Z44" s="20" t="s">
        <v>80</v>
      </c>
      <c r="AA44" s="20" t="s">
        <v>80</v>
      </c>
      <c r="AB44" s="20" t="s">
        <v>80</v>
      </c>
      <c r="AC44" s="20" t="s">
        <v>80</v>
      </c>
      <c r="AD44" s="20" t="s">
        <v>80</v>
      </c>
      <c r="AE44" s="20" t="s">
        <v>80</v>
      </c>
      <c r="AF44" s="20" t="s">
        <v>80</v>
      </c>
      <c r="AG44" s="20" t="s">
        <v>80</v>
      </c>
      <c r="AH44" s="15">
        <v>11.8279569892473</v>
      </c>
      <c r="AI44" s="20" t="s">
        <v>80</v>
      </c>
      <c r="AJ44" s="32">
        <v>9.4161721015547606</v>
      </c>
      <c r="AK44" s="15">
        <v>9.1715976331360896</v>
      </c>
      <c r="AL44" s="15">
        <v>6.97167755991285</v>
      </c>
      <c r="AM44" s="15">
        <v>8.5858585858585901</v>
      </c>
      <c r="AN44" s="15">
        <v>12.408759124087601</v>
      </c>
      <c r="AO44" s="15">
        <v>6.88622754491018</v>
      </c>
      <c r="AP44" s="15">
        <v>9.1684434968017108</v>
      </c>
      <c r="AQ44" s="15">
        <v>5.1470588235294104</v>
      </c>
      <c r="AR44" s="24">
        <v>12.424242424242401</v>
      </c>
      <c r="AS44" s="38"/>
    </row>
    <row r="45" spans="1:45">
      <c r="A45" s="9" t="s">
        <v>203</v>
      </c>
      <c r="B45" s="36">
        <v>1.14425758213735</v>
      </c>
      <c r="C45" s="32">
        <v>1.18989321757543</v>
      </c>
      <c r="D45" s="32">
        <v>2.7694292137846901</v>
      </c>
      <c r="E45" s="32">
        <v>2.5775100268506699</v>
      </c>
      <c r="F45" s="20" t="s">
        <v>80</v>
      </c>
      <c r="G45" s="20" t="s">
        <v>80</v>
      </c>
      <c r="H45" s="20" t="s">
        <v>80</v>
      </c>
      <c r="I45" s="20" t="s">
        <v>80</v>
      </c>
      <c r="J45" s="20" t="s">
        <v>80</v>
      </c>
      <c r="K45" s="20" t="s">
        <v>80</v>
      </c>
      <c r="L45" s="20" t="s">
        <v>80</v>
      </c>
      <c r="M45" s="20" t="s">
        <v>80</v>
      </c>
      <c r="N45" s="15">
        <v>4.1666666666666696</v>
      </c>
      <c r="O45" s="20" t="s">
        <v>80</v>
      </c>
      <c r="P45" s="20" t="s">
        <v>80</v>
      </c>
      <c r="Q45" s="20" t="s">
        <v>80</v>
      </c>
      <c r="R45" s="20" t="s">
        <v>80</v>
      </c>
      <c r="S45" s="20" t="s">
        <v>80</v>
      </c>
      <c r="T45" s="20" t="s">
        <v>80</v>
      </c>
      <c r="U45" s="20" t="s">
        <v>80</v>
      </c>
      <c r="V45" s="20" t="s">
        <v>80</v>
      </c>
      <c r="W45" s="20" t="s">
        <v>80</v>
      </c>
      <c r="X45" s="15">
        <v>5.4054054054054097</v>
      </c>
      <c r="Y45" s="20" t="s">
        <v>80</v>
      </c>
      <c r="Z45" s="20" t="s">
        <v>80</v>
      </c>
      <c r="AA45" s="20" t="s">
        <v>80</v>
      </c>
      <c r="AB45" s="20" t="s">
        <v>80</v>
      </c>
      <c r="AC45" s="20" t="s">
        <v>80</v>
      </c>
      <c r="AD45" s="20" t="s">
        <v>80</v>
      </c>
      <c r="AE45" s="20" t="s">
        <v>80</v>
      </c>
      <c r="AF45" s="20" t="s">
        <v>80</v>
      </c>
      <c r="AG45" s="20" t="s">
        <v>80</v>
      </c>
      <c r="AH45" s="15">
        <v>5.3763440860215104</v>
      </c>
      <c r="AI45" s="20" t="s">
        <v>80</v>
      </c>
      <c r="AJ45" s="32">
        <v>2.93733099550699</v>
      </c>
      <c r="AK45" s="15">
        <v>2.5147928994082802</v>
      </c>
      <c r="AL45" s="15">
        <v>4.3572984749455301</v>
      </c>
      <c r="AM45" s="15">
        <v>5.5555555555555598</v>
      </c>
      <c r="AN45" s="15">
        <v>5.8394160583941597</v>
      </c>
      <c r="AO45" s="15">
        <v>3.2934131736526902</v>
      </c>
      <c r="AP45" s="15">
        <v>1.2793176972281399</v>
      </c>
      <c r="AQ45" s="15">
        <v>3.6764705882352899</v>
      </c>
      <c r="AR45" s="26" t="s">
        <v>80</v>
      </c>
      <c r="AS45" s="38"/>
    </row>
    <row r="46" spans="1:45">
      <c r="A46" s="9" t="s">
        <v>204</v>
      </c>
      <c r="B46" s="36">
        <v>1.6461325806109699</v>
      </c>
      <c r="C46" s="32">
        <v>1.6818185781747099</v>
      </c>
      <c r="D46" s="32">
        <v>1.7848654696452799</v>
      </c>
      <c r="E46" s="32">
        <v>2.8474784887086799</v>
      </c>
      <c r="F46" s="20" t="s">
        <v>80</v>
      </c>
      <c r="G46" s="20" t="s">
        <v>80</v>
      </c>
      <c r="H46" s="20" t="s">
        <v>80</v>
      </c>
      <c r="I46" s="15">
        <v>5.9405940594059397</v>
      </c>
      <c r="J46" s="20" t="s">
        <v>80</v>
      </c>
      <c r="K46" s="20" t="s">
        <v>80</v>
      </c>
      <c r="L46" s="15">
        <v>4.6728971962616797</v>
      </c>
      <c r="M46" s="20" t="s">
        <v>80</v>
      </c>
      <c r="N46" s="20" t="s">
        <v>80</v>
      </c>
      <c r="O46" s="15">
        <v>4.8387096774193497</v>
      </c>
      <c r="P46" s="20" t="s">
        <v>80</v>
      </c>
      <c r="Q46" s="20" t="s">
        <v>80</v>
      </c>
      <c r="R46" s="20" t="s">
        <v>80</v>
      </c>
      <c r="S46" s="20" t="s">
        <v>80</v>
      </c>
      <c r="T46" s="20" t="s">
        <v>80</v>
      </c>
      <c r="U46" s="20" t="s">
        <v>80</v>
      </c>
      <c r="V46" s="20" t="s">
        <v>80</v>
      </c>
      <c r="W46" s="20" t="s">
        <v>80</v>
      </c>
      <c r="X46" s="15">
        <v>7.20720720720721</v>
      </c>
      <c r="Y46" s="15">
        <v>3.7878787878787898</v>
      </c>
      <c r="Z46" s="20" t="s">
        <v>80</v>
      </c>
      <c r="AA46" s="20" t="s">
        <v>80</v>
      </c>
      <c r="AB46" s="20" t="s">
        <v>80</v>
      </c>
      <c r="AC46" s="20" t="s">
        <v>80</v>
      </c>
      <c r="AD46" s="20" t="s">
        <v>80</v>
      </c>
      <c r="AE46" s="20" t="s">
        <v>80</v>
      </c>
      <c r="AF46" s="20" t="s">
        <v>80</v>
      </c>
      <c r="AG46" s="20" t="s">
        <v>80</v>
      </c>
      <c r="AH46" s="15">
        <v>6.4516129032258096</v>
      </c>
      <c r="AI46" s="20" t="s">
        <v>80</v>
      </c>
      <c r="AJ46" s="32">
        <v>0.85523137712807196</v>
      </c>
      <c r="AK46" s="15">
        <v>0.88757396449704096</v>
      </c>
      <c r="AL46" s="20" t="s">
        <v>80</v>
      </c>
      <c r="AM46" s="20" t="s">
        <v>80</v>
      </c>
      <c r="AN46" s="15">
        <v>3.6496350364963499</v>
      </c>
      <c r="AO46" s="20" t="s">
        <v>80</v>
      </c>
      <c r="AP46" s="15">
        <v>1.2793176972281399</v>
      </c>
      <c r="AQ46" s="20" t="s">
        <v>80</v>
      </c>
      <c r="AR46" s="26" t="s">
        <v>80</v>
      </c>
      <c r="AS46" s="38"/>
    </row>
    <row r="47" spans="1:45">
      <c r="A47" s="9" t="s">
        <v>205</v>
      </c>
      <c r="B47" s="36">
        <v>1.1547718029535099</v>
      </c>
      <c r="C47" s="32">
        <v>1.18623984423218</v>
      </c>
      <c r="D47" s="32">
        <v>1.20023976179315</v>
      </c>
      <c r="E47" s="32">
        <v>1.5826876916921</v>
      </c>
      <c r="F47" s="20" t="s">
        <v>80</v>
      </c>
      <c r="G47" s="20" t="s">
        <v>80</v>
      </c>
      <c r="H47" s="20" t="s">
        <v>80</v>
      </c>
      <c r="I47" s="15">
        <v>4.9504950495049496</v>
      </c>
      <c r="J47" s="20" t="s">
        <v>80</v>
      </c>
      <c r="K47" s="20" t="s">
        <v>80</v>
      </c>
      <c r="L47" s="20" t="s">
        <v>80</v>
      </c>
      <c r="M47" s="20" t="s">
        <v>80</v>
      </c>
      <c r="N47" s="20" t="s">
        <v>80</v>
      </c>
      <c r="O47" s="20" t="s">
        <v>80</v>
      </c>
      <c r="P47" s="20" t="s">
        <v>80</v>
      </c>
      <c r="Q47" s="20" t="s">
        <v>80</v>
      </c>
      <c r="R47" s="20" t="s">
        <v>80</v>
      </c>
      <c r="S47" s="20" t="s">
        <v>80</v>
      </c>
      <c r="T47" s="20" t="s">
        <v>80</v>
      </c>
      <c r="U47" s="20" t="s">
        <v>80</v>
      </c>
      <c r="V47" s="20" t="s">
        <v>80</v>
      </c>
      <c r="W47" s="20" t="s">
        <v>80</v>
      </c>
      <c r="X47" s="20" t="s">
        <v>80</v>
      </c>
      <c r="Y47" s="20" t="s">
        <v>80</v>
      </c>
      <c r="Z47" s="20" t="s">
        <v>80</v>
      </c>
      <c r="AA47" s="20" t="s">
        <v>80</v>
      </c>
      <c r="AB47" s="20" t="s">
        <v>80</v>
      </c>
      <c r="AC47" s="20" t="s">
        <v>80</v>
      </c>
      <c r="AD47" s="20" t="s">
        <v>80</v>
      </c>
      <c r="AE47" s="20" t="s">
        <v>80</v>
      </c>
      <c r="AF47" s="20" t="s">
        <v>80</v>
      </c>
      <c r="AG47" s="20" t="s">
        <v>80</v>
      </c>
      <c r="AH47" s="20" t="s">
        <v>80</v>
      </c>
      <c r="AI47" s="20" t="s">
        <v>80</v>
      </c>
      <c r="AJ47" s="34" t="s">
        <v>80</v>
      </c>
      <c r="AK47" s="20" t="s">
        <v>80</v>
      </c>
      <c r="AL47" s="20" t="s">
        <v>80</v>
      </c>
      <c r="AM47" s="20" t="s">
        <v>80</v>
      </c>
      <c r="AN47" s="20" t="s">
        <v>80</v>
      </c>
      <c r="AO47" s="20" t="s">
        <v>80</v>
      </c>
      <c r="AP47" s="15">
        <v>1.0660980810234499</v>
      </c>
      <c r="AQ47" s="20" t="s">
        <v>80</v>
      </c>
      <c r="AR47" s="24">
        <v>2.1212121212121202</v>
      </c>
      <c r="AS47" s="38"/>
    </row>
    <row r="48" spans="1:45">
      <c r="A48" s="9" t="s">
        <v>206</v>
      </c>
      <c r="B48" s="36">
        <v>1.3297298045799599</v>
      </c>
      <c r="C48" s="32">
        <v>1.32074886064129</v>
      </c>
      <c r="D48" s="32">
        <v>1.1245173382968501</v>
      </c>
      <c r="E48" s="34" t="s">
        <v>80</v>
      </c>
      <c r="F48" s="20" t="s">
        <v>80</v>
      </c>
      <c r="G48" s="20" t="s">
        <v>80</v>
      </c>
      <c r="H48" s="20" t="s">
        <v>80</v>
      </c>
      <c r="I48" s="20" t="s">
        <v>80</v>
      </c>
      <c r="J48" s="20" t="s">
        <v>80</v>
      </c>
      <c r="K48" s="20" t="s">
        <v>80</v>
      </c>
      <c r="L48" s="20" t="s">
        <v>80</v>
      </c>
      <c r="M48" s="20" t="s">
        <v>80</v>
      </c>
      <c r="N48" s="20" t="s">
        <v>80</v>
      </c>
      <c r="O48" s="20" t="s">
        <v>80</v>
      </c>
      <c r="P48" s="20" t="s">
        <v>80</v>
      </c>
      <c r="Q48" s="20" t="s">
        <v>80</v>
      </c>
      <c r="R48" s="20" t="s">
        <v>80</v>
      </c>
      <c r="S48" s="20" t="s">
        <v>80</v>
      </c>
      <c r="T48" s="20" t="s">
        <v>80</v>
      </c>
      <c r="U48" s="20" t="s">
        <v>80</v>
      </c>
      <c r="V48" s="20" t="s">
        <v>80</v>
      </c>
      <c r="W48" s="20" t="s">
        <v>80</v>
      </c>
      <c r="X48" s="20" t="s">
        <v>80</v>
      </c>
      <c r="Y48" s="20" t="s">
        <v>80</v>
      </c>
      <c r="Z48" s="20" t="s">
        <v>80</v>
      </c>
      <c r="AA48" s="20" t="s">
        <v>80</v>
      </c>
      <c r="AB48" s="20" t="s">
        <v>80</v>
      </c>
      <c r="AC48" s="20" t="s">
        <v>80</v>
      </c>
      <c r="AD48" s="20" t="s">
        <v>80</v>
      </c>
      <c r="AE48" s="20" t="s">
        <v>80</v>
      </c>
      <c r="AF48" s="20" t="s">
        <v>80</v>
      </c>
      <c r="AG48" s="20" t="s">
        <v>80</v>
      </c>
      <c r="AH48" s="20" t="s">
        <v>80</v>
      </c>
      <c r="AI48" s="20" t="s">
        <v>80</v>
      </c>
      <c r="AJ48" s="32">
        <v>1.2038881509617301</v>
      </c>
      <c r="AK48" s="15">
        <v>1.1834319526627199</v>
      </c>
      <c r="AL48" s="15">
        <v>2.3965141612200398</v>
      </c>
      <c r="AM48" s="20" t="s">
        <v>80</v>
      </c>
      <c r="AN48" s="20" t="s">
        <v>80</v>
      </c>
      <c r="AO48" s="20" t="s">
        <v>80</v>
      </c>
      <c r="AP48" s="15">
        <v>1.0660980810234499</v>
      </c>
      <c r="AQ48" s="20" t="s">
        <v>80</v>
      </c>
      <c r="AR48" s="26" t="s">
        <v>80</v>
      </c>
      <c r="AS48" s="38"/>
    </row>
    <row r="49" spans="1:45">
      <c r="A49" s="9" t="s">
        <v>207</v>
      </c>
      <c r="B49" s="36">
        <v>2.0571930750704599</v>
      </c>
      <c r="C49" s="32">
        <v>3.7169524439339501</v>
      </c>
      <c r="D49" s="32">
        <v>5.6368792359233497</v>
      </c>
      <c r="E49" s="32">
        <v>5.0566363785934296</v>
      </c>
      <c r="F49" s="20" t="s">
        <v>80</v>
      </c>
      <c r="G49" s="20" t="s">
        <v>80</v>
      </c>
      <c r="H49" s="15">
        <v>8.9385474860335208</v>
      </c>
      <c r="I49" s="15">
        <v>10.891089108910901</v>
      </c>
      <c r="J49" s="20" t="s">
        <v>80</v>
      </c>
      <c r="K49" s="20" t="s">
        <v>80</v>
      </c>
      <c r="L49" s="20" t="s">
        <v>80</v>
      </c>
      <c r="M49" s="20" t="s">
        <v>80</v>
      </c>
      <c r="N49" s="15">
        <v>3.4722222222222201</v>
      </c>
      <c r="O49" s="15">
        <v>5.6451612903225801</v>
      </c>
      <c r="P49" s="20" t="s">
        <v>80</v>
      </c>
      <c r="Q49" s="20" t="s">
        <v>80</v>
      </c>
      <c r="R49" s="20" t="s">
        <v>80</v>
      </c>
      <c r="S49" s="20" t="s">
        <v>80</v>
      </c>
      <c r="T49" s="20" t="s">
        <v>80</v>
      </c>
      <c r="U49" s="20" t="s">
        <v>80</v>
      </c>
      <c r="V49" s="20" t="s">
        <v>80</v>
      </c>
      <c r="W49" s="20" t="s">
        <v>80</v>
      </c>
      <c r="X49" s="15">
        <v>7.20720720720721</v>
      </c>
      <c r="Y49" s="15">
        <v>3.7878787878787898</v>
      </c>
      <c r="Z49" s="20" t="s">
        <v>80</v>
      </c>
      <c r="AA49" s="15">
        <v>13.0434782608696</v>
      </c>
      <c r="AB49" s="20" t="s">
        <v>80</v>
      </c>
      <c r="AC49" s="15">
        <v>16.6666666666667</v>
      </c>
      <c r="AD49" s="20" t="s">
        <v>80</v>
      </c>
      <c r="AE49" s="20" t="s">
        <v>80</v>
      </c>
      <c r="AF49" s="20" t="s">
        <v>80</v>
      </c>
      <c r="AG49" s="20" t="s">
        <v>80</v>
      </c>
      <c r="AH49" s="15">
        <v>17.204301075268798</v>
      </c>
      <c r="AI49" s="15">
        <v>8.9285714285714306</v>
      </c>
      <c r="AJ49" s="32">
        <v>6.1445085726963304</v>
      </c>
      <c r="AK49" s="15">
        <v>5.0295857988165702</v>
      </c>
      <c r="AL49" s="15">
        <v>3.7037037037037002</v>
      </c>
      <c r="AM49" s="15">
        <v>3.5353535353535399</v>
      </c>
      <c r="AN49" s="15">
        <v>9.4890510948905096</v>
      </c>
      <c r="AO49" s="15">
        <v>7.1856287425149699</v>
      </c>
      <c r="AP49" s="15">
        <v>4.6908315565032002</v>
      </c>
      <c r="AQ49" s="15">
        <v>11.764705882352899</v>
      </c>
      <c r="AR49" s="24">
        <v>11.5151515151515</v>
      </c>
      <c r="AS49" s="38"/>
    </row>
    <row r="50" spans="1:45">
      <c r="A50" s="9" t="s">
        <v>208</v>
      </c>
      <c r="B50" s="36">
        <v>19.057013844204398</v>
      </c>
      <c r="C50" s="32">
        <v>19.6136806211825</v>
      </c>
      <c r="D50" s="32">
        <v>21.395951471167098</v>
      </c>
      <c r="E50" s="32">
        <v>29.294582847751499</v>
      </c>
      <c r="F50" s="15">
        <v>29.411764705882401</v>
      </c>
      <c r="G50" s="15">
        <v>22.727272727272702</v>
      </c>
      <c r="H50" s="15">
        <v>20.670391061452499</v>
      </c>
      <c r="I50" s="15">
        <v>29.702970297029701</v>
      </c>
      <c r="J50" s="15">
        <v>24.285714285714299</v>
      </c>
      <c r="K50" s="15">
        <v>24.324324324324301</v>
      </c>
      <c r="L50" s="15">
        <v>21.495327102803699</v>
      </c>
      <c r="M50" s="15">
        <v>26.1904761904762</v>
      </c>
      <c r="N50" s="15">
        <v>18.75</v>
      </c>
      <c r="O50" s="15">
        <v>36.290322580645203</v>
      </c>
      <c r="P50" s="15">
        <v>32.2314049586777</v>
      </c>
      <c r="Q50" s="15">
        <v>32.352941176470601</v>
      </c>
      <c r="R50" s="15">
        <v>31.914893617021299</v>
      </c>
      <c r="S50" s="15">
        <v>34.7826086956522</v>
      </c>
      <c r="T50" s="15">
        <v>27.906976744186</v>
      </c>
      <c r="U50" s="15">
        <v>26.785714285714299</v>
      </c>
      <c r="V50" s="15">
        <v>39.473684210526301</v>
      </c>
      <c r="W50" s="15">
        <v>19.565217391304301</v>
      </c>
      <c r="X50" s="15">
        <v>37.837837837837803</v>
      </c>
      <c r="Y50" s="15">
        <v>21.2121212121212</v>
      </c>
      <c r="Z50" s="15">
        <v>31.034482758620701</v>
      </c>
      <c r="AA50" s="15">
        <v>34.7826086956522</v>
      </c>
      <c r="AB50" s="15">
        <v>68.181818181818201</v>
      </c>
      <c r="AC50" s="15">
        <v>42.857142857142897</v>
      </c>
      <c r="AD50" s="15">
        <v>39.130434782608702</v>
      </c>
      <c r="AE50" s="15">
        <v>60.606060606060602</v>
      </c>
      <c r="AF50" s="15">
        <v>43.181818181818201</v>
      </c>
      <c r="AG50" s="15">
        <v>33.3333333333333</v>
      </c>
      <c r="AH50" s="15">
        <v>43.010752688171998</v>
      </c>
      <c r="AI50" s="15">
        <v>35.714285714285701</v>
      </c>
      <c r="AJ50" s="32">
        <v>14.4857810891298</v>
      </c>
      <c r="AK50" s="15">
        <v>11.538461538461499</v>
      </c>
      <c r="AL50" s="15">
        <v>11.982570806100201</v>
      </c>
      <c r="AM50" s="15">
        <v>15.6565656565657</v>
      </c>
      <c r="AN50" s="15">
        <v>25.5474452554745</v>
      </c>
      <c r="AO50" s="15">
        <v>18.562874251497</v>
      </c>
      <c r="AP50" s="15">
        <v>15.138592750533</v>
      </c>
      <c r="AQ50" s="15">
        <v>13.235294117647101</v>
      </c>
      <c r="AR50" s="24">
        <v>25.151515151515198</v>
      </c>
      <c r="AS50" s="38"/>
    </row>
    <row r="51" spans="1:45">
      <c r="A51" s="9" t="s">
        <v>209</v>
      </c>
      <c r="B51" s="36">
        <v>3.2453803719383001</v>
      </c>
      <c r="C51" s="32">
        <v>2.9749820012858499</v>
      </c>
      <c r="D51" s="32">
        <v>2.37580147631021</v>
      </c>
      <c r="E51" s="32">
        <v>3.2803827844221098</v>
      </c>
      <c r="F51" s="20" t="s">
        <v>80</v>
      </c>
      <c r="G51" s="20" t="s">
        <v>80</v>
      </c>
      <c r="H51" s="20" t="s">
        <v>80</v>
      </c>
      <c r="I51" s="15">
        <v>5.9405940594059397</v>
      </c>
      <c r="J51" s="20" t="s">
        <v>80</v>
      </c>
      <c r="K51" s="20" t="s">
        <v>80</v>
      </c>
      <c r="L51" s="20" t="s">
        <v>80</v>
      </c>
      <c r="M51" s="20" t="s">
        <v>80</v>
      </c>
      <c r="N51" s="15">
        <v>6.9444444444444402</v>
      </c>
      <c r="O51" s="20" t="s">
        <v>80</v>
      </c>
      <c r="P51" s="20" t="s">
        <v>80</v>
      </c>
      <c r="Q51" s="20" t="s">
        <v>80</v>
      </c>
      <c r="R51" s="20" t="s">
        <v>80</v>
      </c>
      <c r="S51" s="20" t="s">
        <v>80</v>
      </c>
      <c r="T51" s="20" t="s">
        <v>80</v>
      </c>
      <c r="U51" s="20" t="s">
        <v>80</v>
      </c>
      <c r="V51" s="20" t="s">
        <v>80</v>
      </c>
      <c r="W51" s="20" t="s">
        <v>80</v>
      </c>
      <c r="X51" s="15">
        <v>5.4054054054054097</v>
      </c>
      <c r="Y51" s="20" t="s">
        <v>80</v>
      </c>
      <c r="Z51" s="20" t="s">
        <v>80</v>
      </c>
      <c r="AA51" s="20" t="s">
        <v>80</v>
      </c>
      <c r="AB51" s="20" t="s">
        <v>80</v>
      </c>
      <c r="AC51" s="20" t="s">
        <v>80</v>
      </c>
      <c r="AD51" s="20" t="s">
        <v>80</v>
      </c>
      <c r="AE51" s="20" t="s">
        <v>80</v>
      </c>
      <c r="AF51" s="20" t="s">
        <v>80</v>
      </c>
      <c r="AG51" s="20" t="s">
        <v>80</v>
      </c>
      <c r="AH51" s="15">
        <v>8.6021505376344098</v>
      </c>
      <c r="AI51" s="20" t="s">
        <v>80</v>
      </c>
      <c r="AJ51" s="32">
        <v>1.5844224809579399</v>
      </c>
      <c r="AK51" s="15">
        <v>1.33136094674556</v>
      </c>
      <c r="AL51" s="15">
        <v>4.1394335511982598</v>
      </c>
      <c r="AM51" s="15">
        <v>2.52525252525253</v>
      </c>
      <c r="AN51" s="15">
        <v>3.6496350364963499</v>
      </c>
      <c r="AO51" s="15">
        <v>2.9940119760478998</v>
      </c>
      <c r="AP51" s="15">
        <v>1.2793176972281399</v>
      </c>
      <c r="AQ51" s="20" t="s">
        <v>80</v>
      </c>
      <c r="AR51" s="24">
        <v>1.51515151515152</v>
      </c>
      <c r="AS51" s="38"/>
    </row>
    <row r="52" spans="1:45">
      <c r="A52" s="9" t="s">
        <v>210</v>
      </c>
      <c r="B52" s="36">
        <v>2.1709497229103798</v>
      </c>
      <c r="C52" s="32">
        <v>2.2056477513734198</v>
      </c>
      <c r="D52" s="32">
        <v>2.3928338543669998</v>
      </c>
      <c r="E52" s="32">
        <v>2.3479578966045298</v>
      </c>
      <c r="F52" s="20" t="s">
        <v>80</v>
      </c>
      <c r="G52" s="20" t="s">
        <v>80</v>
      </c>
      <c r="H52" s="20" t="s">
        <v>80</v>
      </c>
      <c r="I52" s="20" t="s">
        <v>80</v>
      </c>
      <c r="J52" s="20" t="s">
        <v>80</v>
      </c>
      <c r="K52" s="20" t="s">
        <v>80</v>
      </c>
      <c r="L52" s="20" t="s">
        <v>80</v>
      </c>
      <c r="M52" s="20" t="s">
        <v>80</v>
      </c>
      <c r="N52" s="20" t="s">
        <v>80</v>
      </c>
      <c r="O52" s="20" t="s">
        <v>80</v>
      </c>
      <c r="P52" s="20" t="s">
        <v>80</v>
      </c>
      <c r="Q52" s="20" t="s">
        <v>80</v>
      </c>
      <c r="R52" s="20" t="s">
        <v>80</v>
      </c>
      <c r="S52" s="20" t="s">
        <v>80</v>
      </c>
      <c r="T52" s="20" t="s">
        <v>80</v>
      </c>
      <c r="U52" s="15">
        <v>8.9285714285714306</v>
      </c>
      <c r="V52" s="20" t="s">
        <v>80</v>
      </c>
      <c r="W52" s="20" t="s">
        <v>80</v>
      </c>
      <c r="X52" s="20" t="s">
        <v>80</v>
      </c>
      <c r="Y52" s="20" t="s">
        <v>80</v>
      </c>
      <c r="Z52" s="20" t="s">
        <v>80</v>
      </c>
      <c r="AA52" s="20" t="s">
        <v>80</v>
      </c>
      <c r="AB52" s="20" t="s">
        <v>80</v>
      </c>
      <c r="AC52" s="20" t="s">
        <v>80</v>
      </c>
      <c r="AD52" s="20" t="s">
        <v>80</v>
      </c>
      <c r="AE52" s="20" t="s">
        <v>80</v>
      </c>
      <c r="AF52" s="20" t="s">
        <v>80</v>
      </c>
      <c r="AG52" s="20" t="s">
        <v>80</v>
      </c>
      <c r="AH52" s="20" t="s">
        <v>80</v>
      </c>
      <c r="AI52" s="20" t="s">
        <v>80</v>
      </c>
      <c r="AJ52" s="32">
        <v>2.4320938855560801</v>
      </c>
      <c r="AK52" s="15">
        <v>3.10650887573965</v>
      </c>
      <c r="AL52" s="15">
        <v>3.2679738562091498</v>
      </c>
      <c r="AM52" s="20" t="s">
        <v>80</v>
      </c>
      <c r="AN52" s="15">
        <v>5.10948905109489</v>
      </c>
      <c r="AO52" s="15">
        <v>3.2934131736526902</v>
      </c>
      <c r="AP52" s="15">
        <v>2.7718550106609801</v>
      </c>
      <c r="AQ52" s="20" t="s">
        <v>80</v>
      </c>
      <c r="AR52" s="24">
        <v>2.1212121212121202</v>
      </c>
      <c r="AS52" s="38"/>
    </row>
    <row r="53" spans="1:45">
      <c r="A53" s="9" t="s">
        <v>211</v>
      </c>
      <c r="B53" s="36">
        <v>5.6523380700152401</v>
      </c>
      <c r="C53" s="32">
        <v>5.1969807139321196</v>
      </c>
      <c r="D53" s="32">
        <v>5.3226262014480001</v>
      </c>
      <c r="E53" s="32">
        <v>5.8158241543806897</v>
      </c>
      <c r="F53" s="20" t="s">
        <v>80</v>
      </c>
      <c r="G53" s="20" t="s">
        <v>80</v>
      </c>
      <c r="H53" s="15">
        <v>4.4692737430167604</v>
      </c>
      <c r="I53" s="15">
        <v>5.9405940594059397</v>
      </c>
      <c r="J53" s="15">
        <v>7.1428571428571397</v>
      </c>
      <c r="K53" s="20" t="s">
        <v>80</v>
      </c>
      <c r="L53" s="15">
        <v>4.6728971962616797</v>
      </c>
      <c r="M53" s="15">
        <v>10.714285714285699</v>
      </c>
      <c r="N53" s="15">
        <v>4.8611111111111098</v>
      </c>
      <c r="O53" s="20" t="s">
        <v>80</v>
      </c>
      <c r="P53" s="20" t="s">
        <v>80</v>
      </c>
      <c r="Q53" s="20" t="s">
        <v>80</v>
      </c>
      <c r="R53" s="15">
        <v>10.6382978723404</v>
      </c>
      <c r="S53" s="20" t="s">
        <v>80</v>
      </c>
      <c r="T53" s="20" t="s">
        <v>80</v>
      </c>
      <c r="U53" s="15">
        <v>10.714285714285699</v>
      </c>
      <c r="V53" s="15">
        <v>18.421052631578899</v>
      </c>
      <c r="W53" s="20" t="s">
        <v>80</v>
      </c>
      <c r="X53" s="15">
        <v>12.612612612612599</v>
      </c>
      <c r="Y53" s="15">
        <v>6.0606060606060597</v>
      </c>
      <c r="Z53" s="20" t="s">
        <v>80</v>
      </c>
      <c r="AA53" s="15">
        <v>10.869565217391299</v>
      </c>
      <c r="AB53" s="20" t="s">
        <v>80</v>
      </c>
      <c r="AC53" s="20" t="s">
        <v>80</v>
      </c>
      <c r="AD53" s="20" t="s">
        <v>80</v>
      </c>
      <c r="AE53" s="20" t="s">
        <v>80</v>
      </c>
      <c r="AF53" s="20" t="s">
        <v>80</v>
      </c>
      <c r="AG53" s="20" t="s">
        <v>80</v>
      </c>
      <c r="AH53" s="15">
        <v>13.9784946236559</v>
      </c>
      <c r="AI53" s="20" t="s">
        <v>80</v>
      </c>
      <c r="AJ53" s="32">
        <v>4.8911486802991799</v>
      </c>
      <c r="AK53" s="15">
        <v>5.6213017751479297</v>
      </c>
      <c r="AL53" s="15">
        <v>2.8322440087145999</v>
      </c>
      <c r="AM53" s="15">
        <v>3.5353535353535399</v>
      </c>
      <c r="AN53" s="15">
        <v>11.6788321167883</v>
      </c>
      <c r="AO53" s="15">
        <v>5.3892215568862296</v>
      </c>
      <c r="AP53" s="15">
        <v>2.98507462686567</v>
      </c>
      <c r="AQ53" s="15">
        <v>13.9705882352941</v>
      </c>
      <c r="AR53" s="24">
        <v>3.0303030303030298</v>
      </c>
      <c r="AS53" s="38"/>
    </row>
    <row r="54" spans="1:45">
      <c r="A54" s="9" t="s">
        <v>212</v>
      </c>
      <c r="B54" s="36">
        <v>3.5753889155289502</v>
      </c>
      <c r="C54" s="32">
        <v>3.3707402013005501</v>
      </c>
      <c r="D54" s="32">
        <v>3.7879113772252002</v>
      </c>
      <c r="E54" s="32">
        <v>4.8202779581147501</v>
      </c>
      <c r="F54" s="15">
        <v>9.8039215686274499</v>
      </c>
      <c r="G54" s="15">
        <v>22.727272727272702</v>
      </c>
      <c r="H54" s="20" t="s">
        <v>80</v>
      </c>
      <c r="I54" s="15">
        <v>9.9009900990098991</v>
      </c>
      <c r="J54" s="20" t="s">
        <v>80</v>
      </c>
      <c r="K54" s="20" t="s">
        <v>80</v>
      </c>
      <c r="L54" s="15">
        <v>5.6074766355140202</v>
      </c>
      <c r="M54" s="20" t="s">
        <v>80</v>
      </c>
      <c r="N54" s="15">
        <v>6.9444444444444402</v>
      </c>
      <c r="O54" s="15">
        <v>5.6451612903225801</v>
      </c>
      <c r="P54" s="20" t="s">
        <v>80</v>
      </c>
      <c r="Q54" s="20" t="s">
        <v>80</v>
      </c>
      <c r="R54" s="20" t="s">
        <v>80</v>
      </c>
      <c r="S54" s="20" t="s">
        <v>80</v>
      </c>
      <c r="T54" s="20" t="s">
        <v>80</v>
      </c>
      <c r="U54" s="20" t="s">
        <v>80</v>
      </c>
      <c r="V54" s="20" t="s">
        <v>80</v>
      </c>
      <c r="W54" s="20" t="s">
        <v>80</v>
      </c>
      <c r="X54" s="15">
        <v>5.4054054054054097</v>
      </c>
      <c r="Y54" s="15">
        <v>3.7878787878787898</v>
      </c>
      <c r="Z54" s="20" t="s">
        <v>80</v>
      </c>
      <c r="AA54" s="20" t="s">
        <v>80</v>
      </c>
      <c r="AB54" s="20" t="s">
        <v>80</v>
      </c>
      <c r="AC54" s="20" t="s">
        <v>80</v>
      </c>
      <c r="AD54" s="20" t="s">
        <v>80</v>
      </c>
      <c r="AE54" s="20" t="s">
        <v>80</v>
      </c>
      <c r="AF54" s="20" t="s">
        <v>80</v>
      </c>
      <c r="AG54" s="20" t="s">
        <v>80</v>
      </c>
      <c r="AH54" s="15">
        <v>6.4516129032258096</v>
      </c>
      <c r="AI54" s="20" t="s">
        <v>80</v>
      </c>
      <c r="AJ54" s="32">
        <v>2.8847385830350101</v>
      </c>
      <c r="AK54" s="15">
        <v>3.55029585798817</v>
      </c>
      <c r="AL54" s="15">
        <v>2.8322440087145999</v>
      </c>
      <c r="AM54" s="20" t="s">
        <v>80</v>
      </c>
      <c r="AN54" s="20" t="s">
        <v>80</v>
      </c>
      <c r="AO54" s="15">
        <v>3.8922155688622802</v>
      </c>
      <c r="AP54" s="15">
        <v>1.9189765458422201</v>
      </c>
      <c r="AQ54" s="20" t="s">
        <v>80</v>
      </c>
      <c r="AR54" s="24">
        <v>2.7272727272727302</v>
      </c>
      <c r="AS54" s="38"/>
    </row>
    <row r="55" spans="1:45">
      <c r="A55" s="9" t="s">
        <v>213</v>
      </c>
      <c r="B55" s="36">
        <v>1.2495533652047699</v>
      </c>
      <c r="C55" s="32">
        <v>1.4526856853819301</v>
      </c>
      <c r="D55" s="32">
        <v>2.0174010241149301</v>
      </c>
      <c r="E55" s="32">
        <v>1.9424642640429199</v>
      </c>
      <c r="F55" s="20" t="s">
        <v>80</v>
      </c>
      <c r="G55" s="20" t="s">
        <v>80</v>
      </c>
      <c r="H55" s="20" t="s">
        <v>80</v>
      </c>
      <c r="I55" s="15">
        <v>4.9504950495049496</v>
      </c>
      <c r="J55" s="20" t="s">
        <v>80</v>
      </c>
      <c r="K55" s="20" t="s">
        <v>80</v>
      </c>
      <c r="L55" s="20" t="s">
        <v>80</v>
      </c>
      <c r="M55" s="20" t="s">
        <v>80</v>
      </c>
      <c r="N55" s="20" t="s">
        <v>80</v>
      </c>
      <c r="O55" s="20" t="s">
        <v>80</v>
      </c>
      <c r="P55" s="20" t="s">
        <v>80</v>
      </c>
      <c r="Q55" s="20" t="s">
        <v>80</v>
      </c>
      <c r="R55" s="20" t="s">
        <v>80</v>
      </c>
      <c r="S55" s="20" t="s">
        <v>80</v>
      </c>
      <c r="T55" s="20" t="s">
        <v>80</v>
      </c>
      <c r="U55" s="20" t="s">
        <v>80</v>
      </c>
      <c r="V55" s="20" t="s">
        <v>80</v>
      </c>
      <c r="W55" s="20" t="s">
        <v>80</v>
      </c>
      <c r="X55" s="15">
        <v>7.20720720720721</v>
      </c>
      <c r="Y55" s="20" t="s">
        <v>80</v>
      </c>
      <c r="Z55" s="20" t="s">
        <v>80</v>
      </c>
      <c r="AA55" s="20" t="s">
        <v>80</v>
      </c>
      <c r="AB55" s="20" t="s">
        <v>80</v>
      </c>
      <c r="AC55" s="20" t="s">
        <v>80</v>
      </c>
      <c r="AD55" s="20" t="s">
        <v>80</v>
      </c>
      <c r="AE55" s="20" t="s">
        <v>80</v>
      </c>
      <c r="AF55" s="20" t="s">
        <v>80</v>
      </c>
      <c r="AG55" s="20" t="s">
        <v>80</v>
      </c>
      <c r="AH55" s="20" t="s">
        <v>80</v>
      </c>
      <c r="AI55" s="20" t="s">
        <v>80</v>
      </c>
      <c r="AJ55" s="32">
        <v>2.0829599488560602</v>
      </c>
      <c r="AK55" s="15">
        <v>1.62721893491124</v>
      </c>
      <c r="AL55" s="20" t="s">
        <v>80</v>
      </c>
      <c r="AM55" s="20" t="s">
        <v>80</v>
      </c>
      <c r="AN55" s="20" t="s">
        <v>80</v>
      </c>
      <c r="AO55" s="15">
        <v>1.79640718562874</v>
      </c>
      <c r="AP55" s="20" t="s">
        <v>80</v>
      </c>
      <c r="AQ55" s="20" t="s">
        <v>80</v>
      </c>
      <c r="AR55" s="24">
        <v>3.9393939393939399</v>
      </c>
      <c r="AS55" s="38"/>
    </row>
    <row r="56" spans="1:45">
      <c r="A56" s="9" t="s">
        <v>214</v>
      </c>
      <c r="B56" s="36">
        <v>1.4857600982311501</v>
      </c>
      <c r="C56" s="32">
        <v>1.3351085047777</v>
      </c>
      <c r="D56" s="32">
        <v>1.5902897513549801</v>
      </c>
      <c r="E56" s="32">
        <v>1.7974302596060101</v>
      </c>
      <c r="F56" s="20" t="s">
        <v>80</v>
      </c>
      <c r="G56" s="20" t="s">
        <v>80</v>
      </c>
      <c r="H56" s="20" t="s">
        <v>80</v>
      </c>
      <c r="I56" s="20" t="s">
        <v>80</v>
      </c>
      <c r="J56" s="20" t="s">
        <v>80</v>
      </c>
      <c r="K56" s="20" t="s">
        <v>80</v>
      </c>
      <c r="L56" s="20" t="s">
        <v>80</v>
      </c>
      <c r="M56" s="20" t="s">
        <v>80</v>
      </c>
      <c r="N56" s="15">
        <v>5.5555555555555598</v>
      </c>
      <c r="O56" s="20" t="s">
        <v>80</v>
      </c>
      <c r="P56" s="20" t="s">
        <v>80</v>
      </c>
      <c r="Q56" s="20" t="s">
        <v>80</v>
      </c>
      <c r="R56" s="20" t="s">
        <v>80</v>
      </c>
      <c r="S56" s="20" t="s">
        <v>80</v>
      </c>
      <c r="T56" s="20" t="s">
        <v>80</v>
      </c>
      <c r="U56" s="20" t="s">
        <v>80</v>
      </c>
      <c r="V56" s="20" t="s">
        <v>80</v>
      </c>
      <c r="W56" s="20" t="s">
        <v>80</v>
      </c>
      <c r="X56" s="20" t="s">
        <v>80</v>
      </c>
      <c r="Y56" s="20" t="s">
        <v>80</v>
      </c>
      <c r="Z56" s="20" t="s">
        <v>80</v>
      </c>
      <c r="AA56" s="20" t="s">
        <v>80</v>
      </c>
      <c r="AB56" s="20" t="s">
        <v>80</v>
      </c>
      <c r="AC56" s="20" t="s">
        <v>80</v>
      </c>
      <c r="AD56" s="20" t="s">
        <v>80</v>
      </c>
      <c r="AE56" s="20" t="s">
        <v>80</v>
      </c>
      <c r="AF56" s="20" t="s">
        <v>80</v>
      </c>
      <c r="AG56" s="20" t="s">
        <v>80</v>
      </c>
      <c r="AH56" s="20" t="s">
        <v>80</v>
      </c>
      <c r="AI56" s="20" t="s">
        <v>80</v>
      </c>
      <c r="AJ56" s="32">
        <v>1.40907149507837</v>
      </c>
      <c r="AK56" s="15">
        <v>1.4792899408283999</v>
      </c>
      <c r="AL56" s="20" t="s">
        <v>80</v>
      </c>
      <c r="AM56" s="15">
        <v>3.0303030303030298</v>
      </c>
      <c r="AN56" s="20" t="s">
        <v>80</v>
      </c>
      <c r="AO56" s="20" t="s">
        <v>80</v>
      </c>
      <c r="AP56" s="15">
        <v>1.4925373134328399</v>
      </c>
      <c r="AQ56" s="20" t="s">
        <v>80</v>
      </c>
      <c r="AR56" s="24">
        <v>1.51515151515152</v>
      </c>
      <c r="AS56" s="38"/>
    </row>
    <row r="57" spans="1:45">
      <c r="A57" s="9" t="s">
        <v>215</v>
      </c>
      <c r="B57" s="36">
        <v>1.93464618753541</v>
      </c>
      <c r="C57" s="32">
        <v>1.8981811633529799</v>
      </c>
      <c r="D57" s="32">
        <v>2.4981529839208698</v>
      </c>
      <c r="E57" s="32">
        <v>3.0089652915823302</v>
      </c>
      <c r="F57" s="20" t="s">
        <v>80</v>
      </c>
      <c r="G57" s="20" t="s">
        <v>80</v>
      </c>
      <c r="H57" s="20" t="s">
        <v>80</v>
      </c>
      <c r="I57" s="15">
        <v>4.9504950495049496</v>
      </c>
      <c r="J57" s="20" t="s">
        <v>80</v>
      </c>
      <c r="K57" s="20" t="s">
        <v>80</v>
      </c>
      <c r="L57" s="20" t="s">
        <v>80</v>
      </c>
      <c r="M57" s="20" t="s">
        <v>80</v>
      </c>
      <c r="N57" s="15">
        <v>3.4722222222222201</v>
      </c>
      <c r="O57" s="15">
        <v>4.8387096774193497</v>
      </c>
      <c r="P57" s="20" t="s">
        <v>80</v>
      </c>
      <c r="Q57" s="20" t="s">
        <v>80</v>
      </c>
      <c r="R57" s="20" t="s">
        <v>80</v>
      </c>
      <c r="S57" s="20" t="s">
        <v>80</v>
      </c>
      <c r="T57" s="20" t="s">
        <v>80</v>
      </c>
      <c r="U57" s="20" t="s">
        <v>80</v>
      </c>
      <c r="V57" s="20" t="s">
        <v>80</v>
      </c>
      <c r="W57" s="20" t="s">
        <v>80</v>
      </c>
      <c r="X57" s="20" t="s">
        <v>80</v>
      </c>
      <c r="Y57" s="15">
        <v>3.7878787878787898</v>
      </c>
      <c r="Z57" s="20" t="s">
        <v>80</v>
      </c>
      <c r="AA57" s="20" t="s">
        <v>80</v>
      </c>
      <c r="AB57" s="20" t="s">
        <v>80</v>
      </c>
      <c r="AC57" s="20" t="s">
        <v>80</v>
      </c>
      <c r="AD57" s="20" t="s">
        <v>80</v>
      </c>
      <c r="AE57" s="20" t="s">
        <v>80</v>
      </c>
      <c r="AF57" s="20" t="s">
        <v>80</v>
      </c>
      <c r="AG57" s="20" t="s">
        <v>80</v>
      </c>
      <c r="AH57" s="20" t="s">
        <v>80</v>
      </c>
      <c r="AI57" s="20" t="s">
        <v>80</v>
      </c>
      <c r="AJ57" s="32">
        <v>2.0512654269642998</v>
      </c>
      <c r="AK57" s="15">
        <v>1.0355029585798801</v>
      </c>
      <c r="AL57" s="15">
        <v>1.3071895424836599</v>
      </c>
      <c r="AM57" s="20" t="s">
        <v>80</v>
      </c>
      <c r="AN57" s="20" t="s">
        <v>80</v>
      </c>
      <c r="AO57" s="15">
        <v>3.8922155688622802</v>
      </c>
      <c r="AP57" s="15">
        <v>1.0660980810234499</v>
      </c>
      <c r="AQ57" s="20" t="s">
        <v>80</v>
      </c>
      <c r="AR57" s="24">
        <v>3.9393939393939399</v>
      </c>
      <c r="AS57" s="38"/>
    </row>
    <row r="58" spans="1:45">
      <c r="A58" s="9" t="s">
        <v>216</v>
      </c>
      <c r="B58" s="36">
        <v>3.40924805856416</v>
      </c>
      <c r="C58" s="32">
        <v>3.70540195502404</v>
      </c>
      <c r="D58" s="32">
        <v>4.4604694834452596</v>
      </c>
      <c r="E58" s="32">
        <v>2.9954710056319098</v>
      </c>
      <c r="F58" s="20" t="s">
        <v>80</v>
      </c>
      <c r="G58" s="20" t="s">
        <v>80</v>
      </c>
      <c r="H58" s="15">
        <v>2.7932960893854699</v>
      </c>
      <c r="I58" s="15">
        <v>4.9504950495049496</v>
      </c>
      <c r="J58" s="20" t="s">
        <v>80</v>
      </c>
      <c r="K58" s="20" t="s">
        <v>80</v>
      </c>
      <c r="L58" s="20" t="s">
        <v>80</v>
      </c>
      <c r="M58" s="20" t="s">
        <v>80</v>
      </c>
      <c r="N58" s="15">
        <v>5.5555555555555598</v>
      </c>
      <c r="O58" s="20" t="s">
        <v>80</v>
      </c>
      <c r="P58" s="15">
        <v>4.95867768595041</v>
      </c>
      <c r="Q58" s="20" t="s">
        <v>80</v>
      </c>
      <c r="R58" s="20" t="s">
        <v>80</v>
      </c>
      <c r="S58" s="20" t="s">
        <v>80</v>
      </c>
      <c r="T58" s="20" t="s">
        <v>80</v>
      </c>
      <c r="U58" s="20" t="s">
        <v>80</v>
      </c>
      <c r="V58" s="20" t="s">
        <v>80</v>
      </c>
      <c r="W58" s="20" t="s">
        <v>80</v>
      </c>
      <c r="X58" s="15">
        <v>5.4054054054054097</v>
      </c>
      <c r="Y58" s="20" t="s">
        <v>80</v>
      </c>
      <c r="Z58" s="20" t="s">
        <v>80</v>
      </c>
      <c r="AA58" s="20" t="s">
        <v>80</v>
      </c>
      <c r="AB58" s="20" t="s">
        <v>80</v>
      </c>
      <c r="AC58" s="20" t="s">
        <v>80</v>
      </c>
      <c r="AD58" s="20" t="s">
        <v>80</v>
      </c>
      <c r="AE58" s="20" t="s">
        <v>80</v>
      </c>
      <c r="AF58" s="20" t="s">
        <v>80</v>
      </c>
      <c r="AG58" s="20" t="s">
        <v>80</v>
      </c>
      <c r="AH58" s="20" t="s">
        <v>80</v>
      </c>
      <c r="AI58" s="20" t="s">
        <v>80</v>
      </c>
      <c r="AJ58" s="32">
        <v>5.7421331804151299</v>
      </c>
      <c r="AK58" s="15">
        <v>6.0650887573964498</v>
      </c>
      <c r="AL58" s="15">
        <v>5.4466230936819198</v>
      </c>
      <c r="AM58" s="15">
        <v>2.52525252525253</v>
      </c>
      <c r="AN58" s="15">
        <v>10.2189781021898</v>
      </c>
      <c r="AO58" s="15">
        <v>2.39520958083832</v>
      </c>
      <c r="AP58" s="15">
        <v>3.62473347547974</v>
      </c>
      <c r="AQ58" s="15">
        <v>8.0882352941176503</v>
      </c>
      <c r="AR58" s="24">
        <v>9.6969696969697008</v>
      </c>
      <c r="AS58" s="38"/>
    </row>
    <row r="59" spans="1:45">
      <c r="A59" s="9" t="s">
        <v>217</v>
      </c>
      <c r="B59" s="36">
        <v>0.33741277691758897</v>
      </c>
      <c r="C59" s="32">
        <v>0.25973849335280202</v>
      </c>
      <c r="D59" s="34" t="s">
        <v>80</v>
      </c>
      <c r="E59" s="34" t="s">
        <v>80</v>
      </c>
      <c r="F59" s="20" t="s">
        <v>80</v>
      </c>
      <c r="G59" s="20" t="s">
        <v>80</v>
      </c>
      <c r="H59" s="20" t="s">
        <v>80</v>
      </c>
      <c r="I59" s="20" t="s">
        <v>80</v>
      </c>
      <c r="J59" s="20" t="s">
        <v>80</v>
      </c>
      <c r="K59" s="20" t="s">
        <v>80</v>
      </c>
      <c r="L59" s="20" t="s">
        <v>80</v>
      </c>
      <c r="M59" s="20" t="s">
        <v>80</v>
      </c>
      <c r="N59" s="20" t="s">
        <v>80</v>
      </c>
      <c r="O59" s="20" t="s">
        <v>80</v>
      </c>
      <c r="P59" s="20" t="s">
        <v>80</v>
      </c>
      <c r="Q59" s="20" t="s">
        <v>80</v>
      </c>
      <c r="R59" s="20" t="s">
        <v>80</v>
      </c>
      <c r="S59" s="20" t="s">
        <v>80</v>
      </c>
      <c r="T59" s="20" t="s">
        <v>80</v>
      </c>
      <c r="U59" s="20" t="s">
        <v>80</v>
      </c>
      <c r="V59" s="20" t="s">
        <v>80</v>
      </c>
      <c r="W59" s="20" t="s">
        <v>80</v>
      </c>
      <c r="X59" s="20" t="s">
        <v>80</v>
      </c>
      <c r="Y59" s="20" t="s">
        <v>80</v>
      </c>
      <c r="Z59" s="20" t="s">
        <v>80</v>
      </c>
      <c r="AA59" s="20" t="s">
        <v>80</v>
      </c>
      <c r="AB59" s="20" t="s">
        <v>80</v>
      </c>
      <c r="AC59" s="20" t="s">
        <v>80</v>
      </c>
      <c r="AD59" s="20" t="s">
        <v>80</v>
      </c>
      <c r="AE59" s="20" t="s">
        <v>80</v>
      </c>
      <c r="AF59" s="20" t="s">
        <v>80</v>
      </c>
      <c r="AG59" s="20" t="s">
        <v>80</v>
      </c>
      <c r="AH59" s="20" t="s">
        <v>80</v>
      </c>
      <c r="AI59" s="20" t="s">
        <v>80</v>
      </c>
      <c r="AJ59" s="34" t="s">
        <v>80</v>
      </c>
      <c r="AK59" s="20" t="s">
        <v>80</v>
      </c>
      <c r="AL59" s="20" t="s">
        <v>80</v>
      </c>
      <c r="AM59" s="20" t="s">
        <v>80</v>
      </c>
      <c r="AN59" s="20" t="s">
        <v>80</v>
      </c>
      <c r="AO59" s="20" t="s">
        <v>80</v>
      </c>
      <c r="AP59" s="20" t="s">
        <v>80</v>
      </c>
      <c r="AQ59" s="20" t="s">
        <v>80</v>
      </c>
      <c r="AR59" s="26" t="s">
        <v>80</v>
      </c>
      <c r="AS59" s="38"/>
    </row>
    <row r="60" spans="1:45">
      <c r="A60" s="9" t="s">
        <v>218</v>
      </c>
      <c r="B60" s="36">
        <v>0.26052818060632599</v>
      </c>
      <c r="C60" s="32">
        <v>0.201817745528929</v>
      </c>
      <c r="D60" s="34" t="s">
        <v>80</v>
      </c>
      <c r="E60" s="34" t="s">
        <v>80</v>
      </c>
      <c r="F60" s="20" t="s">
        <v>80</v>
      </c>
      <c r="G60" s="20" t="s">
        <v>80</v>
      </c>
      <c r="H60" s="20" t="s">
        <v>80</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20" t="s">
        <v>80</v>
      </c>
      <c r="X60" s="20" t="s">
        <v>80</v>
      </c>
      <c r="Y60" s="20" t="s">
        <v>80</v>
      </c>
      <c r="Z60" s="20" t="s">
        <v>80</v>
      </c>
      <c r="AA60" s="20" t="s">
        <v>80</v>
      </c>
      <c r="AB60" s="20" t="s">
        <v>80</v>
      </c>
      <c r="AC60" s="20" t="s">
        <v>80</v>
      </c>
      <c r="AD60" s="20" t="s">
        <v>80</v>
      </c>
      <c r="AE60" s="20" t="s">
        <v>80</v>
      </c>
      <c r="AF60" s="20" t="s">
        <v>80</v>
      </c>
      <c r="AG60" s="20" t="s">
        <v>80</v>
      </c>
      <c r="AH60" s="20" t="s">
        <v>80</v>
      </c>
      <c r="AI60" s="20" t="s">
        <v>80</v>
      </c>
      <c r="AJ60" s="34" t="s">
        <v>80</v>
      </c>
      <c r="AK60" s="20" t="s">
        <v>80</v>
      </c>
      <c r="AL60" s="20" t="s">
        <v>80</v>
      </c>
      <c r="AM60" s="20" t="s">
        <v>80</v>
      </c>
      <c r="AN60" s="20" t="s">
        <v>80</v>
      </c>
      <c r="AO60" s="20" t="s">
        <v>80</v>
      </c>
      <c r="AP60" s="20" t="s">
        <v>80</v>
      </c>
      <c r="AQ60" s="20" t="s">
        <v>80</v>
      </c>
      <c r="AR60" s="26" t="s">
        <v>80</v>
      </c>
      <c r="AS60" s="38"/>
    </row>
    <row r="61" spans="1:45">
      <c r="A61" s="9" t="s">
        <v>219</v>
      </c>
      <c r="B61" s="36">
        <v>0.25084235537058402</v>
      </c>
      <c r="C61" s="32">
        <v>0.234580420505072</v>
      </c>
      <c r="D61" s="34" t="s">
        <v>80</v>
      </c>
      <c r="E61" s="34" t="s">
        <v>80</v>
      </c>
      <c r="F61" s="20" t="s">
        <v>80</v>
      </c>
      <c r="G61" s="20" t="s">
        <v>80</v>
      </c>
      <c r="H61" s="20" t="s">
        <v>80</v>
      </c>
      <c r="I61" s="20" t="s">
        <v>80</v>
      </c>
      <c r="J61" s="20" t="s">
        <v>80</v>
      </c>
      <c r="K61" s="20" t="s">
        <v>80</v>
      </c>
      <c r="L61" s="20" t="s">
        <v>80</v>
      </c>
      <c r="M61" s="20" t="s">
        <v>80</v>
      </c>
      <c r="N61" s="20" t="s">
        <v>80</v>
      </c>
      <c r="O61" s="20" t="s">
        <v>80</v>
      </c>
      <c r="P61" s="20" t="s">
        <v>80</v>
      </c>
      <c r="Q61" s="20" t="s">
        <v>80</v>
      </c>
      <c r="R61" s="20" t="s">
        <v>80</v>
      </c>
      <c r="S61" s="20" t="s">
        <v>80</v>
      </c>
      <c r="T61" s="20" t="s">
        <v>80</v>
      </c>
      <c r="U61" s="20" t="s">
        <v>80</v>
      </c>
      <c r="V61" s="20" t="s">
        <v>80</v>
      </c>
      <c r="W61" s="20" t="s">
        <v>80</v>
      </c>
      <c r="X61" s="20" t="s">
        <v>80</v>
      </c>
      <c r="Y61" s="20" t="s">
        <v>80</v>
      </c>
      <c r="Z61" s="20" t="s">
        <v>80</v>
      </c>
      <c r="AA61" s="20" t="s">
        <v>80</v>
      </c>
      <c r="AB61" s="20" t="s">
        <v>80</v>
      </c>
      <c r="AC61" s="20" t="s">
        <v>80</v>
      </c>
      <c r="AD61" s="20" t="s">
        <v>80</v>
      </c>
      <c r="AE61" s="20" t="s">
        <v>80</v>
      </c>
      <c r="AF61" s="20" t="s">
        <v>80</v>
      </c>
      <c r="AG61" s="20" t="s">
        <v>80</v>
      </c>
      <c r="AH61" s="20" t="s">
        <v>80</v>
      </c>
      <c r="AI61" s="20" t="s">
        <v>80</v>
      </c>
      <c r="AJ61" s="34" t="s">
        <v>80</v>
      </c>
      <c r="AK61" s="20" t="s">
        <v>80</v>
      </c>
      <c r="AL61" s="20" t="s">
        <v>80</v>
      </c>
      <c r="AM61" s="20" t="s">
        <v>80</v>
      </c>
      <c r="AN61" s="20" t="s">
        <v>80</v>
      </c>
      <c r="AO61" s="20" t="s">
        <v>80</v>
      </c>
      <c r="AP61" s="20" t="s">
        <v>80</v>
      </c>
      <c r="AQ61" s="20" t="s">
        <v>80</v>
      </c>
      <c r="AR61" s="26" t="s">
        <v>80</v>
      </c>
      <c r="AS61" s="38"/>
    </row>
    <row r="62" spans="1:45">
      <c r="A62" s="9" t="s">
        <v>220</v>
      </c>
      <c r="B62" s="36">
        <v>0.50204599585685095</v>
      </c>
      <c r="C62" s="32">
        <v>0.60903491496210704</v>
      </c>
      <c r="D62" s="32">
        <v>1.2863310227147799</v>
      </c>
      <c r="E62" s="32">
        <v>1.13222194479135</v>
      </c>
      <c r="F62" s="20" t="s">
        <v>80</v>
      </c>
      <c r="G62" s="20" t="s">
        <v>80</v>
      </c>
      <c r="H62" s="20" t="s">
        <v>80</v>
      </c>
      <c r="I62" s="20" t="s">
        <v>80</v>
      </c>
      <c r="J62" s="20" t="s">
        <v>80</v>
      </c>
      <c r="K62" s="20" t="s">
        <v>80</v>
      </c>
      <c r="L62" s="20" t="s">
        <v>80</v>
      </c>
      <c r="M62" s="20" t="s">
        <v>80</v>
      </c>
      <c r="N62" s="20" t="s">
        <v>80</v>
      </c>
      <c r="O62" s="20" t="s">
        <v>80</v>
      </c>
      <c r="P62" s="20" t="s">
        <v>80</v>
      </c>
      <c r="Q62" s="20" t="s">
        <v>80</v>
      </c>
      <c r="R62" s="20" t="s">
        <v>80</v>
      </c>
      <c r="S62" s="20" t="s">
        <v>80</v>
      </c>
      <c r="T62" s="20" t="s">
        <v>80</v>
      </c>
      <c r="U62" s="20" t="s">
        <v>80</v>
      </c>
      <c r="V62" s="20" t="s">
        <v>80</v>
      </c>
      <c r="W62" s="20" t="s">
        <v>80</v>
      </c>
      <c r="X62" s="20" t="s">
        <v>80</v>
      </c>
      <c r="Y62" s="20" t="s">
        <v>80</v>
      </c>
      <c r="Z62" s="20" t="s">
        <v>80</v>
      </c>
      <c r="AA62" s="20" t="s">
        <v>80</v>
      </c>
      <c r="AB62" s="20" t="s">
        <v>80</v>
      </c>
      <c r="AC62" s="20" t="s">
        <v>80</v>
      </c>
      <c r="AD62" s="20" t="s">
        <v>80</v>
      </c>
      <c r="AE62" s="20" t="s">
        <v>80</v>
      </c>
      <c r="AF62" s="20" t="s">
        <v>80</v>
      </c>
      <c r="AG62" s="20" t="s">
        <v>80</v>
      </c>
      <c r="AH62" s="20" t="s">
        <v>80</v>
      </c>
      <c r="AI62" s="20" t="s">
        <v>80</v>
      </c>
      <c r="AJ62" s="32">
        <v>1.4211543781921101</v>
      </c>
      <c r="AK62" s="15">
        <v>0.73964497041420096</v>
      </c>
      <c r="AL62" s="15">
        <v>3.4858387799564299</v>
      </c>
      <c r="AM62" s="20" t="s">
        <v>80</v>
      </c>
      <c r="AN62" s="20" t="s">
        <v>80</v>
      </c>
      <c r="AO62" s="15">
        <v>3.2934131736526902</v>
      </c>
      <c r="AP62" s="20" t="s">
        <v>80</v>
      </c>
      <c r="AQ62" s="20" t="s">
        <v>80</v>
      </c>
      <c r="AR62" s="26" t="s">
        <v>80</v>
      </c>
      <c r="AS62" s="38"/>
    </row>
    <row r="63" spans="1:45">
      <c r="A63" s="9" t="s">
        <v>221</v>
      </c>
      <c r="B63" s="36">
        <v>1.9283527759491299</v>
      </c>
      <c r="C63" s="32">
        <v>1.80299030862903</v>
      </c>
      <c r="D63" s="32">
        <v>1.6498032934759801</v>
      </c>
      <c r="E63" s="32">
        <v>2.2280811451493898</v>
      </c>
      <c r="F63" s="20" t="s">
        <v>80</v>
      </c>
      <c r="G63" s="20" t="s">
        <v>80</v>
      </c>
      <c r="H63" s="20" t="s">
        <v>80</v>
      </c>
      <c r="I63" s="15">
        <v>5.9405940594059397</v>
      </c>
      <c r="J63" s="20" t="s">
        <v>80</v>
      </c>
      <c r="K63" s="20" t="s">
        <v>80</v>
      </c>
      <c r="L63" s="20" t="s">
        <v>80</v>
      </c>
      <c r="M63" s="20" t="s">
        <v>80</v>
      </c>
      <c r="N63" s="15">
        <v>4.8611111111111098</v>
      </c>
      <c r="O63" s="20" t="s">
        <v>80</v>
      </c>
      <c r="P63" s="20" t="s">
        <v>80</v>
      </c>
      <c r="Q63" s="20" t="s">
        <v>80</v>
      </c>
      <c r="R63" s="20" t="s">
        <v>80</v>
      </c>
      <c r="S63" s="20" t="s">
        <v>80</v>
      </c>
      <c r="T63" s="20" t="s">
        <v>80</v>
      </c>
      <c r="U63" s="20" t="s">
        <v>80</v>
      </c>
      <c r="V63" s="20" t="s">
        <v>80</v>
      </c>
      <c r="W63" s="20" t="s">
        <v>80</v>
      </c>
      <c r="X63" s="20" t="s">
        <v>80</v>
      </c>
      <c r="Y63" s="20" t="s">
        <v>80</v>
      </c>
      <c r="Z63" s="20" t="s">
        <v>80</v>
      </c>
      <c r="AA63" s="20" t="s">
        <v>80</v>
      </c>
      <c r="AB63" s="20" t="s">
        <v>80</v>
      </c>
      <c r="AC63" s="20" t="s">
        <v>80</v>
      </c>
      <c r="AD63" s="20" t="s">
        <v>80</v>
      </c>
      <c r="AE63" s="20" t="s">
        <v>80</v>
      </c>
      <c r="AF63" s="20" t="s">
        <v>80</v>
      </c>
      <c r="AG63" s="20" t="s">
        <v>80</v>
      </c>
      <c r="AH63" s="20" t="s">
        <v>80</v>
      </c>
      <c r="AI63" s="20" t="s">
        <v>80</v>
      </c>
      <c r="AJ63" s="32">
        <v>1.14389305501772</v>
      </c>
      <c r="AK63" s="15">
        <v>1.92307692307692</v>
      </c>
      <c r="AL63" s="15">
        <v>1.52505446623094</v>
      </c>
      <c r="AM63" s="20" t="s">
        <v>80</v>
      </c>
      <c r="AN63" s="20" t="s">
        <v>80</v>
      </c>
      <c r="AO63" s="20" t="s">
        <v>80</v>
      </c>
      <c r="AP63" s="15">
        <v>1.0660980810234499</v>
      </c>
      <c r="AQ63" s="20" t="s">
        <v>80</v>
      </c>
      <c r="AR63" s="26" t="s">
        <v>80</v>
      </c>
      <c r="AS63" s="38"/>
    </row>
    <row r="64" spans="1:45">
      <c r="A64" s="11" t="s">
        <v>222</v>
      </c>
      <c r="B64" s="37">
        <v>3.71292305971033</v>
      </c>
      <c r="C64" s="33">
        <v>3.5395523870619199</v>
      </c>
      <c r="D64" s="33">
        <v>3.5311122268427702</v>
      </c>
      <c r="E64" s="33">
        <v>4.1606908199631203</v>
      </c>
      <c r="F64" s="28" t="s">
        <v>80</v>
      </c>
      <c r="G64" s="28" t="s">
        <v>80</v>
      </c>
      <c r="H64" s="16">
        <v>3.3519553072625698</v>
      </c>
      <c r="I64" s="28" t="s">
        <v>80</v>
      </c>
      <c r="J64" s="28" t="s">
        <v>80</v>
      </c>
      <c r="K64" s="28" t="s">
        <v>80</v>
      </c>
      <c r="L64" s="16">
        <v>6.5420560747663501</v>
      </c>
      <c r="M64" s="28" t="s">
        <v>80</v>
      </c>
      <c r="N64" s="16">
        <v>6.9444444444444402</v>
      </c>
      <c r="O64" s="16">
        <v>4.0322580645161299</v>
      </c>
      <c r="P64" s="16">
        <v>5.7851239669421499</v>
      </c>
      <c r="Q64" s="28" t="s">
        <v>80</v>
      </c>
      <c r="R64" s="28" t="s">
        <v>80</v>
      </c>
      <c r="S64" s="28" t="s">
        <v>80</v>
      </c>
      <c r="T64" s="16">
        <v>13.953488372093</v>
      </c>
      <c r="U64" s="16">
        <v>8.9285714285714306</v>
      </c>
      <c r="V64" s="28" t="s">
        <v>80</v>
      </c>
      <c r="W64" s="28" t="s">
        <v>80</v>
      </c>
      <c r="X64" s="28" t="s">
        <v>80</v>
      </c>
      <c r="Y64" s="28" t="s">
        <v>80</v>
      </c>
      <c r="Z64" s="28" t="s">
        <v>80</v>
      </c>
      <c r="AA64" s="28" t="s">
        <v>80</v>
      </c>
      <c r="AB64" s="28" t="s">
        <v>80</v>
      </c>
      <c r="AC64" s="28" t="s">
        <v>80</v>
      </c>
      <c r="AD64" s="28" t="s">
        <v>80</v>
      </c>
      <c r="AE64" s="28" t="s">
        <v>80</v>
      </c>
      <c r="AF64" s="28" t="s">
        <v>80</v>
      </c>
      <c r="AG64" s="28" t="s">
        <v>80</v>
      </c>
      <c r="AH64" s="16">
        <v>6.4516129032258096</v>
      </c>
      <c r="AI64" s="28" t="s">
        <v>80</v>
      </c>
      <c r="AJ64" s="33">
        <v>2.9803211923045501</v>
      </c>
      <c r="AK64" s="16">
        <v>2.6627218934911201</v>
      </c>
      <c r="AL64" s="16">
        <v>2.3965141612200398</v>
      </c>
      <c r="AM64" s="16">
        <v>3.0303030303030298</v>
      </c>
      <c r="AN64" s="16">
        <v>4.3795620437956204</v>
      </c>
      <c r="AO64" s="16">
        <v>2.0958083832335301</v>
      </c>
      <c r="AP64" s="16">
        <v>4.2643923240938202</v>
      </c>
      <c r="AQ64" s="16">
        <v>4.4117647058823497</v>
      </c>
      <c r="AR64" s="25">
        <v>5.4545454545454604</v>
      </c>
      <c r="AS64" s="38"/>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52"/>
  <sheetViews>
    <sheetView zoomScale="70" workbookViewId="0"/>
  </sheetViews>
  <sheetFormatPr defaultColWidth="10.90625" defaultRowHeight="15"/>
  <cols>
    <col min="1" max="1" width="51.6796875" customWidth="1"/>
    <col min="2" max="16" width="15.90625" customWidth="1"/>
  </cols>
  <sheetData>
    <row r="1" spans="1:16" ht="39.9" customHeight="1">
      <c r="A1" s="10" t="s">
        <v>230</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91.627918335512007</v>
      </c>
      <c r="C3" s="15">
        <v>92.097867309582099</v>
      </c>
      <c r="D3" s="24">
        <v>91.239552661238406</v>
      </c>
      <c r="E3" s="15">
        <v>92.354023963369201</v>
      </c>
      <c r="F3" s="15">
        <v>92.847689737310006</v>
      </c>
      <c r="G3" s="24">
        <v>91.939919007607898</v>
      </c>
      <c r="H3" s="15">
        <v>90.8437538669981</v>
      </c>
      <c r="I3" s="15">
        <v>91.220872219963198</v>
      </c>
      <c r="J3" s="24">
        <v>90.526764490806002</v>
      </c>
      <c r="K3" s="15">
        <v>92.970081310319898</v>
      </c>
      <c r="L3" s="15">
        <v>94.352570139990704</v>
      </c>
      <c r="M3" s="24">
        <v>92.621489513742702</v>
      </c>
      <c r="N3" s="15">
        <v>91.315851762401607</v>
      </c>
      <c r="O3" s="15">
        <v>93.708022198470402</v>
      </c>
      <c r="P3" s="24">
        <v>89.585764145598603</v>
      </c>
    </row>
    <row r="4" spans="1:16" ht="21.9" customHeight="1">
      <c r="A4" s="22" t="s">
        <v>19</v>
      </c>
      <c r="B4" s="15">
        <v>92.237062822459706</v>
      </c>
      <c r="C4" s="15">
        <v>91.765336566181702</v>
      </c>
      <c r="D4" s="24">
        <v>92.623970206853102</v>
      </c>
      <c r="E4" s="15">
        <v>92.971555828060303</v>
      </c>
      <c r="F4" s="15">
        <v>92.7581172152005</v>
      </c>
      <c r="G4" s="24">
        <v>93.1499588310257</v>
      </c>
      <c r="H4" s="15">
        <v>91.501660971005606</v>
      </c>
      <c r="I4" s="15">
        <v>90.682023476161703</v>
      </c>
      <c r="J4" s="24">
        <v>92.175429509148202</v>
      </c>
      <c r="K4" s="15">
        <v>93.189667388292605</v>
      </c>
      <c r="L4" s="15">
        <v>96.254783673310698</v>
      </c>
      <c r="M4" s="24">
        <v>92.246323073234905</v>
      </c>
      <c r="N4" s="15">
        <v>90.866262497222905</v>
      </c>
      <c r="O4" s="15">
        <v>91.225034724996306</v>
      </c>
      <c r="P4" s="24">
        <v>90.585253989232001</v>
      </c>
    </row>
    <row r="5" spans="1:16" ht="21.9" customHeight="1">
      <c r="A5" s="22" t="s">
        <v>20</v>
      </c>
      <c r="B5" s="15">
        <v>93.214679416336807</v>
      </c>
      <c r="C5" s="15">
        <v>93.590160743724098</v>
      </c>
      <c r="D5" s="24">
        <v>92.886187070787997</v>
      </c>
      <c r="E5" s="15">
        <v>93.792823958286405</v>
      </c>
      <c r="F5" s="15">
        <v>94.237277698545597</v>
      </c>
      <c r="G5" s="24">
        <v>93.401705541856202</v>
      </c>
      <c r="H5" s="15">
        <v>92.869318626872101</v>
      </c>
      <c r="I5" s="15">
        <v>93.050664285813198</v>
      </c>
      <c r="J5" s="24">
        <v>92.709237763141303</v>
      </c>
      <c r="K5" s="15">
        <v>86.932225864961396</v>
      </c>
      <c r="L5" s="20" t="s">
        <v>80</v>
      </c>
      <c r="M5" s="24">
        <v>82.8752945245419</v>
      </c>
      <c r="N5" s="15">
        <v>91.051482225456596</v>
      </c>
      <c r="O5" s="15">
        <v>90.158029421850898</v>
      </c>
      <c r="P5" s="24">
        <v>91.824409976028306</v>
      </c>
    </row>
    <row r="6" spans="1:16" ht="21.9" customHeight="1">
      <c r="A6" s="22" t="s">
        <v>115</v>
      </c>
      <c r="B6" s="15">
        <v>93.590160743724098</v>
      </c>
      <c r="C6" s="15">
        <v>93.590160743724098</v>
      </c>
      <c r="D6" s="26" t="s">
        <v>80</v>
      </c>
      <c r="E6" s="15">
        <v>94.237277698545597</v>
      </c>
      <c r="F6" s="15">
        <v>94.237277698545597</v>
      </c>
      <c r="G6" s="26" t="s">
        <v>80</v>
      </c>
      <c r="H6" s="15">
        <v>93.050664285813198</v>
      </c>
      <c r="I6" s="15">
        <v>93.050664285813198</v>
      </c>
      <c r="J6" s="26" t="s">
        <v>80</v>
      </c>
      <c r="K6" s="20" t="s">
        <v>80</v>
      </c>
      <c r="L6" s="20" t="s">
        <v>80</v>
      </c>
      <c r="M6" s="26" t="s">
        <v>80</v>
      </c>
      <c r="N6" s="15">
        <v>90.158029421850898</v>
      </c>
      <c r="O6" s="15">
        <v>90.158029421850898</v>
      </c>
      <c r="P6" s="26" t="s">
        <v>80</v>
      </c>
    </row>
    <row r="7" spans="1:16">
      <c r="A7" s="9" t="s">
        <v>116</v>
      </c>
      <c r="B7" s="15">
        <v>90.196078431372499</v>
      </c>
      <c r="C7" s="15">
        <v>90.196078431372499</v>
      </c>
      <c r="D7" s="26" t="s">
        <v>80</v>
      </c>
      <c r="E7" s="15">
        <v>90.476190476190496</v>
      </c>
      <c r="F7" s="15">
        <v>90.476190476190496</v>
      </c>
      <c r="G7" s="26" t="s">
        <v>80</v>
      </c>
      <c r="H7" s="15">
        <v>90</v>
      </c>
      <c r="I7" s="15">
        <v>90</v>
      </c>
      <c r="J7" s="26" t="s">
        <v>80</v>
      </c>
      <c r="K7" s="20" t="s">
        <v>80</v>
      </c>
      <c r="L7" s="20" t="s">
        <v>80</v>
      </c>
      <c r="M7" s="26" t="s">
        <v>80</v>
      </c>
      <c r="N7" s="20" t="s">
        <v>80</v>
      </c>
      <c r="O7" s="20" t="s">
        <v>80</v>
      </c>
      <c r="P7" s="26" t="s">
        <v>80</v>
      </c>
    </row>
    <row r="8" spans="1:16">
      <c r="A8" s="9" t="s">
        <v>117</v>
      </c>
      <c r="B8" s="15">
        <v>90.909090909090907</v>
      </c>
      <c r="C8" s="15">
        <v>90.909090909090907</v>
      </c>
      <c r="D8" s="26" t="s">
        <v>80</v>
      </c>
      <c r="E8" s="15">
        <v>88.8888888888889</v>
      </c>
      <c r="F8" s="15">
        <v>88.8888888888889</v>
      </c>
      <c r="G8" s="26" t="s">
        <v>80</v>
      </c>
      <c r="H8" s="15">
        <v>91.6666666666667</v>
      </c>
      <c r="I8" s="15">
        <v>91.6666666666667</v>
      </c>
      <c r="J8" s="26" t="s">
        <v>80</v>
      </c>
      <c r="K8" s="20" t="s">
        <v>80</v>
      </c>
      <c r="L8" s="20" t="s">
        <v>80</v>
      </c>
      <c r="M8" s="26" t="s">
        <v>80</v>
      </c>
      <c r="N8" s="20" t="s">
        <v>80</v>
      </c>
      <c r="O8" s="20" t="s">
        <v>80</v>
      </c>
      <c r="P8" s="26" t="s">
        <v>80</v>
      </c>
    </row>
    <row r="9" spans="1:16">
      <c r="A9" s="9" t="s">
        <v>118</v>
      </c>
      <c r="B9" s="15">
        <v>88.826815642458101</v>
      </c>
      <c r="C9" s="15">
        <v>88.826815642458101</v>
      </c>
      <c r="D9" s="26" t="s">
        <v>80</v>
      </c>
      <c r="E9" s="15">
        <v>91.1111111111111</v>
      </c>
      <c r="F9" s="15">
        <v>91.1111111111111</v>
      </c>
      <c r="G9" s="26" t="s">
        <v>80</v>
      </c>
      <c r="H9" s="15">
        <v>86.046511627906995</v>
      </c>
      <c r="I9" s="15">
        <v>86.046511627906995</v>
      </c>
      <c r="J9" s="26" t="s">
        <v>80</v>
      </c>
      <c r="K9" s="20" t="s">
        <v>80</v>
      </c>
      <c r="L9" s="20" t="s">
        <v>80</v>
      </c>
      <c r="M9" s="26" t="s">
        <v>80</v>
      </c>
      <c r="N9" s="20" t="s">
        <v>80</v>
      </c>
      <c r="O9" s="20" t="s">
        <v>80</v>
      </c>
      <c r="P9" s="26" t="s">
        <v>80</v>
      </c>
    </row>
    <row r="10" spans="1:16">
      <c r="A10" s="9" t="s">
        <v>119</v>
      </c>
      <c r="B10" s="15">
        <v>97.029702970296995</v>
      </c>
      <c r="C10" s="15">
        <v>97.029702970296995</v>
      </c>
      <c r="D10" s="26" t="s">
        <v>80</v>
      </c>
      <c r="E10" s="15">
        <v>100</v>
      </c>
      <c r="F10" s="15">
        <v>100</v>
      </c>
      <c r="G10" s="26" t="s">
        <v>80</v>
      </c>
      <c r="H10" s="15">
        <v>96.428571428571402</v>
      </c>
      <c r="I10" s="15">
        <v>96.428571428571402</v>
      </c>
      <c r="J10" s="26" t="s">
        <v>80</v>
      </c>
      <c r="K10" s="20" t="s">
        <v>80</v>
      </c>
      <c r="L10" s="20" t="s">
        <v>80</v>
      </c>
      <c r="M10" s="26" t="s">
        <v>80</v>
      </c>
      <c r="N10" s="20" t="s">
        <v>80</v>
      </c>
      <c r="O10" s="20" t="s">
        <v>80</v>
      </c>
      <c r="P10" s="26" t="s">
        <v>80</v>
      </c>
    </row>
    <row r="11" spans="1:16">
      <c r="A11" s="9" t="s">
        <v>120</v>
      </c>
      <c r="B11" s="15">
        <v>92.857142857142904</v>
      </c>
      <c r="C11" s="15">
        <v>92.857142857142904</v>
      </c>
      <c r="D11" s="26" t="s">
        <v>80</v>
      </c>
      <c r="E11" s="15">
        <v>97.058823529411796</v>
      </c>
      <c r="F11" s="15">
        <v>97.058823529411796</v>
      </c>
      <c r="G11" s="26" t="s">
        <v>80</v>
      </c>
      <c r="H11" s="15">
        <v>88.235294117647101</v>
      </c>
      <c r="I11" s="15">
        <v>88.235294117647101</v>
      </c>
      <c r="J11" s="26" t="s">
        <v>80</v>
      </c>
      <c r="K11" s="20" t="s">
        <v>80</v>
      </c>
      <c r="L11" s="20" t="s">
        <v>80</v>
      </c>
      <c r="M11" s="26" t="s">
        <v>80</v>
      </c>
      <c r="N11" s="20" t="s">
        <v>80</v>
      </c>
      <c r="O11" s="20" t="s">
        <v>80</v>
      </c>
      <c r="P11" s="26" t="s">
        <v>80</v>
      </c>
    </row>
    <row r="12" spans="1:16">
      <c r="A12" s="9" t="s">
        <v>121</v>
      </c>
      <c r="B12" s="15">
        <v>97.297297297297305</v>
      </c>
      <c r="C12" s="15">
        <v>97.297297297297305</v>
      </c>
      <c r="D12" s="26" t="s">
        <v>80</v>
      </c>
      <c r="E12" s="15">
        <v>100</v>
      </c>
      <c r="F12" s="15">
        <v>100</v>
      </c>
      <c r="G12" s="26" t="s">
        <v>80</v>
      </c>
      <c r="H12" s="15">
        <v>95.454545454545496</v>
      </c>
      <c r="I12" s="15">
        <v>95.454545454545496</v>
      </c>
      <c r="J12" s="26" t="s">
        <v>80</v>
      </c>
      <c r="K12" s="20" t="s">
        <v>80</v>
      </c>
      <c r="L12" s="20" t="s">
        <v>80</v>
      </c>
      <c r="M12" s="26" t="s">
        <v>80</v>
      </c>
      <c r="N12" s="20" t="s">
        <v>80</v>
      </c>
      <c r="O12" s="20" t="s">
        <v>80</v>
      </c>
      <c r="P12" s="26" t="s">
        <v>80</v>
      </c>
    </row>
    <row r="13" spans="1:16">
      <c r="A13" s="9" t="s">
        <v>122</v>
      </c>
      <c r="B13" s="15">
        <v>95.327102803738299</v>
      </c>
      <c r="C13" s="15">
        <v>95.327102803738299</v>
      </c>
      <c r="D13" s="26" t="s">
        <v>80</v>
      </c>
      <c r="E13" s="15">
        <v>94.827586206896598</v>
      </c>
      <c r="F13" s="15">
        <v>94.827586206896598</v>
      </c>
      <c r="G13" s="26" t="s">
        <v>80</v>
      </c>
      <c r="H13" s="15">
        <v>95.918367346938794</v>
      </c>
      <c r="I13" s="15">
        <v>95.918367346938794</v>
      </c>
      <c r="J13" s="26" t="s">
        <v>80</v>
      </c>
      <c r="K13" s="20" t="s">
        <v>80</v>
      </c>
      <c r="L13" s="20" t="s">
        <v>80</v>
      </c>
      <c r="M13" s="26" t="s">
        <v>80</v>
      </c>
      <c r="N13" s="20" t="s">
        <v>80</v>
      </c>
      <c r="O13" s="20" t="s">
        <v>80</v>
      </c>
      <c r="P13" s="26" t="s">
        <v>80</v>
      </c>
    </row>
    <row r="14" spans="1:16">
      <c r="A14" s="9" t="s">
        <v>123</v>
      </c>
      <c r="B14" s="15">
        <v>94.047619047619094</v>
      </c>
      <c r="C14" s="15">
        <v>94.047619047619094</v>
      </c>
      <c r="D14" s="26" t="s">
        <v>80</v>
      </c>
      <c r="E14" s="15">
        <v>97.297297297297305</v>
      </c>
      <c r="F14" s="15">
        <v>97.297297297297305</v>
      </c>
      <c r="G14" s="26" t="s">
        <v>80</v>
      </c>
      <c r="H14" s="15">
        <v>91.304347826086996</v>
      </c>
      <c r="I14" s="15">
        <v>91.304347826086996</v>
      </c>
      <c r="J14" s="26" t="s">
        <v>80</v>
      </c>
      <c r="K14" s="20" t="s">
        <v>80</v>
      </c>
      <c r="L14" s="20" t="s">
        <v>80</v>
      </c>
      <c r="M14" s="26" t="s">
        <v>80</v>
      </c>
      <c r="N14" s="20" t="s">
        <v>80</v>
      </c>
      <c r="O14" s="20" t="s">
        <v>80</v>
      </c>
      <c r="P14" s="26" t="s">
        <v>80</v>
      </c>
    </row>
    <row r="15" spans="1:16">
      <c r="A15" s="9" t="s">
        <v>124</v>
      </c>
      <c r="B15" s="15">
        <v>96.5277777777778</v>
      </c>
      <c r="C15" s="15">
        <v>96.5277777777778</v>
      </c>
      <c r="D15" s="26" t="s">
        <v>80</v>
      </c>
      <c r="E15" s="15">
        <v>98.507462686567195</v>
      </c>
      <c r="F15" s="15">
        <v>98.507462686567195</v>
      </c>
      <c r="G15" s="26" t="s">
        <v>80</v>
      </c>
      <c r="H15" s="15">
        <v>94.520547945205493</v>
      </c>
      <c r="I15" s="15">
        <v>94.520547945205493</v>
      </c>
      <c r="J15" s="26" t="s">
        <v>80</v>
      </c>
      <c r="K15" s="20" t="s">
        <v>80</v>
      </c>
      <c r="L15" s="20" t="s">
        <v>80</v>
      </c>
      <c r="M15" s="26" t="s">
        <v>80</v>
      </c>
      <c r="N15" s="20" t="s">
        <v>80</v>
      </c>
      <c r="O15" s="20" t="s">
        <v>80</v>
      </c>
      <c r="P15" s="26" t="s">
        <v>80</v>
      </c>
    </row>
    <row r="16" spans="1:16">
      <c r="A16" s="9" t="s">
        <v>125</v>
      </c>
      <c r="B16" s="15">
        <v>95.161290322580598</v>
      </c>
      <c r="C16" s="15">
        <v>95.161290322580598</v>
      </c>
      <c r="D16" s="26" t="s">
        <v>80</v>
      </c>
      <c r="E16" s="15">
        <v>93.150684931506802</v>
      </c>
      <c r="F16" s="15">
        <v>93.150684931506802</v>
      </c>
      <c r="G16" s="26" t="s">
        <v>80</v>
      </c>
      <c r="H16" s="15">
        <v>97.826086956521706</v>
      </c>
      <c r="I16" s="15">
        <v>97.826086956521706</v>
      </c>
      <c r="J16" s="26" t="s">
        <v>80</v>
      </c>
      <c r="K16" s="20" t="s">
        <v>80</v>
      </c>
      <c r="L16" s="20" t="s">
        <v>80</v>
      </c>
      <c r="M16" s="26" t="s">
        <v>80</v>
      </c>
      <c r="N16" s="20" t="s">
        <v>80</v>
      </c>
      <c r="O16" s="20" t="s">
        <v>80</v>
      </c>
      <c r="P16" s="26" t="s">
        <v>80</v>
      </c>
    </row>
    <row r="17" spans="1:16">
      <c r="A17" s="9" t="s">
        <v>126</v>
      </c>
      <c r="B17" s="15">
        <v>90.909090909090907</v>
      </c>
      <c r="C17" s="15">
        <v>90.909090909090907</v>
      </c>
      <c r="D17" s="26" t="s">
        <v>80</v>
      </c>
      <c r="E17" s="15">
        <v>91.071428571428598</v>
      </c>
      <c r="F17" s="15">
        <v>91.071428571428598</v>
      </c>
      <c r="G17" s="26" t="s">
        <v>80</v>
      </c>
      <c r="H17" s="15">
        <v>90.625</v>
      </c>
      <c r="I17" s="15">
        <v>90.625</v>
      </c>
      <c r="J17" s="26" t="s">
        <v>80</v>
      </c>
      <c r="K17" s="20" t="s">
        <v>80</v>
      </c>
      <c r="L17" s="20" t="s">
        <v>80</v>
      </c>
      <c r="M17" s="26" t="s">
        <v>80</v>
      </c>
      <c r="N17" s="20" t="s">
        <v>80</v>
      </c>
      <c r="O17" s="20" t="s">
        <v>80</v>
      </c>
      <c r="P17" s="26" t="s">
        <v>80</v>
      </c>
    </row>
    <row r="18" spans="1:16">
      <c r="A18" s="9" t="s">
        <v>127</v>
      </c>
      <c r="B18" s="15">
        <v>97.058823529411796</v>
      </c>
      <c r="C18" s="15">
        <v>97.058823529411796</v>
      </c>
      <c r="D18" s="26" t="s">
        <v>80</v>
      </c>
      <c r="E18" s="15">
        <v>100</v>
      </c>
      <c r="F18" s="15">
        <v>100</v>
      </c>
      <c r="G18" s="26" t="s">
        <v>80</v>
      </c>
      <c r="H18" s="15">
        <v>93.3333333333333</v>
      </c>
      <c r="I18" s="15">
        <v>93.3333333333333</v>
      </c>
      <c r="J18" s="26" t="s">
        <v>80</v>
      </c>
      <c r="K18" s="20" t="s">
        <v>80</v>
      </c>
      <c r="L18" s="20" t="s">
        <v>80</v>
      </c>
      <c r="M18" s="26" t="s">
        <v>80</v>
      </c>
      <c r="N18" s="20" t="s">
        <v>80</v>
      </c>
      <c r="O18" s="20" t="s">
        <v>80</v>
      </c>
      <c r="P18" s="26" t="s">
        <v>80</v>
      </c>
    </row>
    <row r="19" spans="1:16">
      <c r="A19" s="9" t="s">
        <v>128</v>
      </c>
      <c r="B19" s="15">
        <v>93.617021276595807</v>
      </c>
      <c r="C19" s="15">
        <v>93.617021276595807</v>
      </c>
      <c r="D19" s="26" t="s">
        <v>80</v>
      </c>
      <c r="E19" s="15">
        <v>95.8333333333333</v>
      </c>
      <c r="F19" s="15">
        <v>95.8333333333333</v>
      </c>
      <c r="G19" s="26" t="s">
        <v>80</v>
      </c>
      <c r="H19" s="15">
        <v>95.238095238095198</v>
      </c>
      <c r="I19" s="15">
        <v>95.238095238095198</v>
      </c>
      <c r="J19" s="26" t="s">
        <v>80</v>
      </c>
      <c r="K19" s="20" t="s">
        <v>80</v>
      </c>
      <c r="L19" s="20" t="s">
        <v>80</v>
      </c>
      <c r="M19" s="26" t="s">
        <v>80</v>
      </c>
      <c r="N19" s="20" t="s">
        <v>80</v>
      </c>
      <c r="O19" s="20" t="s">
        <v>80</v>
      </c>
      <c r="P19" s="26" t="s">
        <v>80</v>
      </c>
    </row>
    <row r="20" spans="1:16">
      <c r="A20" s="9" t="s">
        <v>129</v>
      </c>
      <c r="B20" s="15">
        <v>93.478260869565204</v>
      </c>
      <c r="C20" s="15">
        <v>93.478260869565204</v>
      </c>
      <c r="D20" s="26" t="s">
        <v>80</v>
      </c>
      <c r="E20" s="15">
        <v>100</v>
      </c>
      <c r="F20" s="15">
        <v>100</v>
      </c>
      <c r="G20" s="26" t="s">
        <v>80</v>
      </c>
      <c r="H20" s="15">
        <v>87.5</v>
      </c>
      <c r="I20" s="15">
        <v>87.5</v>
      </c>
      <c r="J20" s="26" t="s">
        <v>80</v>
      </c>
      <c r="K20" s="20" t="s">
        <v>80</v>
      </c>
      <c r="L20" s="20" t="s">
        <v>80</v>
      </c>
      <c r="M20" s="26" t="s">
        <v>80</v>
      </c>
      <c r="N20" s="20" t="s">
        <v>80</v>
      </c>
      <c r="O20" s="20" t="s">
        <v>80</v>
      </c>
      <c r="P20" s="26" t="s">
        <v>80</v>
      </c>
    </row>
    <row r="21" spans="1:16">
      <c r="A21" s="9" t="s">
        <v>130</v>
      </c>
      <c r="B21" s="15">
        <v>100</v>
      </c>
      <c r="C21" s="15">
        <v>100</v>
      </c>
      <c r="D21" s="26" t="s">
        <v>80</v>
      </c>
      <c r="E21" s="15">
        <v>100</v>
      </c>
      <c r="F21" s="15">
        <v>100</v>
      </c>
      <c r="G21" s="26" t="s">
        <v>80</v>
      </c>
      <c r="H21" s="15">
        <v>100</v>
      </c>
      <c r="I21" s="15">
        <v>100</v>
      </c>
      <c r="J21" s="26" t="s">
        <v>80</v>
      </c>
      <c r="K21" s="20" t="s">
        <v>80</v>
      </c>
      <c r="L21" s="20" t="s">
        <v>80</v>
      </c>
      <c r="M21" s="26" t="s">
        <v>80</v>
      </c>
      <c r="N21" s="20" t="s">
        <v>80</v>
      </c>
      <c r="O21" s="20" t="s">
        <v>80</v>
      </c>
      <c r="P21" s="26" t="s">
        <v>80</v>
      </c>
    </row>
    <row r="22" spans="1:16">
      <c r="A22" s="9" t="s">
        <v>131</v>
      </c>
      <c r="B22" s="15">
        <v>98.214285714285694</v>
      </c>
      <c r="C22" s="15">
        <v>98.214285714285694</v>
      </c>
      <c r="D22" s="26" t="s">
        <v>80</v>
      </c>
      <c r="E22" s="15">
        <v>100</v>
      </c>
      <c r="F22" s="15">
        <v>100</v>
      </c>
      <c r="G22" s="26" t="s">
        <v>80</v>
      </c>
      <c r="H22" s="15">
        <v>100</v>
      </c>
      <c r="I22" s="15">
        <v>100</v>
      </c>
      <c r="J22" s="26" t="s">
        <v>80</v>
      </c>
      <c r="K22" s="20" t="s">
        <v>80</v>
      </c>
      <c r="L22" s="20" t="s">
        <v>80</v>
      </c>
      <c r="M22" s="26" t="s">
        <v>80</v>
      </c>
      <c r="N22" s="20" t="s">
        <v>80</v>
      </c>
      <c r="O22" s="20" t="s">
        <v>80</v>
      </c>
      <c r="P22" s="26" t="s">
        <v>80</v>
      </c>
    </row>
    <row r="23" spans="1:16">
      <c r="A23" s="9" t="s">
        <v>132</v>
      </c>
      <c r="B23" s="15">
        <v>97.368421052631604</v>
      </c>
      <c r="C23" s="15">
        <v>97.368421052631604</v>
      </c>
      <c r="D23" s="26" t="s">
        <v>80</v>
      </c>
      <c r="E23" s="15">
        <v>100</v>
      </c>
      <c r="F23" s="15">
        <v>100</v>
      </c>
      <c r="G23" s="26" t="s">
        <v>80</v>
      </c>
      <c r="H23" s="15">
        <v>100</v>
      </c>
      <c r="I23" s="15">
        <v>100</v>
      </c>
      <c r="J23" s="26" t="s">
        <v>80</v>
      </c>
      <c r="K23" s="20" t="s">
        <v>80</v>
      </c>
      <c r="L23" s="20" t="s">
        <v>80</v>
      </c>
      <c r="M23" s="26" t="s">
        <v>80</v>
      </c>
      <c r="N23" s="20" t="s">
        <v>80</v>
      </c>
      <c r="O23" s="20" t="s">
        <v>80</v>
      </c>
      <c r="P23" s="26" t="s">
        <v>80</v>
      </c>
    </row>
    <row r="24" spans="1:16">
      <c r="A24" s="9" t="s">
        <v>133</v>
      </c>
      <c r="B24" s="15">
        <v>84.7826086956522</v>
      </c>
      <c r="C24" s="15">
        <v>84.7826086956522</v>
      </c>
      <c r="D24" s="26" t="s">
        <v>80</v>
      </c>
      <c r="E24" s="15">
        <v>83.3333333333333</v>
      </c>
      <c r="F24" s="15">
        <v>83.3333333333333</v>
      </c>
      <c r="G24" s="26" t="s">
        <v>80</v>
      </c>
      <c r="H24" s="15">
        <v>85.185185185185205</v>
      </c>
      <c r="I24" s="15">
        <v>85.185185185185205</v>
      </c>
      <c r="J24" s="26" t="s">
        <v>80</v>
      </c>
      <c r="K24" s="20" t="s">
        <v>80</v>
      </c>
      <c r="L24" s="20" t="s">
        <v>80</v>
      </c>
      <c r="M24" s="26" t="s">
        <v>80</v>
      </c>
      <c r="N24" s="20" t="s">
        <v>80</v>
      </c>
      <c r="O24" s="20" t="s">
        <v>80</v>
      </c>
      <c r="P24" s="26" t="s">
        <v>80</v>
      </c>
    </row>
    <row r="25" spans="1:16">
      <c r="A25" s="9" t="s">
        <v>134</v>
      </c>
      <c r="B25" s="15">
        <v>95.495495495495504</v>
      </c>
      <c r="C25" s="15">
        <v>95.495495495495504</v>
      </c>
      <c r="D25" s="26" t="s">
        <v>80</v>
      </c>
      <c r="E25" s="15">
        <v>94.642857142857096</v>
      </c>
      <c r="F25" s="15">
        <v>94.642857142857096</v>
      </c>
      <c r="G25" s="26" t="s">
        <v>80</v>
      </c>
      <c r="H25" s="15">
        <v>96.078431372549005</v>
      </c>
      <c r="I25" s="15">
        <v>96.078431372549005</v>
      </c>
      <c r="J25" s="26" t="s">
        <v>80</v>
      </c>
      <c r="K25" s="20" t="s">
        <v>80</v>
      </c>
      <c r="L25" s="20" t="s">
        <v>80</v>
      </c>
      <c r="M25" s="26" t="s">
        <v>80</v>
      </c>
      <c r="N25" s="20" t="s">
        <v>80</v>
      </c>
      <c r="O25" s="20" t="s">
        <v>80</v>
      </c>
      <c r="P25" s="26" t="s">
        <v>80</v>
      </c>
    </row>
    <row r="26" spans="1:16">
      <c r="A26" s="9" t="s">
        <v>135</v>
      </c>
      <c r="B26" s="15">
        <v>92.424242424242394</v>
      </c>
      <c r="C26" s="15">
        <v>92.424242424242394</v>
      </c>
      <c r="D26" s="26" t="s">
        <v>80</v>
      </c>
      <c r="E26" s="15">
        <v>96.825396825396794</v>
      </c>
      <c r="F26" s="15">
        <v>96.825396825396794</v>
      </c>
      <c r="G26" s="26" t="s">
        <v>80</v>
      </c>
      <c r="H26" s="15">
        <v>88.3333333333333</v>
      </c>
      <c r="I26" s="15">
        <v>88.3333333333333</v>
      </c>
      <c r="J26" s="26" t="s">
        <v>80</v>
      </c>
      <c r="K26" s="20" t="s">
        <v>80</v>
      </c>
      <c r="L26" s="20" t="s">
        <v>80</v>
      </c>
      <c r="M26" s="26" t="s">
        <v>80</v>
      </c>
      <c r="N26" s="15">
        <v>87.5</v>
      </c>
      <c r="O26" s="15">
        <v>87.5</v>
      </c>
      <c r="P26" s="26" t="s">
        <v>80</v>
      </c>
    </row>
    <row r="27" spans="1:16">
      <c r="A27" s="9" t="s">
        <v>136</v>
      </c>
      <c r="B27" s="15">
        <v>100</v>
      </c>
      <c r="C27" s="15">
        <v>100</v>
      </c>
      <c r="D27" s="26" t="s">
        <v>80</v>
      </c>
      <c r="E27" s="15">
        <v>100</v>
      </c>
      <c r="F27" s="15">
        <v>100</v>
      </c>
      <c r="G27" s="26" t="s">
        <v>80</v>
      </c>
      <c r="H27" s="15">
        <v>100</v>
      </c>
      <c r="I27" s="15">
        <v>100</v>
      </c>
      <c r="J27" s="26" t="s">
        <v>80</v>
      </c>
      <c r="K27" s="20" t="s">
        <v>80</v>
      </c>
      <c r="L27" s="20" t="s">
        <v>80</v>
      </c>
      <c r="M27" s="26" t="s">
        <v>80</v>
      </c>
      <c r="N27" s="20" t="s">
        <v>80</v>
      </c>
      <c r="O27" s="20" t="s">
        <v>80</v>
      </c>
      <c r="P27" s="26" t="s">
        <v>80</v>
      </c>
    </row>
    <row r="28" spans="1:16">
      <c r="A28" s="9" t="s">
        <v>137</v>
      </c>
      <c r="B28" s="15">
        <v>97.826086956521706</v>
      </c>
      <c r="C28" s="15">
        <v>97.826086956521706</v>
      </c>
      <c r="D28" s="26" t="s">
        <v>80</v>
      </c>
      <c r="E28" s="15">
        <v>95.454545454545496</v>
      </c>
      <c r="F28" s="15">
        <v>95.454545454545496</v>
      </c>
      <c r="G28" s="26" t="s">
        <v>80</v>
      </c>
      <c r="H28" s="15">
        <v>100</v>
      </c>
      <c r="I28" s="15">
        <v>100</v>
      </c>
      <c r="J28" s="26" t="s">
        <v>80</v>
      </c>
      <c r="K28" s="20" t="s">
        <v>80</v>
      </c>
      <c r="L28" s="20" t="s">
        <v>80</v>
      </c>
      <c r="M28" s="26" t="s">
        <v>80</v>
      </c>
      <c r="N28" s="20" t="s">
        <v>80</v>
      </c>
      <c r="O28" s="20" t="s">
        <v>80</v>
      </c>
      <c r="P28" s="26" t="s">
        <v>80</v>
      </c>
    </row>
    <row r="29" spans="1:16">
      <c r="A29" s="9" t="s">
        <v>138</v>
      </c>
      <c r="B29" s="15">
        <v>95.454545454545496</v>
      </c>
      <c r="C29" s="15">
        <v>95.454545454545496</v>
      </c>
      <c r="D29" s="26" t="s">
        <v>80</v>
      </c>
      <c r="E29" s="15">
        <v>87.5</v>
      </c>
      <c r="F29" s="15">
        <v>87.5</v>
      </c>
      <c r="G29" s="26" t="s">
        <v>80</v>
      </c>
      <c r="H29" s="15">
        <v>100</v>
      </c>
      <c r="I29" s="15">
        <v>100</v>
      </c>
      <c r="J29" s="26" t="s">
        <v>80</v>
      </c>
      <c r="K29" s="20" t="s">
        <v>80</v>
      </c>
      <c r="L29" s="20" t="s">
        <v>80</v>
      </c>
      <c r="M29" s="26" t="s">
        <v>80</v>
      </c>
      <c r="N29" s="20" t="s">
        <v>80</v>
      </c>
      <c r="O29" s="20" t="s">
        <v>80</v>
      </c>
      <c r="P29" s="26" t="s">
        <v>80</v>
      </c>
    </row>
    <row r="30" spans="1:16">
      <c r="A30" s="9" t="s">
        <v>139</v>
      </c>
      <c r="B30" s="15">
        <v>95.238095238095198</v>
      </c>
      <c r="C30" s="15">
        <v>95.238095238095198</v>
      </c>
      <c r="D30" s="26" t="s">
        <v>80</v>
      </c>
      <c r="E30" s="15">
        <v>94.736842105263193</v>
      </c>
      <c r="F30" s="15">
        <v>94.736842105263193</v>
      </c>
      <c r="G30" s="26" t="s">
        <v>80</v>
      </c>
      <c r="H30" s="15">
        <v>95.238095238095198</v>
      </c>
      <c r="I30" s="15">
        <v>95.238095238095198</v>
      </c>
      <c r="J30" s="26" t="s">
        <v>80</v>
      </c>
      <c r="K30" s="20" t="s">
        <v>80</v>
      </c>
      <c r="L30" s="20" t="s">
        <v>80</v>
      </c>
      <c r="M30" s="26" t="s">
        <v>80</v>
      </c>
      <c r="N30" s="20" t="s">
        <v>80</v>
      </c>
      <c r="O30" s="20" t="s">
        <v>80</v>
      </c>
      <c r="P30" s="26" t="s">
        <v>80</v>
      </c>
    </row>
    <row r="31" spans="1:16">
      <c r="A31" s="9" t="s">
        <v>140</v>
      </c>
      <c r="B31" s="15">
        <v>93.478260869565204</v>
      </c>
      <c r="C31" s="15">
        <v>93.478260869565204</v>
      </c>
      <c r="D31" s="26" t="s">
        <v>80</v>
      </c>
      <c r="E31" s="15">
        <v>89.655172413793096</v>
      </c>
      <c r="F31" s="15">
        <v>89.655172413793096</v>
      </c>
      <c r="G31" s="26" t="s">
        <v>80</v>
      </c>
      <c r="H31" s="15">
        <v>100</v>
      </c>
      <c r="I31" s="15">
        <v>100</v>
      </c>
      <c r="J31" s="26" t="s">
        <v>80</v>
      </c>
      <c r="K31" s="20" t="s">
        <v>80</v>
      </c>
      <c r="L31" s="20" t="s">
        <v>80</v>
      </c>
      <c r="M31" s="26" t="s">
        <v>80</v>
      </c>
      <c r="N31" s="20" t="s">
        <v>80</v>
      </c>
      <c r="O31" s="20" t="s">
        <v>80</v>
      </c>
      <c r="P31" s="26" t="s">
        <v>80</v>
      </c>
    </row>
    <row r="32" spans="1:16">
      <c r="A32" s="9" t="s">
        <v>141</v>
      </c>
      <c r="B32" s="15">
        <v>84.848484848484802</v>
      </c>
      <c r="C32" s="15">
        <v>84.848484848484802</v>
      </c>
      <c r="D32" s="26" t="s">
        <v>80</v>
      </c>
      <c r="E32" s="15">
        <v>81.25</v>
      </c>
      <c r="F32" s="15">
        <v>81.25</v>
      </c>
      <c r="G32" s="26" t="s">
        <v>80</v>
      </c>
      <c r="H32" s="15">
        <v>87.5</v>
      </c>
      <c r="I32" s="15">
        <v>87.5</v>
      </c>
      <c r="J32" s="26" t="s">
        <v>80</v>
      </c>
      <c r="K32" s="20" t="s">
        <v>80</v>
      </c>
      <c r="L32" s="20" t="s">
        <v>80</v>
      </c>
      <c r="M32" s="26" t="s">
        <v>80</v>
      </c>
      <c r="N32" s="20" t="s">
        <v>80</v>
      </c>
      <c r="O32" s="20" t="s">
        <v>80</v>
      </c>
      <c r="P32" s="26" t="s">
        <v>80</v>
      </c>
    </row>
    <row r="33" spans="1:16">
      <c r="A33" s="9" t="s">
        <v>142</v>
      </c>
      <c r="B33" s="15">
        <v>97.727272727272705</v>
      </c>
      <c r="C33" s="15">
        <v>97.727272727272705</v>
      </c>
      <c r="D33" s="26" t="s">
        <v>80</v>
      </c>
      <c r="E33" s="15">
        <v>100</v>
      </c>
      <c r="F33" s="15">
        <v>100</v>
      </c>
      <c r="G33" s="26" t="s">
        <v>80</v>
      </c>
      <c r="H33" s="15">
        <v>94.4444444444444</v>
      </c>
      <c r="I33" s="15">
        <v>94.4444444444444</v>
      </c>
      <c r="J33" s="26" t="s">
        <v>80</v>
      </c>
      <c r="K33" s="20" t="s">
        <v>80</v>
      </c>
      <c r="L33" s="20" t="s">
        <v>80</v>
      </c>
      <c r="M33" s="26" t="s">
        <v>80</v>
      </c>
      <c r="N33" s="20" t="s">
        <v>80</v>
      </c>
      <c r="O33" s="20" t="s">
        <v>80</v>
      </c>
      <c r="P33" s="26" t="s">
        <v>80</v>
      </c>
    </row>
    <row r="34" spans="1:16">
      <c r="A34" s="9" t="s">
        <v>143</v>
      </c>
      <c r="B34" s="15">
        <v>100</v>
      </c>
      <c r="C34" s="15">
        <v>100</v>
      </c>
      <c r="D34" s="26" t="s">
        <v>80</v>
      </c>
      <c r="E34" s="20" t="s">
        <v>80</v>
      </c>
      <c r="F34" s="20" t="s">
        <v>80</v>
      </c>
      <c r="G34" s="26" t="s">
        <v>80</v>
      </c>
      <c r="H34" s="15">
        <v>100</v>
      </c>
      <c r="I34" s="15">
        <v>100</v>
      </c>
      <c r="J34" s="26" t="s">
        <v>80</v>
      </c>
      <c r="K34" s="20" t="s">
        <v>80</v>
      </c>
      <c r="L34" s="20" t="s">
        <v>80</v>
      </c>
      <c r="M34" s="26" t="s">
        <v>80</v>
      </c>
      <c r="N34" s="20" t="s">
        <v>80</v>
      </c>
      <c r="O34" s="20" t="s">
        <v>80</v>
      </c>
      <c r="P34" s="26" t="s">
        <v>80</v>
      </c>
    </row>
    <row r="35" spans="1:16">
      <c r="A35" s="9" t="s">
        <v>144</v>
      </c>
      <c r="B35" s="15">
        <v>96.774193548387103</v>
      </c>
      <c r="C35" s="15">
        <v>96.774193548387103</v>
      </c>
      <c r="D35" s="26" t="s">
        <v>80</v>
      </c>
      <c r="E35" s="15">
        <v>95.5555555555556</v>
      </c>
      <c r="F35" s="15">
        <v>95.5555555555556</v>
      </c>
      <c r="G35" s="26" t="s">
        <v>80</v>
      </c>
      <c r="H35" s="15">
        <v>97.7777777777778</v>
      </c>
      <c r="I35" s="15">
        <v>97.7777777777778</v>
      </c>
      <c r="J35" s="26" t="s">
        <v>80</v>
      </c>
      <c r="K35" s="20" t="s">
        <v>80</v>
      </c>
      <c r="L35" s="20" t="s">
        <v>80</v>
      </c>
      <c r="M35" s="26" t="s">
        <v>80</v>
      </c>
      <c r="N35" s="20" t="s">
        <v>80</v>
      </c>
      <c r="O35" s="20" t="s">
        <v>80</v>
      </c>
      <c r="P35" s="26" t="s">
        <v>80</v>
      </c>
    </row>
    <row r="36" spans="1:16">
      <c r="A36" s="9" t="s">
        <v>145</v>
      </c>
      <c r="B36" s="15">
        <v>100</v>
      </c>
      <c r="C36" s="15">
        <v>100</v>
      </c>
      <c r="D36" s="26" t="s">
        <v>80</v>
      </c>
      <c r="E36" s="15">
        <v>100</v>
      </c>
      <c r="F36" s="15">
        <v>100</v>
      </c>
      <c r="G36" s="26" t="s">
        <v>80</v>
      </c>
      <c r="H36" s="15">
        <v>100</v>
      </c>
      <c r="I36" s="15">
        <v>100</v>
      </c>
      <c r="J36" s="26" t="s">
        <v>80</v>
      </c>
      <c r="K36" s="20" t="s">
        <v>80</v>
      </c>
      <c r="L36" s="20" t="s">
        <v>80</v>
      </c>
      <c r="M36" s="26" t="s">
        <v>80</v>
      </c>
      <c r="N36" s="20" t="s">
        <v>80</v>
      </c>
      <c r="O36" s="20" t="s">
        <v>80</v>
      </c>
      <c r="P36" s="26" t="s">
        <v>80</v>
      </c>
    </row>
    <row r="37" spans="1:16" ht="21.9" customHeight="1">
      <c r="A37" s="22" t="s">
        <v>146</v>
      </c>
      <c r="B37" s="15">
        <v>92.886187070787997</v>
      </c>
      <c r="C37" s="20" t="s">
        <v>80</v>
      </c>
      <c r="D37" s="24">
        <v>92.886187070787997</v>
      </c>
      <c r="E37" s="15">
        <v>93.401705541856202</v>
      </c>
      <c r="F37" s="20" t="s">
        <v>80</v>
      </c>
      <c r="G37" s="24">
        <v>93.401705541856202</v>
      </c>
      <c r="H37" s="15">
        <v>92.709237763141303</v>
      </c>
      <c r="I37" s="20" t="s">
        <v>80</v>
      </c>
      <c r="J37" s="24">
        <v>92.709237763141303</v>
      </c>
      <c r="K37" s="15">
        <v>82.8752945245419</v>
      </c>
      <c r="L37" s="20" t="s">
        <v>80</v>
      </c>
      <c r="M37" s="24">
        <v>82.8752945245419</v>
      </c>
      <c r="N37" s="15">
        <v>91.824409976028306</v>
      </c>
      <c r="O37" s="20" t="s">
        <v>80</v>
      </c>
      <c r="P37" s="24">
        <v>91.824409976028306</v>
      </c>
    </row>
    <row r="38" spans="1:16">
      <c r="A38" s="9" t="s">
        <v>147</v>
      </c>
      <c r="B38" s="15">
        <v>92.159763313609503</v>
      </c>
      <c r="C38" s="20" t="s">
        <v>80</v>
      </c>
      <c r="D38" s="24">
        <v>92.159763313609503</v>
      </c>
      <c r="E38" s="15">
        <v>92.880258899676406</v>
      </c>
      <c r="F38" s="20" t="s">
        <v>80</v>
      </c>
      <c r="G38" s="24">
        <v>92.880258899676406</v>
      </c>
      <c r="H38" s="15">
        <v>92.647058823529406</v>
      </c>
      <c r="I38" s="20" t="s">
        <v>80</v>
      </c>
      <c r="J38" s="24">
        <v>92.647058823529406</v>
      </c>
      <c r="K38" s="15">
        <v>77.7777777777778</v>
      </c>
      <c r="L38" s="20" t="s">
        <v>80</v>
      </c>
      <c r="M38" s="24">
        <v>77.7777777777778</v>
      </c>
      <c r="N38" s="15">
        <v>77.7777777777778</v>
      </c>
      <c r="O38" s="20" t="s">
        <v>80</v>
      </c>
      <c r="P38" s="24">
        <v>77.7777777777778</v>
      </c>
    </row>
    <row r="39" spans="1:16">
      <c r="A39" s="9" t="s">
        <v>148</v>
      </c>
      <c r="B39" s="15">
        <v>90.196078431372598</v>
      </c>
      <c r="C39" s="20" t="s">
        <v>80</v>
      </c>
      <c r="D39" s="24">
        <v>90.196078431372598</v>
      </c>
      <c r="E39" s="15">
        <v>89.285714285714306</v>
      </c>
      <c r="F39" s="20" t="s">
        <v>80</v>
      </c>
      <c r="G39" s="24">
        <v>89.285714285714306</v>
      </c>
      <c r="H39" s="15">
        <v>90.625</v>
      </c>
      <c r="I39" s="20" t="s">
        <v>80</v>
      </c>
      <c r="J39" s="24">
        <v>90.625</v>
      </c>
      <c r="K39" s="15">
        <v>100</v>
      </c>
      <c r="L39" s="20" t="s">
        <v>80</v>
      </c>
      <c r="M39" s="24">
        <v>100</v>
      </c>
      <c r="N39" s="15">
        <v>100</v>
      </c>
      <c r="O39" s="20" t="s">
        <v>80</v>
      </c>
      <c r="P39" s="24">
        <v>100</v>
      </c>
    </row>
    <row r="40" spans="1:16">
      <c r="A40" s="9" t="s">
        <v>149</v>
      </c>
      <c r="B40" s="15">
        <v>92.929292929292899</v>
      </c>
      <c r="C40" s="20" t="s">
        <v>80</v>
      </c>
      <c r="D40" s="24">
        <v>92.929292929292899</v>
      </c>
      <c r="E40" s="15">
        <v>91.463414634146304</v>
      </c>
      <c r="F40" s="20" t="s">
        <v>80</v>
      </c>
      <c r="G40" s="24">
        <v>91.463414634146304</v>
      </c>
      <c r="H40" s="15">
        <v>94.4444444444444</v>
      </c>
      <c r="I40" s="20" t="s">
        <v>80</v>
      </c>
      <c r="J40" s="24">
        <v>94.4444444444444</v>
      </c>
      <c r="K40" s="15">
        <v>83.3333333333333</v>
      </c>
      <c r="L40" s="20" t="s">
        <v>80</v>
      </c>
      <c r="M40" s="24">
        <v>83.3333333333333</v>
      </c>
      <c r="N40" s="20" t="s">
        <v>80</v>
      </c>
      <c r="O40" s="20" t="s">
        <v>80</v>
      </c>
      <c r="P40" s="26" t="s">
        <v>80</v>
      </c>
    </row>
    <row r="41" spans="1:16">
      <c r="A41" s="9" t="s">
        <v>150</v>
      </c>
      <c r="B41" s="15">
        <v>95.620437956204398</v>
      </c>
      <c r="C41" s="20" t="s">
        <v>80</v>
      </c>
      <c r="D41" s="24">
        <v>95.620437956204398</v>
      </c>
      <c r="E41" s="15">
        <v>94.366197183098606</v>
      </c>
      <c r="F41" s="20" t="s">
        <v>80</v>
      </c>
      <c r="G41" s="24">
        <v>94.366197183098606</v>
      </c>
      <c r="H41" s="15">
        <v>98.305084745762699</v>
      </c>
      <c r="I41" s="20" t="s">
        <v>80</v>
      </c>
      <c r="J41" s="24">
        <v>98.305084745762699</v>
      </c>
      <c r="K41" s="20" t="s">
        <v>80</v>
      </c>
      <c r="L41" s="20" t="s">
        <v>80</v>
      </c>
      <c r="M41" s="26" t="s">
        <v>80</v>
      </c>
      <c r="N41" s="20" t="s">
        <v>80</v>
      </c>
      <c r="O41" s="20" t="s">
        <v>80</v>
      </c>
      <c r="P41" s="26" t="s">
        <v>80</v>
      </c>
    </row>
    <row r="42" spans="1:16">
      <c r="A42" s="9" t="s">
        <v>151</v>
      </c>
      <c r="B42" s="15">
        <v>97.305389221556894</v>
      </c>
      <c r="C42" s="20" t="s">
        <v>80</v>
      </c>
      <c r="D42" s="24">
        <v>97.305389221556894</v>
      </c>
      <c r="E42" s="15">
        <v>96.913580246913597</v>
      </c>
      <c r="F42" s="20" t="s">
        <v>80</v>
      </c>
      <c r="G42" s="24">
        <v>96.913580246913597</v>
      </c>
      <c r="H42" s="15">
        <v>98.039215686274503</v>
      </c>
      <c r="I42" s="20" t="s">
        <v>80</v>
      </c>
      <c r="J42" s="24">
        <v>98.039215686274503</v>
      </c>
      <c r="K42" s="20" t="s">
        <v>80</v>
      </c>
      <c r="L42" s="20" t="s">
        <v>80</v>
      </c>
      <c r="M42" s="26" t="s">
        <v>80</v>
      </c>
      <c r="N42" s="15">
        <v>100</v>
      </c>
      <c r="O42" s="20" t="s">
        <v>80</v>
      </c>
      <c r="P42" s="24">
        <v>100</v>
      </c>
    </row>
    <row r="43" spans="1:16">
      <c r="A43" s="9" t="s">
        <v>152</v>
      </c>
      <c r="B43" s="15">
        <v>91.897654584221698</v>
      </c>
      <c r="C43" s="20" t="s">
        <v>80</v>
      </c>
      <c r="D43" s="24">
        <v>91.897654584221698</v>
      </c>
      <c r="E43" s="15">
        <v>91.428571428571402</v>
      </c>
      <c r="F43" s="20" t="s">
        <v>80</v>
      </c>
      <c r="G43" s="24">
        <v>91.428571428571402</v>
      </c>
      <c r="H43" s="15">
        <v>92.890995260663502</v>
      </c>
      <c r="I43" s="20" t="s">
        <v>80</v>
      </c>
      <c r="J43" s="24">
        <v>92.890995260663502</v>
      </c>
      <c r="K43" s="15">
        <v>75</v>
      </c>
      <c r="L43" s="20" t="s">
        <v>80</v>
      </c>
      <c r="M43" s="24">
        <v>75</v>
      </c>
      <c r="N43" s="15">
        <v>100</v>
      </c>
      <c r="O43" s="20" t="s">
        <v>80</v>
      </c>
      <c r="P43" s="24">
        <v>100</v>
      </c>
    </row>
    <row r="44" spans="1:16">
      <c r="A44" s="9" t="s">
        <v>153</v>
      </c>
      <c r="B44" s="15">
        <v>94.117647058823493</v>
      </c>
      <c r="C44" s="20" t="s">
        <v>80</v>
      </c>
      <c r="D44" s="24">
        <v>94.117647058823493</v>
      </c>
      <c r="E44" s="15">
        <v>93.939393939393895</v>
      </c>
      <c r="F44" s="20" t="s">
        <v>80</v>
      </c>
      <c r="G44" s="24">
        <v>93.939393939393895</v>
      </c>
      <c r="H44" s="15">
        <v>93.75</v>
      </c>
      <c r="I44" s="20" t="s">
        <v>80</v>
      </c>
      <c r="J44" s="24">
        <v>93.75</v>
      </c>
      <c r="K44" s="20" t="s">
        <v>80</v>
      </c>
      <c r="L44" s="20" t="s">
        <v>80</v>
      </c>
      <c r="M44" s="26" t="s">
        <v>80</v>
      </c>
      <c r="N44" s="20" t="s">
        <v>80</v>
      </c>
      <c r="O44" s="20" t="s">
        <v>80</v>
      </c>
      <c r="P44" s="26" t="s">
        <v>80</v>
      </c>
    </row>
    <row r="45" spans="1:16">
      <c r="A45" s="11" t="s">
        <v>154</v>
      </c>
      <c r="B45" s="16">
        <v>96.969696969696997</v>
      </c>
      <c r="C45" s="28" t="s">
        <v>80</v>
      </c>
      <c r="D45" s="25">
        <v>96.969696969696997</v>
      </c>
      <c r="E45" s="16">
        <v>99.393939393939405</v>
      </c>
      <c r="F45" s="28" t="s">
        <v>80</v>
      </c>
      <c r="G45" s="25">
        <v>99.393939393939405</v>
      </c>
      <c r="H45" s="16">
        <v>94.193548387096797</v>
      </c>
      <c r="I45" s="28" t="s">
        <v>80</v>
      </c>
      <c r="J45" s="25">
        <v>94.193548387096797</v>
      </c>
      <c r="K45" s="28" t="s">
        <v>80</v>
      </c>
      <c r="L45" s="28" t="s">
        <v>80</v>
      </c>
      <c r="M45" s="29" t="s">
        <v>80</v>
      </c>
      <c r="N45" s="16">
        <v>100</v>
      </c>
      <c r="O45" s="28" t="s">
        <v>80</v>
      </c>
      <c r="P45" s="25">
        <v>100</v>
      </c>
    </row>
    <row r="46" spans="1:16" ht="30" customHeight="1">
      <c r="A46" t="s">
        <v>155</v>
      </c>
    </row>
    <row r="47" spans="1:16">
      <c r="A47" t="s">
        <v>93</v>
      </c>
    </row>
    <row r="48" spans="1:16">
      <c r="A48" t="s">
        <v>94</v>
      </c>
    </row>
    <row r="49" spans="1:1">
      <c r="A49" t="s">
        <v>95</v>
      </c>
    </row>
    <row r="50" spans="1:1">
      <c r="A50" t="s">
        <v>96</v>
      </c>
    </row>
    <row r="51" spans="1:1">
      <c r="A51" t="s">
        <v>97</v>
      </c>
    </row>
    <row r="52" spans="1:1">
      <c r="A5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231</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161</v>
      </c>
      <c r="B3" s="15">
        <v>22.216141194969701</v>
      </c>
      <c r="C3" s="15">
        <v>23.928639014724599</v>
      </c>
      <c r="D3" s="24">
        <v>20.717951046679499</v>
      </c>
      <c r="E3" s="15">
        <v>24.442470754952399</v>
      </c>
      <c r="F3" s="15">
        <v>28.0245782867961</v>
      </c>
      <c r="G3" s="24">
        <v>21.2902231790396</v>
      </c>
      <c r="H3" s="15">
        <v>19.658005983728</v>
      </c>
      <c r="I3" s="15">
        <v>19.427413868837402</v>
      </c>
      <c r="J3" s="24">
        <v>19.861558608790599</v>
      </c>
      <c r="K3" s="20" t="s">
        <v>80</v>
      </c>
      <c r="L3" s="20" t="s">
        <v>80</v>
      </c>
      <c r="M3" s="26" t="s">
        <v>80</v>
      </c>
      <c r="N3" s="15">
        <v>30.5967393495404</v>
      </c>
      <c r="O3" s="20" t="s">
        <v>80</v>
      </c>
      <c r="P3" s="26" t="s">
        <v>80</v>
      </c>
    </row>
    <row r="4" spans="1:16">
      <c r="A4" s="9" t="s">
        <v>162</v>
      </c>
      <c r="B4" s="15">
        <v>16.066562270386701</v>
      </c>
      <c r="C4" s="15">
        <v>16.548069706433601</v>
      </c>
      <c r="D4" s="24">
        <v>15.6453122759679</v>
      </c>
      <c r="E4" s="15">
        <v>18.1089525989278</v>
      </c>
      <c r="F4" s="15">
        <v>16.963219874855199</v>
      </c>
      <c r="G4" s="24">
        <v>19.117195140502901</v>
      </c>
      <c r="H4" s="15">
        <v>14.039672193549199</v>
      </c>
      <c r="I4" s="15">
        <v>16.006349273473099</v>
      </c>
      <c r="J4" s="24">
        <v>12.303609872168099</v>
      </c>
      <c r="K4" s="20" t="s">
        <v>80</v>
      </c>
      <c r="L4" s="20" t="s">
        <v>80</v>
      </c>
      <c r="M4" s="26" t="s">
        <v>80</v>
      </c>
      <c r="N4" s="20" t="s">
        <v>80</v>
      </c>
      <c r="O4" s="20" t="s">
        <v>80</v>
      </c>
      <c r="P4" s="26" t="s">
        <v>80</v>
      </c>
    </row>
    <row r="5" spans="1:16">
      <c r="A5" s="9" t="s">
        <v>163</v>
      </c>
      <c r="B5" s="15">
        <v>21.6154431914273</v>
      </c>
      <c r="C5" s="15">
        <v>16.742402434917899</v>
      </c>
      <c r="D5" s="24">
        <v>25.878655424108199</v>
      </c>
      <c r="E5" s="15">
        <v>21.7506911114586</v>
      </c>
      <c r="F5" s="15">
        <v>18.056747740100199</v>
      </c>
      <c r="G5" s="24">
        <v>25.001354005972701</v>
      </c>
      <c r="H5" s="15">
        <v>21.219968888501299</v>
      </c>
      <c r="I5" s="15">
        <v>15.420087846752899</v>
      </c>
      <c r="J5" s="24">
        <v>26.339749379084498</v>
      </c>
      <c r="K5" s="20" t="s">
        <v>80</v>
      </c>
      <c r="L5" s="20" t="s">
        <v>80</v>
      </c>
      <c r="M5" s="26" t="s">
        <v>80</v>
      </c>
      <c r="N5" s="20" t="s">
        <v>80</v>
      </c>
      <c r="O5" s="20" t="s">
        <v>80</v>
      </c>
      <c r="P5" s="26" t="s">
        <v>80</v>
      </c>
    </row>
    <row r="6" spans="1:16">
      <c r="A6" s="9" t="s">
        <v>164</v>
      </c>
      <c r="B6" s="15">
        <v>36.127700148584601</v>
      </c>
      <c r="C6" s="15">
        <v>39.0981660085762</v>
      </c>
      <c r="D6" s="24">
        <v>33.528968263537102</v>
      </c>
      <c r="E6" s="15">
        <v>43.197378231834001</v>
      </c>
      <c r="F6" s="15">
        <v>45.330281476538197</v>
      </c>
      <c r="G6" s="24">
        <v>41.320427575549601</v>
      </c>
      <c r="H6" s="15">
        <v>28.7385429627282</v>
      </c>
      <c r="I6" s="15">
        <v>32.796086499754203</v>
      </c>
      <c r="J6" s="24">
        <v>25.156791528341</v>
      </c>
      <c r="K6" s="20" t="s">
        <v>80</v>
      </c>
      <c r="L6" s="20" t="s">
        <v>80</v>
      </c>
      <c r="M6" s="26" t="s">
        <v>80</v>
      </c>
      <c r="N6" s="15">
        <v>42.545006780256998</v>
      </c>
      <c r="O6" s="20" t="s">
        <v>80</v>
      </c>
      <c r="P6" s="26" t="s">
        <v>80</v>
      </c>
    </row>
    <row r="7" spans="1:16">
      <c r="A7" s="9" t="s">
        <v>165</v>
      </c>
      <c r="B7" s="15">
        <v>19.5314228394118</v>
      </c>
      <c r="C7" s="15">
        <v>24.1226168192687</v>
      </c>
      <c r="D7" s="24">
        <v>15.5147861405722</v>
      </c>
      <c r="E7" s="15">
        <v>25.854317290455</v>
      </c>
      <c r="F7" s="15">
        <v>30.208718351730401</v>
      </c>
      <c r="G7" s="24">
        <v>22.022452929059799</v>
      </c>
      <c r="H7" s="15">
        <v>13.310061116169599</v>
      </c>
      <c r="I7" s="15">
        <v>18.339118299256601</v>
      </c>
      <c r="J7" s="24">
        <v>8.8707168146813604</v>
      </c>
      <c r="K7" s="20" t="s">
        <v>80</v>
      </c>
      <c r="L7" s="20" t="s">
        <v>80</v>
      </c>
      <c r="M7" s="26" t="s">
        <v>80</v>
      </c>
      <c r="N7" s="20" t="s">
        <v>80</v>
      </c>
      <c r="O7" s="20" t="s">
        <v>80</v>
      </c>
      <c r="P7" s="26" t="s">
        <v>80</v>
      </c>
    </row>
    <row r="8" spans="1:16">
      <c r="A8" s="9" t="s">
        <v>166</v>
      </c>
      <c r="B8" s="15">
        <v>1.8409806882097099</v>
      </c>
      <c r="C8" s="15">
        <v>2.3222607522479599</v>
      </c>
      <c r="D8" s="24">
        <v>1.4199296117104001</v>
      </c>
      <c r="E8" s="15">
        <v>1.88761391553358</v>
      </c>
      <c r="F8" s="15">
        <v>2.3451482505491099</v>
      </c>
      <c r="G8" s="26" t="s">
        <v>80</v>
      </c>
      <c r="H8" s="15">
        <v>1.5532391293322101</v>
      </c>
      <c r="I8" s="15">
        <v>2.2943428651009898</v>
      </c>
      <c r="J8" s="26" t="s">
        <v>80</v>
      </c>
      <c r="K8" s="20" t="s">
        <v>80</v>
      </c>
      <c r="L8" s="20" t="s">
        <v>80</v>
      </c>
      <c r="M8" s="26" t="s">
        <v>80</v>
      </c>
      <c r="N8" s="20" t="s">
        <v>80</v>
      </c>
      <c r="O8" s="20" t="s">
        <v>80</v>
      </c>
      <c r="P8" s="26" t="s">
        <v>80</v>
      </c>
    </row>
    <row r="9" spans="1:16">
      <c r="A9" s="9" t="s">
        <v>167</v>
      </c>
      <c r="B9" s="15">
        <v>14.5480573979046</v>
      </c>
      <c r="C9" s="15">
        <v>16.898291307077699</v>
      </c>
      <c r="D9" s="24">
        <v>12.4919395749901</v>
      </c>
      <c r="E9" s="15">
        <v>15.180732317791399</v>
      </c>
      <c r="F9" s="15">
        <v>18.564719225363302</v>
      </c>
      <c r="G9" s="24">
        <v>12.2028305011969</v>
      </c>
      <c r="H9" s="15">
        <v>14.1537276726042</v>
      </c>
      <c r="I9" s="15">
        <v>15.1382331116372</v>
      </c>
      <c r="J9" s="24">
        <v>13.2846664447355</v>
      </c>
      <c r="K9" s="20" t="s">
        <v>80</v>
      </c>
      <c r="L9" s="20" t="s">
        <v>80</v>
      </c>
      <c r="M9" s="26" t="s">
        <v>80</v>
      </c>
      <c r="N9" s="20" t="s">
        <v>80</v>
      </c>
      <c r="O9" s="20" t="s">
        <v>80</v>
      </c>
      <c r="P9" s="26" t="s">
        <v>80</v>
      </c>
    </row>
    <row r="10" spans="1:16">
      <c r="A10" s="9" t="s">
        <v>168</v>
      </c>
      <c r="B10" s="15">
        <v>10.042208323236499</v>
      </c>
      <c r="C10" s="15">
        <v>8.5461728634403595</v>
      </c>
      <c r="D10" s="24">
        <v>11.351024931061399</v>
      </c>
      <c r="E10" s="15">
        <v>13.614589144617</v>
      </c>
      <c r="F10" s="15">
        <v>11.7486792200423</v>
      </c>
      <c r="G10" s="24">
        <v>15.2565862048182</v>
      </c>
      <c r="H10" s="15">
        <v>6.3853880436898498</v>
      </c>
      <c r="I10" s="15">
        <v>5.0723995701066098</v>
      </c>
      <c r="J10" s="24">
        <v>7.5444140173304302</v>
      </c>
      <c r="K10" s="20" t="s">
        <v>80</v>
      </c>
      <c r="L10" s="20" t="s">
        <v>80</v>
      </c>
      <c r="M10" s="26" t="s">
        <v>80</v>
      </c>
      <c r="N10" s="20" t="s">
        <v>80</v>
      </c>
      <c r="O10" s="20" t="s">
        <v>80</v>
      </c>
      <c r="P10" s="26" t="s">
        <v>80</v>
      </c>
    </row>
    <row r="11" spans="1:16">
      <c r="A11" s="9" t="s">
        <v>169</v>
      </c>
      <c r="B11" s="15">
        <v>24.298308963177401</v>
      </c>
      <c r="C11" s="15">
        <v>23.0411019298075</v>
      </c>
      <c r="D11" s="24">
        <v>25.398184927997701</v>
      </c>
      <c r="E11" s="15">
        <v>25.206577696844899</v>
      </c>
      <c r="F11" s="15">
        <v>24.703624479259599</v>
      </c>
      <c r="G11" s="24">
        <v>25.649175538154001</v>
      </c>
      <c r="H11" s="15">
        <v>23.558750770879701</v>
      </c>
      <c r="I11" s="15">
        <v>21.347956227233599</v>
      </c>
      <c r="J11" s="24">
        <v>25.510305068592601</v>
      </c>
      <c r="K11" s="20" t="s">
        <v>80</v>
      </c>
      <c r="L11" s="20" t="s">
        <v>80</v>
      </c>
      <c r="M11" s="26" t="s">
        <v>80</v>
      </c>
      <c r="N11" s="20" t="s">
        <v>80</v>
      </c>
      <c r="O11" s="20" t="s">
        <v>80</v>
      </c>
      <c r="P11" s="26" t="s">
        <v>80</v>
      </c>
    </row>
    <row r="12" spans="1:16">
      <c r="A12" s="9" t="s">
        <v>170</v>
      </c>
      <c r="B12" s="15">
        <v>5.5417086204512502</v>
      </c>
      <c r="C12" s="15">
        <v>6.9504289944708404</v>
      </c>
      <c r="D12" s="24">
        <v>4.3092801982336297</v>
      </c>
      <c r="E12" s="15">
        <v>6.4480879150746704</v>
      </c>
      <c r="F12" s="15">
        <v>8.0143100776673393</v>
      </c>
      <c r="G12" s="24">
        <v>5.0698154954210901</v>
      </c>
      <c r="H12" s="15">
        <v>4.5431674446495496</v>
      </c>
      <c r="I12" s="15">
        <v>5.9498835971933399</v>
      </c>
      <c r="J12" s="24">
        <v>3.3014044047284998</v>
      </c>
      <c r="K12" s="20" t="s">
        <v>80</v>
      </c>
      <c r="L12" s="20" t="s">
        <v>80</v>
      </c>
      <c r="M12" s="26" t="s">
        <v>80</v>
      </c>
      <c r="N12" s="20" t="s">
        <v>80</v>
      </c>
      <c r="O12" s="20" t="s">
        <v>80</v>
      </c>
      <c r="P12" s="26" t="s">
        <v>80</v>
      </c>
    </row>
    <row r="13" spans="1:16">
      <c r="A13" s="9" t="s">
        <v>171</v>
      </c>
      <c r="B13" s="15">
        <v>3.3170985694772201</v>
      </c>
      <c r="C13" s="15">
        <v>4.7120686916219698</v>
      </c>
      <c r="D13" s="24">
        <v>2.0966996468932502</v>
      </c>
      <c r="E13" s="15">
        <v>1.49302815533335</v>
      </c>
      <c r="F13" s="20" t="s">
        <v>80</v>
      </c>
      <c r="G13" s="26" t="s">
        <v>80</v>
      </c>
      <c r="H13" s="15">
        <v>5.0230044464728802</v>
      </c>
      <c r="I13" s="15">
        <v>7.7969552485874196</v>
      </c>
      <c r="J13" s="24">
        <v>2.5743302243163799</v>
      </c>
      <c r="K13" s="20" t="s">
        <v>80</v>
      </c>
      <c r="L13" s="20" t="s">
        <v>80</v>
      </c>
      <c r="M13" s="26" t="s">
        <v>80</v>
      </c>
      <c r="N13" s="20" t="s">
        <v>80</v>
      </c>
      <c r="O13" s="20" t="s">
        <v>80</v>
      </c>
      <c r="P13" s="26" t="s">
        <v>80</v>
      </c>
    </row>
    <row r="14" spans="1:16">
      <c r="A14" s="9" t="s">
        <v>172</v>
      </c>
      <c r="B14" s="15">
        <v>25.812978489344399</v>
      </c>
      <c r="C14" s="15">
        <v>29.514384377260701</v>
      </c>
      <c r="D14" s="24">
        <v>22.574778841946902</v>
      </c>
      <c r="E14" s="15">
        <v>27.727170903352299</v>
      </c>
      <c r="F14" s="15">
        <v>30.305313420247099</v>
      </c>
      <c r="G14" s="24">
        <v>25.458410564084499</v>
      </c>
      <c r="H14" s="15">
        <v>23.706939036809899</v>
      </c>
      <c r="I14" s="15">
        <v>28.536640685068601</v>
      </c>
      <c r="J14" s="24">
        <v>19.443573616708399</v>
      </c>
      <c r="K14" s="20" t="s">
        <v>80</v>
      </c>
      <c r="L14" s="20" t="s">
        <v>80</v>
      </c>
      <c r="M14" s="26" t="s">
        <v>80</v>
      </c>
      <c r="N14" s="15">
        <v>30.4902057818298</v>
      </c>
      <c r="O14" s="20" t="s">
        <v>80</v>
      </c>
      <c r="P14" s="26" t="s">
        <v>80</v>
      </c>
    </row>
    <row r="15" spans="1:16">
      <c r="A15" s="9" t="s">
        <v>173</v>
      </c>
      <c r="B15" s="15">
        <v>23.155557278784599</v>
      </c>
      <c r="C15" s="15">
        <v>23.1176283355016</v>
      </c>
      <c r="D15" s="24">
        <v>23.188739667985899</v>
      </c>
      <c r="E15" s="15">
        <v>27.745836055027301</v>
      </c>
      <c r="F15" s="15">
        <v>27.0265393851409</v>
      </c>
      <c r="G15" s="24">
        <v>28.3788157084449</v>
      </c>
      <c r="H15" s="15">
        <v>18.5774008212415</v>
      </c>
      <c r="I15" s="15">
        <v>19.467534664794101</v>
      </c>
      <c r="J15" s="24">
        <v>17.791645069800399</v>
      </c>
      <c r="K15" s="20" t="s">
        <v>80</v>
      </c>
      <c r="L15" s="20" t="s">
        <v>80</v>
      </c>
      <c r="M15" s="26" t="s">
        <v>80</v>
      </c>
      <c r="N15" s="20" t="s">
        <v>80</v>
      </c>
      <c r="O15" s="20" t="s">
        <v>80</v>
      </c>
      <c r="P15" s="26" t="s">
        <v>80</v>
      </c>
    </row>
    <row r="16" spans="1:16">
      <c r="A16" s="9" t="s">
        <v>174</v>
      </c>
      <c r="B16" s="15">
        <v>2.6274261918727202</v>
      </c>
      <c r="C16" s="15">
        <v>3.6349798558515198</v>
      </c>
      <c r="D16" s="24">
        <v>1.7459611436645599</v>
      </c>
      <c r="E16" s="15">
        <v>3.3781261188475198</v>
      </c>
      <c r="F16" s="15">
        <v>4.1666219233079698</v>
      </c>
      <c r="G16" s="24">
        <v>2.68425136323722</v>
      </c>
      <c r="H16" s="15">
        <v>1.65887861118559</v>
      </c>
      <c r="I16" s="15">
        <v>2.8672047162129299</v>
      </c>
      <c r="J16" s="26" t="s">
        <v>80</v>
      </c>
      <c r="K16" s="20" t="s">
        <v>80</v>
      </c>
      <c r="L16" s="20" t="s">
        <v>80</v>
      </c>
      <c r="M16" s="26" t="s">
        <v>80</v>
      </c>
      <c r="N16" s="20" t="s">
        <v>80</v>
      </c>
      <c r="O16" s="20" t="s">
        <v>80</v>
      </c>
      <c r="P16" s="26" t="s">
        <v>80</v>
      </c>
    </row>
    <row r="17" spans="1:16">
      <c r="A17" s="9" t="s">
        <v>175</v>
      </c>
      <c r="B17" s="15">
        <v>60.133521786981902</v>
      </c>
      <c r="C17" s="15">
        <v>59.181551756976397</v>
      </c>
      <c r="D17" s="24">
        <v>60.966359121995801</v>
      </c>
      <c r="E17" s="15">
        <v>61.373842051612698</v>
      </c>
      <c r="F17" s="15">
        <v>58.846810915727602</v>
      </c>
      <c r="G17" s="24">
        <v>63.597624476215103</v>
      </c>
      <c r="H17" s="15">
        <v>59.652202627750597</v>
      </c>
      <c r="I17" s="15">
        <v>59.9847423340196</v>
      </c>
      <c r="J17" s="24">
        <v>59.358656900132097</v>
      </c>
      <c r="K17" s="15">
        <v>47.581191981886597</v>
      </c>
      <c r="L17" s="20" t="s">
        <v>80</v>
      </c>
      <c r="M17" s="26" t="s">
        <v>80</v>
      </c>
      <c r="N17" s="15">
        <v>49.038990688002698</v>
      </c>
      <c r="O17" s="15">
        <v>52.4590336549428</v>
      </c>
      <c r="P17" s="24">
        <v>46.080304894385698</v>
      </c>
    </row>
    <row r="18" spans="1:16">
      <c r="A18" s="9" t="s">
        <v>176</v>
      </c>
      <c r="B18" s="15">
        <v>21.547978436087501</v>
      </c>
      <c r="C18" s="15">
        <v>27.619217804816302</v>
      </c>
      <c r="D18" s="24">
        <v>16.236514149702501</v>
      </c>
      <c r="E18" s="15">
        <v>12.876165251894699</v>
      </c>
      <c r="F18" s="15">
        <v>19.5036429813807</v>
      </c>
      <c r="G18" s="24">
        <v>7.0439978974894997</v>
      </c>
      <c r="H18" s="15">
        <v>30.5689905224312</v>
      </c>
      <c r="I18" s="15">
        <v>35.851126024590002</v>
      </c>
      <c r="J18" s="24">
        <v>25.906244149202699</v>
      </c>
      <c r="K18" s="20" t="s">
        <v>80</v>
      </c>
      <c r="L18" s="20" t="s">
        <v>80</v>
      </c>
      <c r="M18" s="26" t="s">
        <v>80</v>
      </c>
      <c r="N18" s="20" t="s">
        <v>80</v>
      </c>
      <c r="O18" s="20" t="s">
        <v>80</v>
      </c>
      <c r="P18" s="26" t="s">
        <v>80</v>
      </c>
    </row>
    <row r="19" spans="1:16">
      <c r="A19" s="9" t="s">
        <v>177</v>
      </c>
      <c r="B19" s="15">
        <v>26.843833262361098</v>
      </c>
      <c r="C19" s="15">
        <v>29.9530513869747</v>
      </c>
      <c r="D19" s="24">
        <v>24.123713032457601</v>
      </c>
      <c r="E19" s="15">
        <v>30.195410694702701</v>
      </c>
      <c r="F19" s="15">
        <v>32.812958254940497</v>
      </c>
      <c r="G19" s="24">
        <v>27.8919739948699</v>
      </c>
      <c r="H19" s="15">
        <v>23.537721415775799</v>
      </c>
      <c r="I19" s="15">
        <v>27.046181835235</v>
      </c>
      <c r="J19" s="24">
        <v>20.440666997205302</v>
      </c>
      <c r="K19" s="20" t="s">
        <v>80</v>
      </c>
      <c r="L19" s="20" t="s">
        <v>80</v>
      </c>
      <c r="M19" s="26" t="s">
        <v>80</v>
      </c>
      <c r="N19" s="15">
        <v>27.1327785710771</v>
      </c>
      <c r="O19" s="20" t="s">
        <v>80</v>
      </c>
      <c r="P19" s="26" t="s">
        <v>80</v>
      </c>
    </row>
    <row r="20" spans="1:16">
      <c r="A20" s="9" t="s">
        <v>178</v>
      </c>
      <c r="B20" s="15">
        <v>1.91710339656693</v>
      </c>
      <c r="C20" s="15">
        <v>2.3699102940525698</v>
      </c>
      <c r="D20" s="24">
        <v>1.52096225988047</v>
      </c>
      <c r="E20" s="15">
        <v>2.6493884462865198</v>
      </c>
      <c r="F20" s="15">
        <v>3.37057079232427</v>
      </c>
      <c r="G20" s="26" t="s">
        <v>80</v>
      </c>
      <c r="H20" s="15">
        <v>1.03327258128761</v>
      </c>
      <c r="I20" s="20" t="s">
        <v>80</v>
      </c>
      <c r="J20" s="26" t="s">
        <v>80</v>
      </c>
      <c r="K20" s="20" t="s">
        <v>80</v>
      </c>
      <c r="L20" s="20" t="s">
        <v>80</v>
      </c>
      <c r="M20" s="26" t="s">
        <v>80</v>
      </c>
      <c r="N20" s="20" t="s">
        <v>80</v>
      </c>
      <c r="O20" s="20" t="s">
        <v>80</v>
      </c>
      <c r="P20" s="26" t="s">
        <v>80</v>
      </c>
    </row>
    <row r="21" spans="1:16">
      <c r="A21" s="9" t="s">
        <v>179</v>
      </c>
      <c r="B21" s="15">
        <v>7.0719240884829802</v>
      </c>
      <c r="C21" s="15">
        <v>7.4845353694821499</v>
      </c>
      <c r="D21" s="24">
        <v>6.7109483551796902</v>
      </c>
      <c r="E21" s="15">
        <v>6.6580387656662996</v>
      </c>
      <c r="F21" s="15">
        <v>7.9157591374887302</v>
      </c>
      <c r="G21" s="24">
        <v>5.5512473145417802</v>
      </c>
      <c r="H21" s="15">
        <v>7.5060520297536897</v>
      </c>
      <c r="I21" s="15">
        <v>6.9503047707235002</v>
      </c>
      <c r="J21" s="24">
        <v>7.9966317423369198</v>
      </c>
      <c r="K21" s="20" t="s">
        <v>80</v>
      </c>
      <c r="L21" s="20" t="s">
        <v>80</v>
      </c>
      <c r="M21" s="26" t="s">
        <v>80</v>
      </c>
      <c r="N21" s="20" t="s">
        <v>80</v>
      </c>
      <c r="O21" s="20" t="s">
        <v>80</v>
      </c>
      <c r="P21" s="26" t="s">
        <v>80</v>
      </c>
    </row>
    <row r="22" spans="1:16">
      <c r="A22" s="9" t="s">
        <v>180</v>
      </c>
      <c r="B22" s="15">
        <v>21.5114268411285</v>
      </c>
      <c r="C22" s="15">
        <v>20.642779042846701</v>
      </c>
      <c r="D22" s="24">
        <v>22.271369165555001</v>
      </c>
      <c r="E22" s="15">
        <v>29.163932277802601</v>
      </c>
      <c r="F22" s="15">
        <v>26.270848688142401</v>
      </c>
      <c r="G22" s="24">
        <v>31.7098401410781</v>
      </c>
      <c r="H22" s="15">
        <v>14.20981712034</v>
      </c>
      <c r="I22" s="15">
        <v>15.249690399722899</v>
      </c>
      <c r="J22" s="24">
        <v>13.2918805471343</v>
      </c>
      <c r="K22" s="20" t="s">
        <v>80</v>
      </c>
      <c r="L22" s="20" t="s">
        <v>80</v>
      </c>
      <c r="M22" s="26" t="s">
        <v>80</v>
      </c>
      <c r="N22" s="20" t="s">
        <v>80</v>
      </c>
      <c r="O22" s="20" t="s">
        <v>80</v>
      </c>
      <c r="P22" s="26" t="s">
        <v>80</v>
      </c>
    </row>
    <row r="23" spans="1:16">
      <c r="A23" s="9" t="s">
        <v>181</v>
      </c>
      <c r="B23" s="15">
        <v>14.4821204222972</v>
      </c>
      <c r="C23" s="15">
        <v>14.152500500685701</v>
      </c>
      <c r="D23" s="24">
        <v>14.7704906108847</v>
      </c>
      <c r="E23" s="15">
        <v>9.9616429198930501</v>
      </c>
      <c r="F23" s="15">
        <v>10.495077030960299</v>
      </c>
      <c r="G23" s="24">
        <v>9.49222195232778</v>
      </c>
      <c r="H23" s="15">
        <v>18.9211032131807</v>
      </c>
      <c r="I23" s="15">
        <v>17.735656925202399</v>
      </c>
      <c r="J23" s="24">
        <v>19.967542740843101</v>
      </c>
      <c r="K23" s="20" t="s">
        <v>80</v>
      </c>
      <c r="L23" s="20" t="s">
        <v>80</v>
      </c>
      <c r="M23" s="26" t="s">
        <v>80</v>
      </c>
      <c r="N23" s="20" t="s">
        <v>80</v>
      </c>
      <c r="O23" s="20" t="s">
        <v>80</v>
      </c>
      <c r="P23" s="26" t="s">
        <v>80</v>
      </c>
    </row>
    <row r="24" spans="1:16">
      <c r="A24" s="9" t="s">
        <v>182</v>
      </c>
      <c r="B24" s="15">
        <v>40.942738007426797</v>
      </c>
      <c r="C24" s="15">
        <v>42.212249169877801</v>
      </c>
      <c r="D24" s="24">
        <v>39.832097693151503</v>
      </c>
      <c r="E24" s="15">
        <v>48.509616244132403</v>
      </c>
      <c r="F24" s="15">
        <v>49.482203562377997</v>
      </c>
      <c r="G24" s="24">
        <v>47.653741318812898</v>
      </c>
      <c r="H24" s="15">
        <v>33.883031259384197</v>
      </c>
      <c r="I24" s="15">
        <v>35.264791239666998</v>
      </c>
      <c r="J24" s="24">
        <v>32.663298002995198</v>
      </c>
      <c r="K24" s="20" t="s">
        <v>80</v>
      </c>
      <c r="L24" s="20" t="s">
        <v>80</v>
      </c>
      <c r="M24" s="26" t="s">
        <v>80</v>
      </c>
      <c r="N24" s="15">
        <v>37.359327175309602</v>
      </c>
      <c r="O24" s="20" t="s">
        <v>80</v>
      </c>
      <c r="P24" s="26" t="s">
        <v>80</v>
      </c>
    </row>
    <row r="25" spans="1:16">
      <c r="A25" s="9" t="s">
        <v>183</v>
      </c>
      <c r="B25" s="15">
        <v>1.3836999148453799</v>
      </c>
      <c r="C25" s="15">
        <v>1.8661496647328599</v>
      </c>
      <c r="D25" s="26" t="s">
        <v>80</v>
      </c>
      <c r="E25" s="15">
        <v>1.77250786895365</v>
      </c>
      <c r="F25" s="15">
        <v>2.33881208580853</v>
      </c>
      <c r="G25" s="26" t="s">
        <v>80</v>
      </c>
      <c r="H25" s="20" t="s">
        <v>80</v>
      </c>
      <c r="I25" s="20" t="s">
        <v>80</v>
      </c>
      <c r="J25" s="26" t="s">
        <v>80</v>
      </c>
      <c r="K25" s="20" t="s">
        <v>80</v>
      </c>
      <c r="L25" s="20" t="s">
        <v>80</v>
      </c>
      <c r="M25" s="26" t="s">
        <v>80</v>
      </c>
      <c r="N25" s="20" t="s">
        <v>80</v>
      </c>
      <c r="O25" s="20" t="s">
        <v>80</v>
      </c>
      <c r="P25" s="26" t="s">
        <v>80</v>
      </c>
    </row>
    <row r="26" spans="1:16">
      <c r="A26" s="9" t="s">
        <v>184</v>
      </c>
      <c r="B26" s="15">
        <v>31.2136940781321</v>
      </c>
      <c r="C26" s="15">
        <v>32.535438591521299</v>
      </c>
      <c r="D26" s="24">
        <v>30.057357068138501</v>
      </c>
      <c r="E26" s="15">
        <v>35.2973171464782</v>
      </c>
      <c r="F26" s="15">
        <v>35.979520225649701</v>
      </c>
      <c r="G26" s="24">
        <v>34.696979779863199</v>
      </c>
      <c r="H26" s="15">
        <v>27.552206179838699</v>
      </c>
      <c r="I26" s="15">
        <v>29.292362174388501</v>
      </c>
      <c r="J26" s="24">
        <v>26.0161028274877</v>
      </c>
      <c r="K26" s="20" t="s">
        <v>80</v>
      </c>
      <c r="L26" s="20" t="s">
        <v>80</v>
      </c>
      <c r="M26" s="26" t="s">
        <v>80</v>
      </c>
      <c r="N26" s="20" t="s">
        <v>80</v>
      </c>
      <c r="O26" s="20" t="s">
        <v>80</v>
      </c>
      <c r="P26" s="26" t="s">
        <v>80</v>
      </c>
    </row>
    <row r="27" spans="1:16">
      <c r="A27" s="9" t="s">
        <v>185</v>
      </c>
      <c r="B27" s="15">
        <v>8.7063530605300308</v>
      </c>
      <c r="C27" s="15">
        <v>11.4163364518046</v>
      </c>
      <c r="D27" s="24">
        <v>6.33550600192277</v>
      </c>
      <c r="E27" s="15">
        <v>3.5907711718964501</v>
      </c>
      <c r="F27" s="15">
        <v>3.9265196374526599</v>
      </c>
      <c r="G27" s="24">
        <v>3.2953131831963698</v>
      </c>
      <c r="H27" s="15">
        <v>14.0259545055813</v>
      </c>
      <c r="I27" s="15">
        <v>19.008830260514902</v>
      </c>
      <c r="J27" s="24">
        <v>9.6273763462234392</v>
      </c>
      <c r="K27" s="20" t="s">
        <v>80</v>
      </c>
      <c r="L27" s="20" t="s">
        <v>80</v>
      </c>
      <c r="M27" s="26" t="s">
        <v>80</v>
      </c>
      <c r="N27" s="20" t="s">
        <v>80</v>
      </c>
      <c r="O27" s="20" t="s">
        <v>80</v>
      </c>
      <c r="P27" s="26" t="s">
        <v>80</v>
      </c>
    </row>
    <row r="28" spans="1:16">
      <c r="A28" s="9" t="s">
        <v>186</v>
      </c>
      <c r="B28" s="15">
        <v>13.8541814386386</v>
      </c>
      <c r="C28" s="15">
        <v>17.360102946125799</v>
      </c>
      <c r="D28" s="24">
        <v>10.787002606289899</v>
      </c>
      <c r="E28" s="15">
        <v>7.6567510925517999</v>
      </c>
      <c r="F28" s="15">
        <v>10.798827028967301</v>
      </c>
      <c r="G28" s="24">
        <v>4.8917304543238798</v>
      </c>
      <c r="H28" s="15">
        <v>20.064688061298</v>
      </c>
      <c r="I28" s="15">
        <v>24.167318302479</v>
      </c>
      <c r="J28" s="24">
        <v>16.4431368402158</v>
      </c>
      <c r="K28" s="20" t="s">
        <v>80</v>
      </c>
      <c r="L28" s="20" t="s">
        <v>80</v>
      </c>
      <c r="M28" s="26" t="s">
        <v>80</v>
      </c>
      <c r="N28" s="20" t="s">
        <v>80</v>
      </c>
      <c r="O28" s="20" t="s">
        <v>80</v>
      </c>
      <c r="P28" s="26" t="s">
        <v>80</v>
      </c>
    </row>
    <row r="29" spans="1:16">
      <c r="A29" s="9" t="s">
        <v>187</v>
      </c>
      <c r="B29" s="15">
        <v>1.67941312970463</v>
      </c>
      <c r="C29" s="15">
        <v>1.9408076936635701</v>
      </c>
      <c r="D29" s="24">
        <v>1.45073035065391</v>
      </c>
      <c r="E29" s="15">
        <v>2.3168623051890198</v>
      </c>
      <c r="F29" s="15">
        <v>2.62220060703768</v>
      </c>
      <c r="G29" s="26" t="s">
        <v>80</v>
      </c>
      <c r="H29" s="20" t="s">
        <v>80</v>
      </c>
      <c r="I29" s="20" t="s">
        <v>80</v>
      </c>
      <c r="J29" s="26" t="s">
        <v>80</v>
      </c>
      <c r="K29" s="20" t="s">
        <v>80</v>
      </c>
      <c r="L29" s="20" t="s">
        <v>80</v>
      </c>
      <c r="M29" s="26" t="s">
        <v>80</v>
      </c>
      <c r="N29" s="20" t="s">
        <v>80</v>
      </c>
      <c r="O29" s="20" t="s">
        <v>80</v>
      </c>
      <c r="P29" s="26" t="s">
        <v>80</v>
      </c>
    </row>
    <row r="30" spans="1:16">
      <c r="A30" s="9" t="s">
        <v>188</v>
      </c>
      <c r="B30" s="15">
        <v>1.88443890129803</v>
      </c>
      <c r="C30" s="15">
        <v>2.1677010268460202</v>
      </c>
      <c r="D30" s="24">
        <v>1.6366251400282701</v>
      </c>
      <c r="E30" s="15">
        <v>2.5302934430563102</v>
      </c>
      <c r="F30" s="15">
        <v>2.8955455939307799</v>
      </c>
      <c r="G30" s="24">
        <v>2.2088722693601701</v>
      </c>
      <c r="H30" s="20" t="s">
        <v>80</v>
      </c>
      <c r="I30" s="20" t="s">
        <v>80</v>
      </c>
      <c r="J30" s="26" t="s">
        <v>80</v>
      </c>
      <c r="K30" s="20" t="s">
        <v>80</v>
      </c>
      <c r="L30" s="20" t="s">
        <v>80</v>
      </c>
      <c r="M30" s="26" t="s">
        <v>80</v>
      </c>
      <c r="N30" s="20" t="s">
        <v>80</v>
      </c>
      <c r="O30" s="20" t="s">
        <v>80</v>
      </c>
      <c r="P30" s="26" t="s">
        <v>80</v>
      </c>
    </row>
    <row r="31" spans="1:16">
      <c r="A31" s="9" t="s">
        <v>189</v>
      </c>
      <c r="B31" s="15">
        <v>4.9082825449399197</v>
      </c>
      <c r="C31" s="15">
        <v>6.8056541530455004</v>
      </c>
      <c r="D31" s="24">
        <v>3.2483543289052101</v>
      </c>
      <c r="E31" s="15">
        <v>6.4899701753901899</v>
      </c>
      <c r="F31" s="15">
        <v>8.6301546672767309</v>
      </c>
      <c r="G31" s="24">
        <v>4.6066120359199703</v>
      </c>
      <c r="H31" s="15">
        <v>3.1561051228475501</v>
      </c>
      <c r="I31" s="15">
        <v>4.5629136415774498</v>
      </c>
      <c r="J31" s="24">
        <v>1.9142605477029</v>
      </c>
      <c r="K31" s="20" t="s">
        <v>80</v>
      </c>
      <c r="L31" s="20" t="s">
        <v>80</v>
      </c>
      <c r="M31" s="26" t="s">
        <v>80</v>
      </c>
      <c r="N31" s="20" t="s">
        <v>80</v>
      </c>
      <c r="O31" s="20" t="s">
        <v>80</v>
      </c>
      <c r="P31" s="26" t="s">
        <v>80</v>
      </c>
    </row>
    <row r="32" spans="1:16">
      <c r="A32" s="9" t="s">
        <v>190</v>
      </c>
      <c r="B32" s="15">
        <v>1.10335209873309</v>
      </c>
      <c r="C32" s="20" t="s">
        <v>80</v>
      </c>
      <c r="D32" s="26" t="s">
        <v>80</v>
      </c>
      <c r="E32" s="20" t="s">
        <v>80</v>
      </c>
      <c r="F32" s="20" t="s">
        <v>80</v>
      </c>
      <c r="G32" s="26" t="s">
        <v>80</v>
      </c>
      <c r="H32" s="20" t="s">
        <v>80</v>
      </c>
      <c r="I32" s="20" t="s">
        <v>80</v>
      </c>
      <c r="J32" s="26" t="s">
        <v>80</v>
      </c>
      <c r="K32" s="20" t="s">
        <v>80</v>
      </c>
      <c r="L32" s="20" t="s">
        <v>80</v>
      </c>
      <c r="M32" s="26" t="s">
        <v>80</v>
      </c>
      <c r="N32" s="20" t="s">
        <v>80</v>
      </c>
      <c r="O32" s="20" t="s">
        <v>80</v>
      </c>
      <c r="P32" s="26" t="s">
        <v>80</v>
      </c>
    </row>
    <row r="33" spans="1:16">
      <c r="A33" s="9" t="s">
        <v>191</v>
      </c>
      <c r="B33" s="15">
        <v>4.8975789554953799</v>
      </c>
      <c r="C33" s="15">
        <v>6.17863782668777</v>
      </c>
      <c r="D33" s="24">
        <v>3.7768360511483601</v>
      </c>
      <c r="E33" s="15">
        <v>5.0331528979155697</v>
      </c>
      <c r="F33" s="15">
        <v>6.3142077675755299</v>
      </c>
      <c r="G33" s="24">
        <v>3.9058271346327502</v>
      </c>
      <c r="H33" s="15">
        <v>4.5382688581381103</v>
      </c>
      <c r="I33" s="15">
        <v>5.8121577231887498</v>
      </c>
      <c r="J33" s="24">
        <v>3.4137576291127401</v>
      </c>
      <c r="K33" s="20" t="s">
        <v>80</v>
      </c>
      <c r="L33" s="20" t="s">
        <v>80</v>
      </c>
      <c r="M33" s="26" t="s">
        <v>80</v>
      </c>
      <c r="N33" s="20" t="s">
        <v>80</v>
      </c>
      <c r="O33" s="20" t="s">
        <v>80</v>
      </c>
      <c r="P33" s="26" t="s">
        <v>80</v>
      </c>
    </row>
    <row r="34" spans="1:16">
      <c r="A34" s="9" t="s">
        <v>192</v>
      </c>
      <c r="B34" s="15">
        <v>24.927707673264301</v>
      </c>
      <c r="C34" s="15">
        <v>22.6008387056605</v>
      </c>
      <c r="D34" s="24">
        <v>26.963384521089399</v>
      </c>
      <c r="E34" s="15">
        <v>34.736968153857099</v>
      </c>
      <c r="F34" s="15">
        <v>31.802199340746299</v>
      </c>
      <c r="G34" s="24">
        <v>37.319558931703298</v>
      </c>
      <c r="H34" s="15">
        <v>15.2708116349033</v>
      </c>
      <c r="I34" s="15">
        <v>13.6409995660029</v>
      </c>
      <c r="J34" s="24">
        <v>16.7095101139946</v>
      </c>
      <c r="K34" s="20" t="s">
        <v>80</v>
      </c>
      <c r="L34" s="20" t="s">
        <v>80</v>
      </c>
      <c r="M34" s="26" t="s">
        <v>80</v>
      </c>
      <c r="N34" s="20" t="s">
        <v>80</v>
      </c>
      <c r="O34" s="20" t="s">
        <v>80</v>
      </c>
      <c r="P34" s="26" t="s">
        <v>80</v>
      </c>
    </row>
    <row r="35" spans="1:16">
      <c r="A35" s="9" t="s">
        <v>193</v>
      </c>
      <c r="B35" s="15">
        <v>23.234252614326</v>
      </c>
      <c r="C35" s="15">
        <v>21.614354411442701</v>
      </c>
      <c r="D35" s="24">
        <v>24.651431369706799</v>
      </c>
      <c r="E35" s="15">
        <v>30.7048967930278</v>
      </c>
      <c r="F35" s="15">
        <v>26.732375698559402</v>
      </c>
      <c r="G35" s="24">
        <v>34.200707535441502</v>
      </c>
      <c r="H35" s="15">
        <v>16.001116933083001</v>
      </c>
      <c r="I35" s="15">
        <v>16.548514917082901</v>
      </c>
      <c r="J35" s="24">
        <v>15.517907450182699</v>
      </c>
      <c r="K35" s="20" t="s">
        <v>80</v>
      </c>
      <c r="L35" s="20" t="s">
        <v>80</v>
      </c>
      <c r="M35" s="26" t="s">
        <v>80</v>
      </c>
      <c r="N35" s="20" t="s">
        <v>80</v>
      </c>
      <c r="O35" s="20" t="s">
        <v>80</v>
      </c>
      <c r="P35" s="26" t="s">
        <v>80</v>
      </c>
    </row>
    <row r="36" spans="1:16">
      <c r="A36" s="9" t="s">
        <v>194</v>
      </c>
      <c r="B36" s="15">
        <v>12.8223322623271</v>
      </c>
      <c r="C36" s="15">
        <v>14.0057261178844</v>
      </c>
      <c r="D36" s="24">
        <v>11.7870322488084</v>
      </c>
      <c r="E36" s="15">
        <v>8.7024032659804895</v>
      </c>
      <c r="F36" s="15">
        <v>12.1949986560452</v>
      </c>
      <c r="G36" s="24">
        <v>5.6289261986103103</v>
      </c>
      <c r="H36" s="15">
        <v>16.773861816095099</v>
      </c>
      <c r="I36" s="15">
        <v>15.6710181554656</v>
      </c>
      <c r="J36" s="24">
        <v>17.747384793068399</v>
      </c>
      <c r="K36" s="20" t="s">
        <v>80</v>
      </c>
      <c r="L36" s="20" t="s">
        <v>80</v>
      </c>
      <c r="M36" s="26" t="s">
        <v>80</v>
      </c>
      <c r="N36" s="20" t="s">
        <v>80</v>
      </c>
      <c r="O36" s="20" t="s">
        <v>80</v>
      </c>
      <c r="P36" s="26" t="s">
        <v>80</v>
      </c>
    </row>
    <row r="37" spans="1:16">
      <c r="A37" s="9" t="s">
        <v>195</v>
      </c>
      <c r="B37" s="15">
        <v>28.398879548734001</v>
      </c>
      <c r="C37" s="15">
        <v>24.232844639060399</v>
      </c>
      <c r="D37" s="24">
        <v>32.043562997147802</v>
      </c>
      <c r="E37" s="15">
        <v>26.222624705201198</v>
      </c>
      <c r="F37" s="15">
        <v>23.340335031209701</v>
      </c>
      <c r="G37" s="24">
        <v>28.759033943938299</v>
      </c>
      <c r="H37" s="15">
        <v>30.8919522449123</v>
      </c>
      <c r="I37" s="15">
        <v>25.0439083610027</v>
      </c>
      <c r="J37" s="24">
        <v>36.054247948806299</v>
      </c>
      <c r="K37" s="20" t="s">
        <v>80</v>
      </c>
      <c r="L37" s="20" t="s">
        <v>80</v>
      </c>
      <c r="M37" s="26" t="s">
        <v>80</v>
      </c>
      <c r="N37" s="20" t="s">
        <v>80</v>
      </c>
      <c r="O37" s="20" t="s">
        <v>80</v>
      </c>
      <c r="P37" s="26" t="s">
        <v>80</v>
      </c>
    </row>
    <row r="38" spans="1:16">
      <c r="A38" s="9" t="s">
        <v>196</v>
      </c>
      <c r="B38" s="15">
        <v>18.867710615097</v>
      </c>
      <c r="C38" s="15">
        <v>23.801035963042999</v>
      </c>
      <c r="D38" s="24">
        <v>14.551758005206899</v>
      </c>
      <c r="E38" s="15">
        <v>25.1858883343236</v>
      </c>
      <c r="F38" s="15">
        <v>29.729256229705999</v>
      </c>
      <c r="G38" s="24">
        <v>21.1877335309341</v>
      </c>
      <c r="H38" s="15">
        <v>11.888179910982901</v>
      </c>
      <c r="I38" s="15">
        <v>16.4767518055625</v>
      </c>
      <c r="J38" s="24">
        <v>7.8376690993981901</v>
      </c>
      <c r="K38" s="20" t="s">
        <v>80</v>
      </c>
      <c r="L38" s="20" t="s">
        <v>80</v>
      </c>
      <c r="M38" s="26" t="s">
        <v>80</v>
      </c>
      <c r="N38" s="15">
        <v>29.860975652682999</v>
      </c>
      <c r="O38" s="20" t="s">
        <v>80</v>
      </c>
      <c r="P38" s="26" t="s">
        <v>80</v>
      </c>
    </row>
    <row r="39" spans="1:16">
      <c r="A39" s="9" t="s">
        <v>197</v>
      </c>
      <c r="B39" s="15">
        <v>40.944694885121997</v>
      </c>
      <c r="C39" s="15">
        <v>33.635380929789299</v>
      </c>
      <c r="D39" s="24">
        <v>47.339296987567799</v>
      </c>
      <c r="E39" s="15">
        <v>48.573417564631796</v>
      </c>
      <c r="F39" s="15">
        <v>40.9112293323724</v>
      </c>
      <c r="G39" s="24">
        <v>55.316128124438798</v>
      </c>
      <c r="H39" s="15">
        <v>33.977725541656199</v>
      </c>
      <c r="I39" s="15">
        <v>26.663918010798</v>
      </c>
      <c r="J39" s="24">
        <v>40.433907804504699</v>
      </c>
      <c r="K39" s="20" t="s">
        <v>80</v>
      </c>
      <c r="L39" s="20" t="s">
        <v>80</v>
      </c>
      <c r="M39" s="26" t="s">
        <v>80</v>
      </c>
      <c r="N39" s="15">
        <v>31.7511149007256</v>
      </c>
      <c r="O39" s="20" t="s">
        <v>80</v>
      </c>
      <c r="P39" s="26" t="s">
        <v>80</v>
      </c>
    </row>
    <row r="40" spans="1:16">
      <c r="A40" s="9" t="s">
        <v>198</v>
      </c>
      <c r="B40" s="15">
        <v>14.0887771625121</v>
      </c>
      <c r="C40" s="15">
        <v>16.4244738050274</v>
      </c>
      <c r="D40" s="24">
        <v>12.0453773643672</v>
      </c>
      <c r="E40" s="15">
        <v>6.8312291610667604</v>
      </c>
      <c r="F40" s="15">
        <v>8.9283987306500006</v>
      </c>
      <c r="G40" s="24">
        <v>4.9857240685397901</v>
      </c>
      <c r="H40" s="15">
        <v>20.910731836288701</v>
      </c>
      <c r="I40" s="15">
        <v>23.755720679214601</v>
      </c>
      <c r="J40" s="24">
        <v>18.399349573602102</v>
      </c>
      <c r="K40" s="20" t="s">
        <v>80</v>
      </c>
      <c r="L40" s="20" t="s">
        <v>80</v>
      </c>
      <c r="M40" s="26" t="s">
        <v>80</v>
      </c>
      <c r="N40" s="20" t="s">
        <v>80</v>
      </c>
      <c r="O40" s="20" t="s">
        <v>80</v>
      </c>
      <c r="P40" s="26" t="s">
        <v>80</v>
      </c>
    </row>
    <row r="41" spans="1:16">
      <c r="A41" s="9" t="s">
        <v>199</v>
      </c>
      <c r="B41" s="15">
        <v>22.872639673638101</v>
      </c>
      <c r="C41" s="15">
        <v>21.74998215678</v>
      </c>
      <c r="D41" s="24">
        <v>23.854804095839501</v>
      </c>
      <c r="E41" s="15">
        <v>25.251407610863399</v>
      </c>
      <c r="F41" s="15">
        <v>25.548594731339801</v>
      </c>
      <c r="G41" s="24">
        <v>24.989883529917599</v>
      </c>
      <c r="H41" s="15">
        <v>20.6196552296582</v>
      </c>
      <c r="I41" s="15">
        <v>18.305687570482501</v>
      </c>
      <c r="J41" s="24">
        <v>22.662284447742401</v>
      </c>
      <c r="K41" s="20" t="s">
        <v>80</v>
      </c>
      <c r="L41" s="20" t="s">
        <v>80</v>
      </c>
      <c r="M41" s="26" t="s">
        <v>80</v>
      </c>
      <c r="N41" s="20" t="s">
        <v>80</v>
      </c>
      <c r="O41" s="20" t="s">
        <v>80</v>
      </c>
      <c r="P41" s="26" t="s">
        <v>80</v>
      </c>
    </row>
    <row r="42" spans="1:16">
      <c r="A42" s="9" t="s">
        <v>200</v>
      </c>
      <c r="B42" s="15">
        <v>8.6560132649661305</v>
      </c>
      <c r="C42" s="15">
        <v>10.337136279371499</v>
      </c>
      <c r="D42" s="24">
        <v>7.1852715745584499</v>
      </c>
      <c r="E42" s="15">
        <v>9.3071352357317707</v>
      </c>
      <c r="F42" s="15">
        <v>10.6205993286255</v>
      </c>
      <c r="G42" s="24">
        <v>8.1512894198074193</v>
      </c>
      <c r="H42" s="15">
        <v>7.5712285728237996</v>
      </c>
      <c r="I42" s="15">
        <v>9.6702399345130505</v>
      </c>
      <c r="J42" s="24">
        <v>5.7183496358707302</v>
      </c>
      <c r="K42" s="20" t="s">
        <v>80</v>
      </c>
      <c r="L42" s="20" t="s">
        <v>80</v>
      </c>
      <c r="M42" s="26" t="s">
        <v>80</v>
      </c>
      <c r="N42" s="20" t="s">
        <v>80</v>
      </c>
      <c r="O42" s="20" t="s">
        <v>80</v>
      </c>
      <c r="P42" s="26" t="s">
        <v>80</v>
      </c>
    </row>
    <row r="43" spans="1:16">
      <c r="A43" s="9" t="s">
        <v>201</v>
      </c>
      <c r="B43" s="15">
        <v>22.835725162625199</v>
      </c>
      <c r="C43" s="15">
        <v>21.762742806503098</v>
      </c>
      <c r="D43" s="24">
        <v>23.774430938881999</v>
      </c>
      <c r="E43" s="15">
        <v>30.220730640642198</v>
      </c>
      <c r="F43" s="15">
        <v>28.428516654260399</v>
      </c>
      <c r="G43" s="24">
        <v>31.797875420319301</v>
      </c>
      <c r="H43" s="15">
        <v>15.743997232433999</v>
      </c>
      <c r="I43" s="15">
        <v>15.098656236433101</v>
      </c>
      <c r="J43" s="24">
        <v>16.313664819978602</v>
      </c>
      <c r="K43" s="20" t="s">
        <v>80</v>
      </c>
      <c r="L43" s="20" t="s">
        <v>80</v>
      </c>
      <c r="M43" s="26" t="s">
        <v>80</v>
      </c>
      <c r="N43" s="20" t="s">
        <v>80</v>
      </c>
      <c r="O43" s="20" t="s">
        <v>80</v>
      </c>
      <c r="P43" s="26" t="s">
        <v>80</v>
      </c>
    </row>
    <row r="44" spans="1:16">
      <c r="A44" s="9" t="s">
        <v>202</v>
      </c>
      <c r="B44" s="15">
        <v>63.414407289045499</v>
      </c>
      <c r="C44" s="15">
        <v>61.156275112183998</v>
      </c>
      <c r="D44" s="24">
        <v>65.389949296681493</v>
      </c>
      <c r="E44" s="15">
        <v>64.837651967500804</v>
      </c>
      <c r="F44" s="15">
        <v>62.681810821693603</v>
      </c>
      <c r="G44" s="24">
        <v>66.734787931597893</v>
      </c>
      <c r="H44" s="15">
        <v>62.362654482974897</v>
      </c>
      <c r="I44" s="15">
        <v>59.642508384473501</v>
      </c>
      <c r="J44" s="24">
        <v>64.7638332013655</v>
      </c>
      <c r="K44" s="15">
        <v>57.660129988272701</v>
      </c>
      <c r="L44" s="20" t="s">
        <v>80</v>
      </c>
      <c r="M44" s="26" t="s">
        <v>80</v>
      </c>
      <c r="N44" s="15">
        <v>57.630491309925802</v>
      </c>
      <c r="O44" s="15">
        <v>62.517899240701503</v>
      </c>
      <c r="P44" s="24">
        <v>53.402385244540497</v>
      </c>
    </row>
    <row r="45" spans="1:16">
      <c r="A45" s="9" t="s">
        <v>203</v>
      </c>
      <c r="B45" s="15">
        <v>6.6728827411888396</v>
      </c>
      <c r="C45" s="15">
        <v>8.4544803568719296</v>
      </c>
      <c r="D45" s="24">
        <v>5.1142401751997397</v>
      </c>
      <c r="E45" s="15">
        <v>7.5156687960125801</v>
      </c>
      <c r="F45" s="15">
        <v>8.8764483606402997</v>
      </c>
      <c r="G45" s="24">
        <v>6.3181854581124703</v>
      </c>
      <c r="H45" s="15">
        <v>5.5736099492458298</v>
      </c>
      <c r="I45" s="15">
        <v>7.7583496775492797</v>
      </c>
      <c r="J45" s="24">
        <v>3.6450552500277098</v>
      </c>
      <c r="K45" s="20" t="s">
        <v>80</v>
      </c>
      <c r="L45" s="20" t="s">
        <v>80</v>
      </c>
      <c r="M45" s="26" t="s">
        <v>80</v>
      </c>
      <c r="N45" s="20" t="s">
        <v>80</v>
      </c>
      <c r="O45" s="20" t="s">
        <v>80</v>
      </c>
      <c r="P45" s="26" t="s">
        <v>80</v>
      </c>
    </row>
    <row r="46" spans="1:16">
      <c r="A46" s="9" t="s">
        <v>204</v>
      </c>
      <c r="B46" s="15">
        <v>23.693755960271702</v>
      </c>
      <c r="C46" s="15">
        <v>24.9067403672253</v>
      </c>
      <c r="D46" s="24">
        <v>22.632568455351201</v>
      </c>
      <c r="E46" s="15">
        <v>22.0566084175329</v>
      </c>
      <c r="F46" s="15">
        <v>24.500552512272201</v>
      </c>
      <c r="G46" s="24">
        <v>19.905942425565001</v>
      </c>
      <c r="H46" s="15">
        <v>25.068454188843798</v>
      </c>
      <c r="I46" s="15">
        <v>25.093115816437901</v>
      </c>
      <c r="J46" s="24">
        <v>25.046684411340902</v>
      </c>
      <c r="K46" s="20" t="s">
        <v>80</v>
      </c>
      <c r="L46" s="20" t="s">
        <v>80</v>
      </c>
      <c r="M46" s="26" t="s">
        <v>80</v>
      </c>
      <c r="N46" s="15">
        <v>25.3433076427896</v>
      </c>
      <c r="O46" s="20" t="s">
        <v>80</v>
      </c>
      <c r="P46" s="26" t="s">
        <v>80</v>
      </c>
    </row>
    <row r="47" spans="1:16">
      <c r="A47" s="9" t="s">
        <v>205</v>
      </c>
      <c r="B47" s="15">
        <v>6.7423864094174402</v>
      </c>
      <c r="C47" s="15">
        <v>6.6256146499010802</v>
      </c>
      <c r="D47" s="24">
        <v>6.8445449626650801</v>
      </c>
      <c r="E47" s="15">
        <v>8.1356191797311297</v>
      </c>
      <c r="F47" s="15">
        <v>7.5069103481939399</v>
      </c>
      <c r="G47" s="24">
        <v>8.6888817137422105</v>
      </c>
      <c r="H47" s="15">
        <v>5.1477070771162898</v>
      </c>
      <c r="I47" s="15">
        <v>5.4746384476790002</v>
      </c>
      <c r="J47" s="24">
        <v>4.8591120454737098</v>
      </c>
      <c r="K47" s="20" t="s">
        <v>80</v>
      </c>
      <c r="L47" s="20" t="s">
        <v>80</v>
      </c>
      <c r="M47" s="26" t="s">
        <v>80</v>
      </c>
      <c r="N47" s="20" t="s">
        <v>80</v>
      </c>
      <c r="O47" s="20" t="s">
        <v>80</v>
      </c>
      <c r="P47" s="26" t="s">
        <v>80</v>
      </c>
    </row>
    <row r="48" spans="1:16">
      <c r="A48" s="9" t="s">
        <v>206</v>
      </c>
      <c r="B48" s="15">
        <v>7.0194819533966299</v>
      </c>
      <c r="C48" s="15">
        <v>7.1672737134479698</v>
      </c>
      <c r="D48" s="24">
        <v>6.8901853456269002</v>
      </c>
      <c r="E48" s="15">
        <v>8.5924876916732593</v>
      </c>
      <c r="F48" s="15">
        <v>8.30595582689498</v>
      </c>
      <c r="G48" s="24">
        <v>8.8446351685817</v>
      </c>
      <c r="H48" s="15">
        <v>5.4102042786858302</v>
      </c>
      <c r="I48" s="15">
        <v>5.8859290801421098</v>
      </c>
      <c r="J48" s="24">
        <v>4.9902635006163099</v>
      </c>
      <c r="K48" s="20" t="s">
        <v>80</v>
      </c>
      <c r="L48" s="20" t="s">
        <v>80</v>
      </c>
      <c r="M48" s="26" t="s">
        <v>80</v>
      </c>
      <c r="N48" s="20" t="s">
        <v>80</v>
      </c>
      <c r="O48" s="20" t="s">
        <v>80</v>
      </c>
      <c r="P48" s="26" t="s">
        <v>80</v>
      </c>
    </row>
    <row r="49" spans="1:16">
      <c r="A49" s="9" t="s">
        <v>207</v>
      </c>
      <c r="B49" s="15">
        <v>18.0790313263069</v>
      </c>
      <c r="C49" s="15">
        <v>19.273950612897998</v>
      </c>
      <c r="D49" s="24">
        <v>17.033648212517701</v>
      </c>
      <c r="E49" s="15">
        <v>19.519299379309299</v>
      </c>
      <c r="F49" s="15">
        <v>20.886932748592599</v>
      </c>
      <c r="G49" s="24">
        <v>18.315784706805399</v>
      </c>
      <c r="H49" s="15">
        <v>16.724864739316601</v>
      </c>
      <c r="I49" s="15">
        <v>17.4656968923099</v>
      </c>
      <c r="J49" s="24">
        <v>16.070903394870101</v>
      </c>
      <c r="K49" s="20" t="s">
        <v>80</v>
      </c>
      <c r="L49" s="20" t="s">
        <v>80</v>
      </c>
      <c r="M49" s="26" t="s">
        <v>80</v>
      </c>
      <c r="N49" s="20" t="s">
        <v>80</v>
      </c>
      <c r="O49" s="20" t="s">
        <v>80</v>
      </c>
      <c r="P49" s="26" t="s">
        <v>80</v>
      </c>
    </row>
    <row r="50" spans="1:16">
      <c r="A50" s="9" t="s">
        <v>208</v>
      </c>
      <c r="B50" s="15">
        <v>43.629159308135797</v>
      </c>
      <c r="C50" s="15">
        <v>41.876638158887502</v>
      </c>
      <c r="D50" s="24">
        <v>45.1623641333831</v>
      </c>
      <c r="E50" s="15">
        <v>44.8573985465855</v>
      </c>
      <c r="F50" s="15">
        <v>42.725562440726399</v>
      </c>
      <c r="G50" s="24">
        <v>46.733410122786999</v>
      </c>
      <c r="H50" s="15">
        <v>42.9699104851763</v>
      </c>
      <c r="I50" s="15">
        <v>41.446023858420801</v>
      </c>
      <c r="J50" s="24">
        <v>44.315104458184301</v>
      </c>
      <c r="K50" s="20" t="s">
        <v>80</v>
      </c>
      <c r="L50" s="20" t="s">
        <v>80</v>
      </c>
      <c r="M50" s="26" t="s">
        <v>80</v>
      </c>
      <c r="N50" s="15">
        <v>35.643037526436302</v>
      </c>
      <c r="O50" s="20" t="s">
        <v>80</v>
      </c>
      <c r="P50" s="26" t="s">
        <v>80</v>
      </c>
    </row>
    <row r="51" spans="1:16">
      <c r="A51" s="9" t="s">
        <v>209</v>
      </c>
      <c r="B51" s="15">
        <v>30.9359447433037</v>
      </c>
      <c r="C51" s="15">
        <v>27.609641587026999</v>
      </c>
      <c r="D51" s="24">
        <v>33.845983262169099</v>
      </c>
      <c r="E51" s="15">
        <v>35.694528816142302</v>
      </c>
      <c r="F51" s="15">
        <v>31.187163027817999</v>
      </c>
      <c r="G51" s="24">
        <v>39.661001836198203</v>
      </c>
      <c r="H51" s="15">
        <v>26.0373985540785</v>
      </c>
      <c r="I51" s="15">
        <v>23.403048101623099</v>
      </c>
      <c r="J51" s="24">
        <v>28.3628421200338</v>
      </c>
      <c r="K51" s="20" t="s">
        <v>80</v>
      </c>
      <c r="L51" s="20" t="s">
        <v>80</v>
      </c>
      <c r="M51" s="26" t="s">
        <v>80</v>
      </c>
      <c r="N51" s="15">
        <v>35.609928874267297</v>
      </c>
      <c r="O51" s="20" t="s">
        <v>80</v>
      </c>
      <c r="P51" s="26" t="s">
        <v>80</v>
      </c>
    </row>
    <row r="52" spans="1:16">
      <c r="A52" s="9" t="s">
        <v>210</v>
      </c>
      <c r="B52" s="15">
        <v>18.160622047682399</v>
      </c>
      <c r="C52" s="15">
        <v>17.723887771216798</v>
      </c>
      <c r="D52" s="24">
        <v>18.542701944586899</v>
      </c>
      <c r="E52" s="15">
        <v>22.008630821455899</v>
      </c>
      <c r="F52" s="15">
        <v>22.9038873605292</v>
      </c>
      <c r="G52" s="24">
        <v>21.220806829566602</v>
      </c>
      <c r="H52" s="15">
        <v>13.8094666786529</v>
      </c>
      <c r="I52" s="15">
        <v>12.2066184511117</v>
      </c>
      <c r="J52" s="24">
        <v>15.224363126642301</v>
      </c>
      <c r="K52" s="20" t="s">
        <v>80</v>
      </c>
      <c r="L52" s="20" t="s">
        <v>80</v>
      </c>
      <c r="M52" s="26" t="s">
        <v>80</v>
      </c>
      <c r="N52" s="20" t="s">
        <v>80</v>
      </c>
      <c r="O52" s="20" t="s">
        <v>80</v>
      </c>
      <c r="P52" s="26" t="s">
        <v>80</v>
      </c>
    </row>
    <row r="53" spans="1:16">
      <c r="A53" s="9" t="s">
        <v>211</v>
      </c>
      <c r="B53" s="15">
        <v>29.6897978416272</v>
      </c>
      <c r="C53" s="15">
        <v>28.1994741717598</v>
      </c>
      <c r="D53" s="24">
        <v>30.9936174519076</v>
      </c>
      <c r="E53" s="15">
        <v>32.947136960786402</v>
      </c>
      <c r="F53" s="15">
        <v>31.4696470121354</v>
      </c>
      <c r="G53" s="24">
        <v>34.247325206858903</v>
      </c>
      <c r="H53" s="15">
        <v>26.525775582971701</v>
      </c>
      <c r="I53" s="15">
        <v>25.118866709706399</v>
      </c>
      <c r="J53" s="24">
        <v>27.767708744966502</v>
      </c>
      <c r="K53" s="20" t="s">
        <v>80</v>
      </c>
      <c r="L53" s="20" t="s">
        <v>80</v>
      </c>
      <c r="M53" s="26" t="s">
        <v>80</v>
      </c>
      <c r="N53" s="20" t="s">
        <v>80</v>
      </c>
      <c r="O53" s="20" t="s">
        <v>80</v>
      </c>
      <c r="P53" s="26" t="s">
        <v>80</v>
      </c>
    </row>
    <row r="54" spans="1:16">
      <c r="A54" s="9" t="s">
        <v>212</v>
      </c>
      <c r="B54" s="15">
        <v>37.1650219060556</v>
      </c>
      <c r="C54" s="15">
        <v>44.422373723570999</v>
      </c>
      <c r="D54" s="24">
        <v>30.815879226719101</v>
      </c>
      <c r="E54" s="15">
        <v>37.917345189935197</v>
      </c>
      <c r="F54" s="15">
        <v>45.753327444209397</v>
      </c>
      <c r="G54" s="24">
        <v>31.021696232904201</v>
      </c>
      <c r="H54" s="15">
        <v>36.692593201206599</v>
      </c>
      <c r="I54" s="15">
        <v>43.442305736246702</v>
      </c>
      <c r="J54" s="24">
        <v>30.7343595227577</v>
      </c>
      <c r="K54" s="20" t="s">
        <v>80</v>
      </c>
      <c r="L54" s="20" t="s">
        <v>80</v>
      </c>
      <c r="M54" s="26" t="s">
        <v>80</v>
      </c>
      <c r="N54" s="15">
        <v>37.537110079441902</v>
      </c>
      <c r="O54" s="20" t="s">
        <v>80</v>
      </c>
      <c r="P54" s="26" t="s">
        <v>80</v>
      </c>
    </row>
    <row r="55" spans="1:16">
      <c r="A55" s="9" t="s">
        <v>213</v>
      </c>
      <c r="B55" s="15">
        <v>4.6508676554433501</v>
      </c>
      <c r="C55" s="15">
        <v>5.9250795952727104</v>
      </c>
      <c r="D55" s="24">
        <v>3.5361148347015599</v>
      </c>
      <c r="E55" s="15">
        <v>5.5416829087083297</v>
      </c>
      <c r="F55" s="15">
        <v>6.7501241312481897</v>
      </c>
      <c r="G55" s="24">
        <v>4.4782570119364298</v>
      </c>
      <c r="H55" s="15">
        <v>3.8440896493529899</v>
      </c>
      <c r="I55" s="15">
        <v>5.0258083033204803</v>
      </c>
      <c r="J55" s="24">
        <v>2.8009406491595099</v>
      </c>
      <c r="K55" s="20" t="s">
        <v>80</v>
      </c>
      <c r="L55" s="20" t="s">
        <v>80</v>
      </c>
      <c r="M55" s="26" t="s">
        <v>80</v>
      </c>
      <c r="N55" s="20" t="s">
        <v>80</v>
      </c>
      <c r="O55" s="20" t="s">
        <v>80</v>
      </c>
      <c r="P55" s="26" t="s">
        <v>80</v>
      </c>
    </row>
    <row r="56" spans="1:16">
      <c r="A56" s="9" t="s">
        <v>214</v>
      </c>
      <c r="B56" s="15">
        <v>11.394801100801599</v>
      </c>
      <c r="C56" s="15">
        <v>11.758289586965899</v>
      </c>
      <c r="D56" s="24">
        <v>11.076800772447299</v>
      </c>
      <c r="E56" s="15">
        <v>11.6197818716365</v>
      </c>
      <c r="F56" s="15">
        <v>13.3447450308459</v>
      </c>
      <c r="G56" s="24">
        <v>10.101817687474201</v>
      </c>
      <c r="H56" s="15">
        <v>11.0373009293446</v>
      </c>
      <c r="I56" s="15">
        <v>9.9705036104539193</v>
      </c>
      <c r="J56" s="24">
        <v>11.9790043990104</v>
      </c>
      <c r="K56" s="20" t="s">
        <v>80</v>
      </c>
      <c r="L56" s="20" t="s">
        <v>80</v>
      </c>
      <c r="M56" s="26" t="s">
        <v>80</v>
      </c>
      <c r="N56" s="20" t="s">
        <v>80</v>
      </c>
      <c r="O56" s="20" t="s">
        <v>80</v>
      </c>
      <c r="P56" s="26" t="s">
        <v>80</v>
      </c>
    </row>
    <row r="57" spans="1:16">
      <c r="A57" s="9" t="s">
        <v>215</v>
      </c>
      <c r="B57" s="15">
        <v>8.8800884989205695</v>
      </c>
      <c r="C57" s="15">
        <v>12.001351164734199</v>
      </c>
      <c r="D57" s="24">
        <v>6.1494310217525703</v>
      </c>
      <c r="E57" s="15">
        <v>9.34896929135253</v>
      </c>
      <c r="F57" s="15">
        <v>11.9712780948971</v>
      </c>
      <c r="G57" s="24">
        <v>7.0413427067832997</v>
      </c>
      <c r="H57" s="15">
        <v>8.5799788575018407</v>
      </c>
      <c r="I57" s="15">
        <v>12.240734266706101</v>
      </c>
      <c r="J57" s="24">
        <v>5.3484877303682001</v>
      </c>
      <c r="K57" s="20" t="s">
        <v>80</v>
      </c>
      <c r="L57" s="20" t="s">
        <v>80</v>
      </c>
      <c r="M57" s="26" t="s">
        <v>80</v>
      </c>
      <c r="N57" s="20" t="s">
        <v>80</v>
      </c>
      <c r="O57" s="20" t="s">
        <v>80</v>
      </c>
      <c r="P57" s="26" t="s">
        <v>80</v>
      </c>
    </row>
    <row r="58" spans="1:16">
      <c r="A58" s="9" t="s">
        <v>216</v>
      </c>
      <c r="B58" s="15">
        <v>21.730457410230201</v>
      </c>
      <c r="C58" s="15">
        <v>17.228422211022501</v>
      </c>
      <c r="D58" s="24">
        <v>25.669092954696801</v>
      </c>
      <c r="E58" s="15">
        <v>30.6687389803784</v>
      </c>
      <c r="F58" s="15">
        <v>23.542853873950701</v>
      </c>
      <c r="G58" s="24">
        <v>36.939503845275702</v>
      </c>
      <c r="H58" s="15">
        <v>12.605533708003399</v>
      </c>
      <c r="I58" s="15">
        <v>10.4637860466554</v>
      </c>
      <c r="J58" s="24">
        <v>14.496137638220601</v>
      </c>
      <c r="K58" s="20" t="s">
        <v>80</v>
      </c>
      <c r="L58" s="20" t="s">
        <v>80</v>
      </c>
      <c r="M58" s="26" t="s">
        <v>80</v>
      </c>
      <c r="N58" s="20" t="s">
        <v>80</v>
      </c>
      <c r="O58" s="20" t="s">
        <v>80</v>
      </c>
      <c r="P58" s="26" t="s">
        <v>80</v>
      </c>
    </row>
    <row r="59" spans="1:16">
      <c r="A59" s="9" t="s">
        <v>217</v>
      </c>
      <c r="B59" s="15">
        <v>1.4953876244736599</v>
      </c>
      <c r="C59" s="15">
        <v>1.0820000508893</v>
      </c>
      <c r="D59" s="24">
        <v>1.8570425025267501</v>
      </c>
      <c r="E59" s="15">
        <v>1.86926597795364</v>
      </c>
      <c r="F59" s="20" t="s">
        <v>80</v>
      </c>
      <c r="G59" s="24">
        <v>2.5327534667315001</v>
      </c>
      <c r="H59" s="20" t="s">
        <v>80</v>
      </c>
      <c r="I59" s="20" t="s">
        <v>80</v>
      </c>
      <c r="J59" s="26" t="s">
        <v>80</v>
      </c>
      <c r="K59" s="20" t="s">
        <v>80</v>
      </c>
      <c r="L59" s="20" t="s">
        <v>80</v>
      </c>
      <c r="M59" s="26" t="s">
        <v>80</v>
      </c>
      <c r="N59" s="20" t="s">
        <v>80</v>
      </c>
      <c r="O59" s="20" t="s">
        <v>80</v>
      </c>
      <c r="P59" s="26" t="s">
        <v>80</v>
      </c>
    </row>
    <row r="60" spans="1:16">
      <c r="A60" s="9" t="s">
        <v>218</v>
      </c>
      <c r="B60" s="15">
        <v>0.75830054898875499</v>
      </c>
      <c r="C60" s="20" t="s">
        <v>80</v>
      </c>
      <c r="D60" s="26" t="s">
        <v>80</v>
      </c>
      <c r="E60" s="20" t="s">
        <v>80</v>
      </c>
      <c r="F60" s="20" t="s">
        <v>80</v>
      </c>
      <c r="G60" s="26" t="s">
        <v>80</v>
      </c>
      <c r="H60" s="20" t="s">
        <v>80</v>
      </c>
      <c r="I60" s="20" t="s">
        <v>80</v>
      </c>
      <c r="J60" s="26" t="s">
        <v>80</v>
      </c>
      <c r="K60" s="20" t="s">
        <v>80</v>
      </c>
      <c r="L60" s="20" t="s">
        <v>80</v>
      </c>
      <c r="M60" s="26" t="s">
        <v>80</v>
      </c>
      <c r="N60" s="20" t="s">
        <v>80</v>
      </c>
      <c r="O60" s="20" t="s">
        <v>80</v>
      </c>
      <c r="P60" s="26" t="s">
        <v>80</v>
      </c>
    </row>
    <row r="61" spans="1:16">
      <c r="A61" s="9" t="s">
        <v>219</v>
      </c>
      <c r="B61" s="15">
        <v>1.10985039646711</v>
      </c>
      <c r="C61" s="20" t="s">
        <v>80</v>
      </c>
      <c r="D61" s="26" t="s">
        <v>80</v>
      </c>
      <c r="E61" s="20" t="s">
        <v>80</v>
      </c>
      <c r="F61" s="20" t="s">
        <v>80</v>
      </c>
      <c r="G61" s="26" t="s">
        <v>80</v>
      </c>
      <c r="H61" s="20" t="s">
        <v>80</v>
      </c>
      <c r="I61" s="20" t="s">
        <v>80</v>
      </c>
      <c r="J61" s="26" t="s">
        <v>80</v>
      </c>
      <c r="K61" s="20" t="s">
        <v>80</v>
      </c>
      <c r="L61" s="20" t="s">
        <v>80</v>
      </c>
      <c r="M61" s="26" t="s">
        <v>80</v>
      </c>
      <c r="N61" s="20" t="s">
        <v>80</v>
      </c>
      <c r="O61" s="20" t="s">
        <v>80</v>
      </c>
      <c r="P61" s="26" t="s">
        <v>80</v>
      </c>
    </row>
    <row r="62" spans="1:16">
      <c r="A62" s="9" t="s">
        <v>220</v>
      </c>
      <c r="B62" s="15">
        <v>2.69863642049271</v>
      </c>
      <c r="C62" s="15">
        <v>3.02207129250472</v>
      </c>
      <c r="D62" s="24">
        <v>2.4156772638315802</v>
      </c>
      <c r="E62" s="15">
        <v>3.0932069099908102</v>
      </c>
      <c r="F62" s="15">
        <v>3.2832395137541699</v>
      </c>
      <c r="G62" s="24">
        <v>2.9259785927970201</v>
      </c>
      <c r="H62" s="15">
        <v>2.32150369425091</v>
      </c>
      <c r="I62" s="15">
        <v>2.7087923544998498</v>
      </c>
      <c r="J62" s="24">
        <v>1.97962893635607</v>
      </c>
      <c r="K62" s="20" t="s">
        <v>80</v>
      </c>
      <c r="L62" s="20" t="s">
        <v>80</v>
      </c>
      <c r="M62" s="26" t="s">
        <v>80</v>
      </c>
      <c r="N62" s="20" t="s">
        <v>80</v>
      </c>
      <c r="O62" s="20" t="s">
        <v>80</v>
      </c>
      <c r="P62" s="26" t="s">
        <v>80</v>
      </c>
    </row>
    <row r="63" spans="1:16">
      <c r="A63" s="9" t="s">
        <v>221</v>
      </c>
      <c r="B63" s="15">
        <v>9.9969140293072005</v>
      </c>
      <c r="C63" s="15">
        <v>12.488167517790901</v>
      </c>
      <c r="D63" s="24">
        <v>7.8174242861472303</v>
      </c>
      <c r="E63" s="15">
        <v>13.9268970868268</v>
      </c>
      <c r="F63" s="15">
        <v>18.120412112285699</v>
      </c>
      <c r="G63" s="24">
        <v>10.236612120213101</v>
      </c>
      <c r="H63" s="15">
        <v>5.8158375968891098</v>
      </c>
      <c r="I63" s="15">
        <v>6.2782852560836302</v>
      </c>
      <c r="J63" s="24">
        <v>5.4076170684994</v>
      </c>
      <c r="K63" s="20" t="s">
        <v>80</v>
      </c>
      <c r="L63" s="20" t="s">
        <v>80</v>
      </c>
      <c r="M63" s="26" t="s">
        <v>80</v>
      </c>
      <c r="N63" s="20" t="s">
        <v>80</v>
      </c>
      <c r="O63" s="20" t="s">
        <v>80</v>
      </c>
      <c r="P63" s="26" t="s">
        <v>80</v>
      </c>
    </row>
    <row r="64" spans="1:16">
      <c r="A64" s="11" t="s">
        <v>222</v>
      </c>
      <c r="B64" s="16">
        <v>7.3686893707583199</v>
      </c>
      <c r="C64" s="16">
        <v>8.9830419059669602</v>
      </c>
      <c r="D64" s="25">
        <v>5.9563622797592499</v>
      </c>
      <c r="E64" s="16">
        <v>7.4066006772138504</v>
      </c>
      <c r="F64" s="16">
        <v>8.4749660851676705</v>
      </c>
      <c r="G64" s="25">
        <v>6.4664412215098199</v>
      </c>
      <c r="H64" s="16">
        <v>7.0933474403838002</v>
      </c>
      <c r="I64" s="16">
        <v>9.1982720581313195</v>
      </c>
      <c r="J64" s="25">
        <v>5.2352486424051197</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S71"/>
  <sheetViews>
    <sheetView zoomScale="55" workbookViewId="0"/>
  </sheetViews>
  <sheetFormatPr defaultColWidth="10.90625" defaultRowHeight="15"/>
  <cols>
    <col min="1" max="1" width="51.6796875" customWidth="1"/>
    <col min="2" max="44" width="13.6796875" customWidth="1"/>
  </cols>
  <sheetData>
    <row r="1" spans="1:45" ht="39.9" customHeight="1">
      <c r="A1" s="10" t="s">
        <v>232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c r="A3" s="9" t="s">
        <v>161</v>
      </c>
      <c r="B3" s="36">
        <v>16.7394572593169</v>
      </c>
      <c r="C3" s="32">
        <v>18.4693664923496</v>
      </c>
      <c r="D3" s="32">
        <v>22.216141194969701</v>
      </c>
      <c r="E3" s="32">
        <v>23.928639014724599</v>
      </c>
      <c r="F3" s="15">
        <v>27.4509803921569</v>
      </c>
      <c r="G3" s="20" t="s">
        <v>80</v>
      </c>
      <c r="H3" s="15">
        <v>17.877094972066999</v>
      </c>
      <c r="I3" s="15">
        <v>21.782178217821802</v>
      </c>
      <c r="J3" s="15">
        <v>21.428571428571399</v>
      </c>
      <c r="K3" s="15">
        <v>21.6216216216216</v>
      </c>
      <c r="L3" s="15">
        <v>16.822429906542101</v>
      </c>
      <c r="M3" s="15">
        <v>11.9047619047619</v>
      </c>
      <c r="N3" s="15">
        <v>15.2777777777778</v>
      </c>
      <c r="O3" s="15">
        <v>17.741935483871</v>
      </c>
      <c r="P3" s="15">
        <v>38.842975206611598</v>
      </c>
      <c r="Q3" s="15">
        <v>41.176470588235297</v>
      </c>
      <c r="R3" s="15">
        <v>25.531914893617</v>
      </c>
      <c r="S3" s="15">
        <v>30.434782608695699</v>
      </c>
      <c r="T3" s="15">
        <v>51.162790697674403</v>
      </c>
      <c r="U3" s="15">
        <v>23.214285714285701</v>
      </c>
      <c r="V3" s="15">
        <v>28.947368421052602</v>
      </c>
      <c r="W3" s="15">
        <v>23.913043478260899</v>
      </c>
      <c r="X3" s="15">
        <v>31.531531531531499</v>
      </c>
      <c r="Y3" s="15">
        <v>18.181818181818201</v>
      </c>
      <c r="Z3" s="15">
        <v>20.689655172413801</v>
      </c>
      <c r="AA3" s="15">
        <v>23.913043478260899</v>
      </c>
      <c r="AB3" s="20" t="s">
        <v>80</v>
      </c>
      <c r="AC3" s="20" t="s">
        <v>80</v>
      </c>
      <c r="AD3" s="15">
        <v>45.652173913043498</v>
      </c>
      <c r="AE3" s="15">
        <v>27.272727272727298</v>
      </c>
      <c r="AF3" s="15">
        <v>29.545454545454501</v>
      </c>
      <c r="AG3" s="20" t="s">
        <v>80</v>
      </c>
      <c r="AH3" s="15">
        <v>17.204301075268798</v>
      </c>
      <c r="AI3" s="15">
        <v>14.285714285714301</v>
      </c>
      <c r="AJ3" s="32">
        <v>20.717951046679499</v>
      </c>
      <c r="AK3" s="15">
        <v>17.011834319526599</v>
      </c>
      <c r="AL3" s="15">
        <v>17.211328976034899</v>
      </c>
      <c r="AM3" s="15">
        <v>16.6666666666667</v>
      </c>
      <c r="AN3" s="15">
        <v>39.416058394160601</v>
      </c>
      <c r="AO3" s="15">
        <v>23.353293413173699</v>
      </c>
      <c r="AP3" s="15">
        <v>22.388059701492502</v>
      </c>
      <c r="AQ3" s="15">
        <v>22.0588235294118</v>
      </c>
      <c r="AR3" s="24">
        <v>28.7878787878788</v>
      </c>
      <c r="AS3" s="38"/>
    </row>
    <row r="4" spans="1:45">
      <c r="A4" s="9" t="s">
        <v>162</v>
      </c>
      <c r="B4" s="36">
        <v>14.7652964548281</v>
      </c>
      <c r="C4" s="32">
        <v>14.770257436798699</v>
      </c>
      <c r="D4" s="32">
        <v>16.066562270386701</v>
      </c>
      <c r="E4" s="32">
        <v>16.548069706433601</v>
      </c>
      <c r="F4" s="15">
        <v>21.568627450980401</v>
      </c>
      <c r="G4" s="20" t="s">
        <v>80</v>
      </c>
      <c r="H4" s="15">
        <v>12.290502793296101</v>
      </c>
      <c r="I4" s="15">
        <v>20.7920792079208</v>
      </c>
      <c r="J4" s="15">
        <v>20</v>
      </c>
      <c r="K4" s="20" t="s">
        <v>80</v>
      </c>
      <c r="L4" s="15">
        <v>14.953271028037401</v>
      </c>
      <c r="M4" s="15">
        <v>15.476190476190499</v>
      </c>
      <c r="N4" s="15">
        <v>15.9722222222222</v>
      </c>
      <c r="O4" s="15">
        <v>8.8709677419354804</v>
      </c>
      <c r="P4" s="15">
        <v>14.876033057851201</v>
      </c>
      <c r="Q4" s="15">
        <v>20.588235294117599</v>
      </c>
      <c r="R4" s="15">
        <v>19.148936170212799</v>
      </c>
      <c r="S4" s="15">
        <v>10.869565217391299</v>
      </c>
      <c r="T4" s="15">
        <v>23.255813953488399</v>
      </c>
      <c r="U4" s="15">
        <v>16.071428571428601</v>
      </c>
      <c r="V4" s="15">
        <v>26.315789473684202</v>
      </c>
      <c r="W4" s="15">
        <v>15.2173913043478</v>
      </c>
      <c r="X4" s="15">
        <v>26.126126126126099</v>
      </c>
      <c r="Y4" s="15">
        <v>20.454545454545499</v>
      </c>
      <c r="Z4" s="20" t="s">
        <v>80</v>
      </c>
      <c r="AA4" s="15">
        <v>13.0434782608696</v>
      </c>
      <c r="AB4" s="20" t="s">
        <v>80</v>
      </c>
      <c r="AC4" s="20" t="s">
        <v>80</v>
      </c>
      <c r="AD4" s="15">
        <v>10.869565217391299</v>
      </c>
      <c r="AE4" s="20" t="s">
        <v>80</v>
      </c>
      <c r="AF4" s="15">
        <v>22.727272727272702</v>
      </c>
      <c r="AG4" s="20" t="s">
        <v>80</v>
      </c>
      <c r="AH4" s="15">
        <v>18.279569892473098</v>
      </c>
      <c r="AI4" s="15">
        <v>16.071428571428601</v>
      </c>
      <c r="AJ4" s="32">
        <v>15.6453122759679</v>
      </c>
      <c r="AK4" s="15">
        <v>10.5029585798817</v>
      </c>
      <c r="AL4" s="15">
        <v>18.082788671024002</v>
      </c>
      <c r="AM4" s="15">
        <v>15.1515151515152</v>
      </c>
      <c r="AN4" s="15">
        <v>18.978102189781001</v>
      </c>
      <c r="AO4" s="15">
        <v>20.958083832335301</v>
      </c>
      <c r="AP4" s="15">
        <v>15.3518123667377</v>
      </c>
      <c r="AQ4" s="15">
        <v>17.647058823529399</v>
      </c>
      <c r="AR4" s="24">
        <v>21.2121212121212</v>
      </c>
      <c r="AS4" s="38"/>
    </row>
    <row r="5" spans="1:45">
      <c r="A5" s="9" t="s">
        <v>163</v>
      </c>
      <c r="B5" s="36">
        <v>21.645741689917799</v>
      </c>
      <c r="C5" s="32">
        <v>21.242596158900501</v>
      </c>
      <c r="D5" s="32">
        <v>21.6154431914273</v>
      </c>
      <c r="E5" s="32">
        <v>16.742402434917899</v>
      </c>
      <c r="F5" s="15">
        <v>23.529411764705898</v>
      </c>
      <c r="G5" s="20" t="s">
        <v>80</v>
      </c>
      <c r="H5" s="15">
        <v>12.290502793296101</v>
      </c>
      <c r="I5" s="15">
        <v>17.821782178217799</v>
      </c>
      <c r="J5" s="15">
        <v>15.714285714285699</v>
      </c>
      <c r="K5" s="20" t="s">
        <v>80</v>
      </c>
      <c r="L5" s="15">
        <v>16.822429906542101</v>
      </c>
      <c r="M5" s="15">
        <v>20.238095238095202</v>
      </c>
      <c r="N5" s="15">
        <v>19.4444444444444</v>
      </c>
      <c r="O5" s="15">
        <v>5.6451612903225801</v>
      </c>
      <c r="P5" s="15">
        <v>18.181818181818201</v>
      </c>
      <c r="Q5" s="15">
        <v>23.529411764705898</v>
      </c>
      <c r="R5" s="15">
        <v>34.042553191489397</v>
      </c>
      <c r="S5" s="15">
        <v>17.3913043478261</v>
      </c>
      <c r="T5" s="15">
        <v>20.930232558139501</v>
      </c>
      <c r="U5" s="15">
        <v>19.6428571428571</v>
      </c>
      <c r="V5" s="15">
        <v>15.789473684210501</v>
      </c>
      <c r="W5" s="20" t="s">
        <v>80</v>
      </c>
      <c r="X5" s="15">
        <v>30.630630630630598</v>
      </c>
      <c r="Y5" s="15">
        <v>15.909090909090899</v>
      </c>
      <c r="Z5" s="20" t="s">
        <v>80</v>
      </c>
      <c r="AA5" s="15">
        <v>10.869565217391299</v>
      </c>
      <c r="AB5" s="20" t="s">
        <v>80</v>
      </c>
      <c r="AC5" s="20" t="s">
        <v>80</v>
      </c>
      <c r="AD5" s="15">
        <v>17.3913043478261</v>
      </c>
      <c r="AE5" s="15">
        <v>15.1515151515152</v>
      </c>
      <c r="AF5" s="15">
        <v>15.909090909090899</v>
      </c>
      <c r="AG5" s="20" t="s">
        <v>80</v>
      </c>
      <c r="AH5" s="15">
        <v>17.204301075268798</v>
      </c>
      <c r="AI5" s="15">
        <v>14.285714285714301</v>
      </c>
      <c r="AJ5" s="32">
        <v>25.878655424108199</v>
      </c>
      <c r="AK5" s="15">
        <v>25.739644970414201</v>
      </c>
      <c r="AL5" s="15">
        <v>13.7254901960784</v>
      </c>
      <c r="AM5" s="15">
        <v>20.202020202020201</v>
      </c>
      <c r="AN5" s="15">
        <v>33.576642335766401</v>
      </c>
      <c r="AO5" s="15">
        <v>28.742514970059901</v>
      </c>
      <c r="AP5" s="15">
        <v>30.2771855010661</v>
      </c>
      <c r="AQ5" s="15">
        <v>27.9411764705882</v>
      </c>
      <c r="AR5" s="24">
        <v>32.424242424242401</v>
      </c>
      <c r="AS5" s="38"/>
    </row>
    <row r="6" spans="1:45">
      <c r="A6" s="9" t="s">
        <v>164</v>
      </c>
      <c r="B6" s="36">
        <v>36.4037104077753</v>
      </c>
      <c r="C6" s="32">
        <v>35.776965511014502</v>
      </c>
      <c r="D6" s="32">
        <v>36.127700148584601</v>
      </c>
      <c r="E6" s="32">
        <v>39.0981660085762</v>
      </c>
      <c r="F6" s="15">
        <v>47.058823529411796</v>
      </c>
      <c r="G6" s="15">
        <v>36.363636363636402</v>
      </c>
      <c r="H6" s="15">
        <v>29.050279329608902</v>
      </c>
      <c r="I6" s="15">
        <v>36.633663366336599</v>
      </c>
      <c r="J6" s="15">
        <v>47.142857142857103</v>
      </c>
      <c r="K6" s="15">
        <v>27.027027027027</v>
      </c>
      <c r="L6" s="15">
        <v>43.925233644859802</v>
      </c>
      <c r="M6" s="15">
        <v>41.6666666666667</v>
      </c>
      <c r="N6" s="15">
        <v>52.7777777777778</v>
      </c>
      <c r="O6" s="15">
        <v>41.129032258064498</v>
      </c>
      <c r="P6" s="15">
        <v>23.1404958677686</v>
      </c>
      <c r="Q6" s="15">
        <v>61.764705882352899</v>
      </c>
      <c r="R6" s="15">
        <v>40.425531914893597</v>
      </c>
      <c r="S6" s="15">
        <v>30.434782608695699</v>
      </c>
      <c r="T6" s="15">
        <v>34.883720930232599</v>
      </c>
      <c r="U6" s="15">
        <v>50</v>
      </c>
      <c r="V6" s="15">
        <v>52.631578947368403</v>
      </c>
      <c r="W6" s="15">
        <v>34.7826086956522</v>
      </c>
      <c r="X6" s="15">
        <v>42.342342342342299</v>
      </c>
      <c r="Y6" s="15">
        <v>44.696969696969703</v>
      </c>
      <c r="Z6" s="15">
        <v>17.241379310344801</v>
      </c>
      <c r="AA6" s="15">
        <v>39.130434782608702</v>
      </c>
      <c r="AB6" s="20" t="s">
        <v>80</v>
      </c>
      <c r="AC6" s="15">
        <v>35.714285714285701</v>
      </c>
      <c r="AD6" s="15">
        <v>32.6086956521739</v>
      </c>
      <c r="AE6" s="15">
        <v>30.303030303030301</v>
      </c>
      <c r="AF6" s="15">
        <v>34.090909090909101</v>
      </c>
      <c r="AG6" s="20" t="s">
        <v>80</v>
      </c>
      <c r="AH6" s="15">
        <v>50.537634408602102</v>
      </c>
      <c r="AI6" s="15">
        <v>32.142857142857103</v>
      </c>
      <c r="AJ6" s="32">
        <v>33.528968263537102</v>
      </c>
      <c r="AK6" s="15">
        <v>29.142011834319501</v>
      </c>
      <c r="AL6" s="15">
        <v>38.126361655773401</v>
      </c>
      <c r="AM6" s="15">
        <v>31.818181818181799</v>
      </c>
      <c r="AN6" s="15">
        <v>48.9051094890511</v>
      </c>
      <c r="AO6" s="15">
        <v>38.323353293413199</v>
      </c>
      <c r="AP6" s="15">
        <v>32.622601279317699</v>
      </c>
      <c r="AQ6" s="15">
        <v>38.235294117647101</v>
      </c>
      <c r="AR6" s="24">
        <v>37.272727272727302</v>
      </c>
      <c r="AS6" s="38"/>
    </row>
    <row r="7" spans="1:45">
      <c r="A7" s="9" t="s">
        <v>165</v>
      </c>
      <c r="B7" s="36">
        <v>20.182452894325198</v>
      </c>
      <c r="C7" s="32">
        <v>20.531308704640502</v>
      </c>
      <c r="D7" s="32">
        <v>19.5314228394118</v>
      </c>
      <c r="E7" s="32">
        <v>24.1226168192687</v>
      </c>
      <c r="F7" s="15">
        <v>9.8039215686274499</v>
      </c>
      <c r="G7" s="15">
        <v>22.727272727272702</v>
      </c>
      <c r="H7" s="15">
        <v>12.849162011173201</v>
      </c>
      <c r="I7" s="15">
        <v>20.7920792079208</v>
      </c>
      <c r="J7" s="15">
        <v>28.571428571428601</v>
      </c>
      <c r="K7" s="15">
        <v>16.2162162162162</v>
      </c>
      <c r="L7" s="15">
        <v>25.233644859813101</v>
      </c>
      <c r="M7" s="15">
        <v>16.6666666666667</v>
      </c>
      <c r="N7" s="15">
        <v>34.0277777777778</v>
      </c>
      <c r="O7" s="15">
        <v>30.645161290322601</v>
      </c>
      <c r="P7" s="15">
        <v>23.1404958677686</v>
      </c>
      <c r="Q7" s="15">
        <v>38.235294117647101</v>
      </c>
      <c r="R7" s="15">
        <v>21.2765957446809</v>
      </c>
      <c r="S7" s="15">
        <v>19.565217391304301</v>
      </c>
      <c r="T7" s="15">
        <v>25.581395348837201</v>
      </c>
      <c r="U7" s="15">
        <v>33.928571428571402</v>
      </c>
      <c r="V7" s="15">
        <v>34.210526315789501</v>
      </c>
      <c r="W7" s="15">
        <v>21.739130434782599</v>
      </c>
      <c r="X7" s="15">
        <v>24.324324324324301</v>
      </c>
      <c r="Y7" s="15">
        <v>21.969696969697001</v>
      </c>
      <c r="Z7" s="15">
        <v>41.379310344827601</v>
      </c>
      <c r="AA7" s="15">
        <v>21.739130434782599</v>
      </c>
      <c r="AB7" s="20" t="s">
        <v>80</v>
      </c>
      <c r="AC7" s="15">
        <v>23.8095238095238</v>
      </c>
      <c r="AD7" s="15">
        <v>26.086956521739101</v>
      </c>
      <c r="AE7" s="15">
        <v>18.181818181818201</v>
      </c>
      <c r="AF7" s="15">
        <v>31.818181818181799</v>
      </c>
      <c r="AG7" s="20" t="s">
        <v>80</v>
      </c>
      <c r="AH7" s="15">
        <v>19.354838709677399</v>
      </c>
      <c r="AI7" s="15">
        <v>21.428571428571399</v>
      </c>
      <c r="AJ7" s="32">
        <v>15.5147861405722</v>
      </c>
      <c r="AK7" s="15">
        <v>14.9408284023669</v>
      </c>
      <c r="AL7" s="15">
        <v>16.7755991285403</v>
      </c>
      <c r="AM7" s="15">
        <v>13.1313131313131</v>
      </c>
      <c r="AN7" s="15">
        <v>19.7080291970803</v>
      </c>
      <c r="AO7" s="15">
        <v>20.359281437125698</v>
      </c>
      <c r="AP7" s="15">
        <v>13.4328358208955</v>
      </c>
      <c r="AQ7" s="15">
        <v>16.911764705882401</v>
      </c>
      <c r="AR7" s="24">
        <v>24.2424242424242</v>
      </c>
      <c r="AS7" s="38"/>
    </row>
    <row r="8" spans="1:45">
      <c r="A8" s="9" t="s">
        <v>166</v>
      </c>
      <c r="B8" s="36">
        <v>1.2677834979592399</v>
      </c>
      <c r="C8" s="32">
        <v>1.1819180645448899</v>
      </c>
      <c r="D8" s="32">
        <v>1.8409806882097099</v>
      </c>
      <c r="E8" s="32">
        <v>2.3222607522479599</v>
      </c>
      <c r="F8" s="20" t="s">
        <v>80</v>
      </c>
      <c r="G8" s="20" t="s">
        <v>80</v>
      </c>
      <c r="H8" s="20" t="s">
        <v>80</v>
      </c>
      <c r="I8" s="20" t="s">
        <v>80</v>
      </c>
      <c r="J8" s="15">
        <v>7.1428571428571397</v>
      </c>
      <c r="K8" s="20" t="s">
        <v>80</v>
      </c>
      <c r="L8" s="20" t="s">
        <v>80</v>
      </c>
      <c r="M8" s="20" t="s">
        <v>80</v>
      </c>
      <c r="N8" s="20" t="s">
        <v>80</v>
      </c>
      <c r="O8" s="20" t="s">
        <v>80</v>
      </c>
      <c r="P8" s="15">
        <v>5.7851239669421499</v>
      </c>
      <c r="Q8" s="20" t="s">
        <v>80</v>
      </c>
      <c r="R8" s="20" t="s">
        <v>80</v>
      </c>
      <c r="S8" s="20" t="s">
        <v>80</v>
      </c>
      <c r="T8" s="20" t="s">
        <v>80</v>
      </c>
      <c r="U8" s="20" t="s">
        <v>80</v>
      </c>
      <c r="V8" s="20" t="s">
        <v>80</v>
      </c>
      <c r="W8" s="20" t="s">
        <v>80</v>
      </c>
      <c r="X8" s="20" t="s">
        <v>80</v>
      </c>
      <c r="Y8" s="15">
        <v>6.8181818181818201</v>
      </c>
      <c r="Z8" s="20" t="s">
        <v>80</v>
      </c>
      <c r="AA8" s="20" t="s">
        <v>80</v>
      </c>
      <c r="AB8" s="20" t="s">
        <v>80</v>
      </c>
      <c r="AC8" s="20" t="s">
        <v>80</v>
      </c>
      <c r="AD8" s="20" t="s">
        <v>80</v>
      </c>
      <c r="AE8" s="20" t="s">
        <v>80</v>
      </c>
      <c r="AF8" s="20" t="s">
        <v>80</v>
      </c>
      <c r="AG8" s="20" t="s">
        <v>80</v>
      </c>
      <c r="AH8" s="20" t="s">
        <v>80</v>
      </c>
      <c r="AI8" s="20" t="s">
        <v>80</v>
      </c>
      <c r="AJ8" s="32">
        <v>1.4199296117104001</v>
      </c>
      <c r="AK8" s="15">
        <v>0.73964497041420096</v>
      </c>
      <c r="AL8" s="20" t="s">
        <v>80</v>
      </c>
      <c r="AM8" s="15">
        <v>2.52525252525253</v>
      </c>
      <c r="AN8" s="15">
        <v>5.10948905109489</v>
      </c>
      <c r="AO8" s="15">
        <v>2.6946107784431099</v>
      </c>
      <c r="AP8" s="15">
        <v>1.2793176972281399</v>
      </c>
      <c r="AQ8" s="20" t="s">
        <v>80</v>
      </c>
      <c r="AR8" s="26" t="s">
        <v>80</v>
      </c>
      <c r="AS8" s="38"/>
    </row>
    <row r="9" spans="1:45">
      <c r="A9" s="9" t="s">
        <v>167</v>
      </c>
      <c r="B9" s="36">
        <v>13.4054548643908</v>
      </c>
      <c r="C9" s="32">
        <v>13.051738325457199</v>
      </c>
      <c r="D9" s="32">
        <v>14.5480573979046</v>
      </c>
      <c r="E9" s="32">
        <v>16.898291307077699</v>
      </c>
      <c r="F9" s="20" t="s">
        <v>80</v>
      </c>
      <c r="G9" s="20" t="s">
        <v>80</v>
      </c>
      <c r="H9" s="15">
        <v>8.9385474860335208</v>
      </c>
      <c r="I9" s="15">
        <v>20.7920792079208</v>
      </c>
      <c r="J9" s="15">
        <v>30</v>
      </c>
      <c r="K9" s="15">
        <v>16.2162162162162</v>
      </c>
      <c r="L9" s="15">
        <v>17.757009345794401</v>
      </c>
      <c r="M9" s="15">
        <v>7.1428571428571397</v>
      </c>
      <c r="N9" s="15">
        <v>17.3611111111111</v>
      </c>
      <c r="O9" s="15">
        <v>20.9677419354839</v>
      </c>
      <c r="P9" s="15">
        <v>10.7438016528926</v>
      </c>
      <c r="Q9" s="15">
        <v>17.647058823529399</v>
      </c>
      <c r="R9" s="15">
        <v>14.893617021276601</v>
      </c>
      <c r="S9" s="15">
        <v>10.869565217391299</v>
      </c>
      <c r="T9" s="15">
        <v>16.2790697674419</v>
      </c>
      <c r="U9" s="15">
        <v>26.785714285714299</v>
      </c>
      <c r="V9" s="20" t="s">
        <v>80</v>
      </c>
      <c r="W9" s="15">
        <v>19.565217391304301</v>
      </c>
      <c r="X9" s="15">
        <v>28.828828828828801</v>
      </c>
      <c r="Y9" s="15">
        <v>17.424242424242401</v>
      </c>
      <c r="Z9" s="20" t="s">
        <v>80</v>
      </c>
      <c r="AA9" s="15">
        <v>21.739130434782599</v>
      </c>
      <c r="AB9" s="20" t="s">
        <v>80</v>
      </c>
      <c r="AC9" s="15">
        <v>11.9047619047619</v>
      </c>
      <c r="AD9" s="15">
        <v>15.2173913043478</v>
      </c>
      <c r="AE9" s="15">
        <v>24.2424242424242</v>
      </c>
      <c r="AF9" s="15">
        <v>20.454545454545499</v>
      </c>
      <c r="AG9" s="15">
        <v>46.6666666666667</v>
      </c>
      <c r="AH9" s="15">
        <v>20.430107526881699</v>
      </c>
      <c r="AI9" s="15">
        <v>14.285714285714301</v>
      </c>
      <c r="AJ9" s="32">
        <v>12.4919395749901</v>
      </c>
      <c r="AK9" s="15">
        <v>13.017751479289901</v>
      </c>
      <c r="AL9" s="15">
        <v>10.0217864923747</v>
      </c>
      <c r="AM9" s="15">
        <v>8.5858585858585901</v>
      </c>
      <c r="AN9" s="15">
        <v>22.6277372262774</v>
      </c>
      <c r="AO9" s="15">
        <v>16.167664670658699</v>
      </c>
      <c r="AP9" s="15">
        <v>12.3667377398721</v>
      </c>
      <c r="AQ9" s="15">
        <v>13.235294117647101</v>
      </c>
      <c r="AR9" s="24">
        <v>18.484848484848499</v>
      </c>
      <c r="AS9" s="38"/>
    </row>
    <row r="10" spans="1:45">
      <c r="A10" s="9" t="s">
        <v>168</v>
      </c>
      <c r="B10" s="36">
        <v>10.881211770667299</v>
      </c>
      <c r="C10" s="32">
        <v>10.0548340543646</v>
      </c>
      <c r="D10" s="32">
        <v>10.042208323236499</v>
      </c>
      <c r="E10" s="32">
        <v>8.5461728634403595</v>
      </c>
      <c r="F10" s="20" t="s">
        <v>80</v>
      </c>
      <c r="G10" s="20" t="s">
        <v>80</v>
      </c>
      <c r="H10" s="15">
        <v>5.5865921787709496</v>
      </c>
      <c r="I10" s="15">
        <v>6.9306930693069297</v>
      </c>
      <c r="J10" s="20" t="s">
        <v>80</v>
      </c>
      <c r="K10" s="20" t="s">
        <v>80</v>
      </c>
      <c r="L10" s="15">
        <v>12.1495327102804</v>
      </c>
      <c r="M10" s="15">
        <v>11.9047619047619</v>
      </c>
      <c r="N10" s="15">
        <v>5.5555555555555598</v>
      </c>
      <c r="O10" s="15">
        <v>5.6451612903225801</v>
      </c>
      <c r="P10" s="20" t="s">
        <v>80</v>
      </c>
      <c r="Q10" s="20" t="s">
        <v>80</v>
      </c>
      <c r="R10" s="20" t="s">
        <v>80</v>
      </c>
      <c r="S10" s="20" t="s">
        <v>80</v>
      </c>
      <c r="T10" s="20" t="s">
        <v>80</v>
      </c>
      <c r="U10" s="15">
        <v>10.714285714285699</v>
      </c>
      <c r="V10" s="20" t="s">
        <v>80</v>
      </c>
      <c r="W10" s="15">
        <v>10.869565217391299</v>
      </c>
      <c r="X10" s="15">
        <v>9.9099099099099099</v>
      </c>
      <c r="Y10" s="15">
        <v>12.8787878787879</v>
      </c>
      <c r="Z10" s="20" t="s">
        <v>80</v>
      </c>
      <c r="AA10" s="15">
        <v>10.869565217391299</v>
      </c>
      <c r="AB10" s="20" t="s">
        <v>80</v>
      </c>
      <c r="AC10" s="20" t="s">
        <v>80</v>
      </c>
      <c r="AD10" s="20" t="s">
        <v>80</v>
      </c>
      <c r="AE10" s="20" t="s">
        <v>80</v>
      </c>
      <c r="AF10" s="20" t="s">
        <v>80</v>
      </c>
      <c r="AG10" s="20" t="s">
        <v>80</v>
      </c>
      <c r="AH10" s="15">
        <v>8.6021505376344098</v>
      </c>
      <c r="AI10" s="20" t="s">
        <v>80</v>
      </c>
      <c r="AJ10" s="32">
        <v>11.351024931061399</v>
      </c>
      <c r="AK10" s="15">
        <v>11.390532544378701</v>
      </c>
      <c r="AL10" s="15">
        <v>12.2004357298475</v>
      </c>
      <c r="AM10" s="15">
        <v>10.1010101010101</v>
      </c>
      <c r="AN10" s="15">
        <v>19.7080291970803</v>
      </c>
      <c r="AO10" s="15">
        <v>12.874251497006</v>
      </c>
      <c r="AP10" s="15">
        <v>11.513859275053299</v>
      </c>
      <c r="AQ10" s="15">
        <v>8.0882352941176503</v>
      </c>
      <c r="AR10" s="24">
        <v>13.030303030302999</v>
      </c>
      <c r="AS10" s="38"/>
    </row>
    <row r="11" spans="1:45">
      <c r="A11" s="9" t="s">
        <v>169</v>
      </c>
      <c r="B11" s="36">
        <v>17.162541479838499</v>
      </c>
      <c r="C11" s="32">
        <v>17.112331593807301</v>
      </c>
      <c r="D11" s="32">
        <v>24.298308963177401</v>
      </c>
      <c r="E11" s="32">
        <v>23.0411019298075</v>
      </c>
      <c r="F11" s="15">
        <v>29.411764705882401</v>
      </c>
      <c r="G11" s="20" t="s">
        <v>80</v>
      </c>
      <c r="H11" s="15">
        <v>24.581005586592202</v>
      </c>
      <c r="I11" s="15">
        <v>18.8118811881188</v>
      </c>
      <c r="J11" s="15">
        <v>25.714285714285701</v>
      </c>
      <c r="K11" s="15">
        <v>18.918918918918902</v>
      </c>
      <c r="L11" s="15">
        <v>15.887850467289701</v>
      </c>
      <c r="M11" s="15">
        <v>25</v>
      </c>
      <c r="N11" s="15">
        <v>20.8333333333333</v>
      </c>
      <c r="O11" s="15">
        <v>27.419354838709701</v>
      </c>
      <c r="P11" s="15">
        <v>12.396694214876</v>
      </c>
      <c r="Q11" s="15">
        <v>23.529411764705898</v>
      </c>
      <c r="R11" s="15">
        <v>36.170212765957501</v>
      </c>
      <c r="S11" s="15">
        <v>39.130434782608702</v>
      </c>
      <c r="T11" s="15">
        <v>16.2790697674419</v>
      </c>
      <c r="U11" s="15">
        <v>14.285714285714301</v>
      </c>
      <c r="V11" s="15">
        <v>13.157894736842101</v>
      </c>
      <c r="W11" s="15">
        <v>10.869565217391299</v>
      </c>
      <c r="X11" s="15">
        <v>18.018018018018001</v>
      </c>
      <c r="Y11" s="15">
        <v>18.939393939393899</v>
      </c>
      <c r="Z11" s="20" t="s">
        <v>80</v>
      </c>
      <c r="AA11" s="15">
        <v>28.260869565217401</v>
      </c>
      <c r="AB11" s="20" t="s">
        <v>80</v>
      </c>
      <c r="AC11" s="15">
        <v>23.8095238095238</v>
      </c>
      <c r="AD11" s="15">
        <v>13.0434782608696</v>
      </c>
      <c r="AE11" s="15">
        <v>36.363636363636402</v>
      </c>
      <c r="AF11" s="15">
        <v>38.636363636363598</v>
      </c>
      <c r="AG11" s="20" t="s">
        <v>80</v>
      </c>
      <c r="AH11" s="15">
        <v>27.9569892473118</v>
      </c>
      <c r="AI11" s="15">
        <v>28.571428571428601</v>
      </c>
      <c r="AJ11" s="32">
        <v>25.398184927997701</v>
      </c>
      <c r="AK11" s="15">
        <v>18.934911242603601</v>
      </c>
      <c r="AL11" s="15">
        <v>22.4400871459695</v>
      </c>
      <c r="AM11" s="15">
        <v>25.7575757575758</v>
      </c>
      <c r="AN11" s="15">
        <v>43.795620437956202</v>
      </c>
      <c r="AO11" s="15">
        <v>22.1556886227545</v>
      </c>
      <c r="AP11" s="15">
        <v>21.3219616204691</v>
      </c>
      <c r="AQ11" s="15">
        <v>28.676470588235301</v>
      </c>
      <c r="AR11" s="24">
        <v>40</v>
      </c>
      <c r="AS11" s="38"/>
    </row>
    <row r="12" spans="1:45">
      <c r="A12" s="9" t="s">
        <v>170</v>
      </c>
      <c r="B12" s="36">
        <v>6.6058484668144697</v>
      </c>
      <c r="C12" s="32">
        <v>5.5170846032503702</v>
      </c>
      <c r="D12" s="32">
        <v>5.5417086204512502</v>
      </c>
      <c r="E12" s="32">
        <v>6.9504289944708404</v>
      </c>
      <c r="F12" s="20" t="s">
        <v>80</v>
      </c>
      <c r="G12" s="20" t="s">
        <v>80</v>
      </c>
      <c r="H12" s="15">
        <v>2.7932960893854699</v>
      </c>
      <c r="I12" s="15">
        <v>8.9108910891089099</v>
      </c>
      <c r="J12" s="20" t="s">
        <v>80</v>
      </c>
      <c r="K12" s="20" t="s">
        <v>80</v>
      </c>
      <c r="L12" s="20" t="s">
        <v>80</v>
      </c>
      <c r="M12" s="15">
        <v>5.9523809523809499</v>
      </c>
      <c r="N12" s="15">
        <v>3.4722222222222201</v>
      </c>
      <c r="O12" s="15">
        <v>4.8387096774193497</v>
      </c>
      <c r="P12" s="15">
        <v>32.2314049586777</v>
      </c>
      <c r="Q12" s="20" t="s">
        <v>80</v>
      </c>
      <c r="R12" s="20" t="s">
        <v>80</v>
      </c>
      <c r="S12" s="20" t="s">
        <v>80</v>
      </c>
      <c r="T12" s="20" t="s">
        <v>80</v>
      </c>
      <c r="U12" s="20" t="s">
        <v>80</v>
      </c>
      <c r="V12" s="20" t="s">
        <v>80</v>
      </c>
      <c r="W12" s="15">
        <v>10.869565217391299</v>
      </c>
      <c r="X12" s="15">
        <v>16.2162162162162</v>
      </c>
      <c r="Y12" s="15">
        <v>13.636363636363599</v>
      </c>
      <c r="Z12" s="20" t="s">
        <v>80</v>
      </c>
      <c r="AA12" s="20" t="s">
        <v>80</v>
      </c>
      <c r="AB12" s="20" t="s">
        <v>80</v>
      </c>
      <c r="AC12" s="20" t="s">
        <v>80</v>
      </c>
      <c r="AD12" s="20" t="s">
        <v>80</v>
      </c>
      <c r="AE12" s="20" t="s">
        <v>80</v>
      </c>
      <c r="AF12" s="20" t="s">
        <v>80</v>
      </c>
      <c r="AG12" s="20" t="s">
        <v>80</v>
      </c>
      <c r="AH12" s="15">
        <v>13.9784946236559</v>
      </c>
      <c r="AI12" s="20" t="s">
        <v>80</v>
      </c>
      <c r="AJ12" s="32">
        <v>4.3092801982336297</v>
      </c>
      <c r="AK12" s="15">
        <v>3.4023668639053302</v>
      </c>
      <c r="AL12" s="15">
        <v>4.5751633986928102</v>
      </c>
      <c r="AM12" s="15">
        <v>4.5454545454545503</v>
      </c>
      <c r="AN12" s="15">
        <v>10.9489051094891</v>
      </c>
      <c r="AO12" s="15">
        <v>5.6886227544910204</v>
      </c>
      <c r="AP12" s="15">
        <v>4.9040511727078897</v>
      </c>
      <c r="AQ12" s="15">
        <v>3.6764705882352899</v>
      </c>
      <c r="AR12" s="24">
        <v>4.2424242424242404</v>
      </c>
      <c r="AS12" s="38"/>
    </row>
    <row r="13" spans="1:45">
      <c r="A13" s="9" t="s">
        <v>171</v>
      </c>
      <c r="B13" s="36">
        <v>3.6226789776799802</v>
      </c>
      <c r="C13" s="32">
        <v>3.1365579341666798</v>
      </c>
      <c r="D13" s="32">
        <v>3.3170985694772201</v>
      </c>
      <c r="E13" s="32">
        <v>4.7120686916219698</v>
      </c>
      <c r="F13" s="20" t="s">
        <v>80</v>
      </c>
      <c r="G13" s="20" t="s">
        <v>80</v>
      </c>
      <c r="H13" s="20" t="s">
        <v>80</v>
      </c>
      <c r="I13" s="15">
        <v>6.9306930693069297</v>
      </c>
      <c r="J13" s="20" t="s">
        <v>80</v>
      </c>
      <c r="K13" s="20" t="s">
        <v>80</v>
      </c>
      <c r="L13" s="15">
        <v>5.6074766355140202</v>
      </c>
      <c r="M13" s="20" t="s">
        <v>80</v>
      </c>
      <c r="N13" s="15">
        <v>6.9444444444444402</v>
      </c>
      <c r="O13" s="15">
        <v>6.4516129032258096</v>
      </c>
      <c r="P13" s="20" t="s">
        <v>80</v>
      </c>
      <c r="Q13" s="20" t="s">
        <v>80</v>
      </c>
      <c r="R13" s="20" t="s">
        <v>80</v>
      </c>
      <c r="S13" s="20" t="s">
        <v>80</v>
      </c>
      <c r="T13" s="20" t="s">
        <v>80</v>
      </c>
      <c r="U13" s="20" t="s">
        <v>80</v>
      </c>
      <c r="V13" s="20" t="s">
        <v>80</v>
      </c>
      <c r="W13" s="20" t="s">
        <v>80</v>
      </c>
      <c r="X13" s="15">
        <v>7.20720720720721</v>
      </c>
      <c r="Y13" s="15">
        <v>6.8181818181818201</v>
      </c>
      <c r="Z13" s="20" t="s">
        <v>80</v>
      </c>
      <c r="AA13" s="20" t="s">
        <v>80</v>
      </c>
      <c r="AB13" s="20" t="s">
        <v>80</v>
      </c>
      <c r="AC13" s="20" t="s">
        <v>80</v>
      </c>
      <c r="AD13" s="20" t="s">
        <v>80</v>
      </c>
      <c r="AE13" s="20" t="s">
        <v>80</v>
      </c>
      <c r="AF13" s="20" t="s">
        <v>80</v>
      </c>
      <c r="AG13" s="20" t="s">
        <v>80</v>
      </c>
      <c r="AH13" s="20" t="s">
        <v>80</v>
      </c>
      <c r="AI13" s="15">
        <v>8.9285714285714306</v>
      </c>
      <c r="AJ13" s="32">
        <v>2.0966996468932502</v>
      </c>
      <c r="AK13" s="15">
        <v>1.33136094674556</v>
      </c>
      <c r="AL13" s="15">
        <v>1.7429193899782101</v>
      </c>
      <c r="AM13" s="20" t="s">
        <v>80</v>
      </c>
      <c r="AN13" s="20" t="s">
        <v>80</v>
      </c>
      <c r="AO13" s="15">
        <v>4.4910179640718599</v>
      </c>
      <c r="AP13" s="15">
        <v>2.7718550106609801</v>
      </c>
      <c r="AQ13" s="20" t="s">
        <v>80</v>
      </c>
      <c r="AR13" s="24">
        <v>2.1212121212121202</v>
      </c>
      <c r="AS13" s="38"/>
    </row>
    <row r="14" spans="1:45">
      <c r="A14" s="9" t="s">
        <v>172</v>
      </c>
      <c r="B14" s="36">
        <v>24.676383500216101</v>
      </c>
      <c r="C14" s="32">
        <v>24.792106251281002</v>
      </c>
      <c r="D14" s="32">
        <v>25.812978489344399</v>
      </c>
      <c r="E14" s="32">
        <v>29.514384377260701</v>
      </c>
      <c r="F14" s="15">
        <v>37.254901960784302</v>
      </c>
      <c r="G14" s="20" t="s">
        <v>80</v>
      </c>
      <c r="H14" s="15">
        <v>25.139664804469302</v>
      </c>
      <c r="I14" s="15">
        <v>42.574257425742601</v>
      </c>
      <c r="J14" s="15">
        <v>35.714285714285701</v>
      </c>
      <c r="K14" s="15">
        <v>24.324324324324301</v>
      </c>
      <c r="L14" s="15">
        <v>14.953271028037401</v>
      </c>
      <c r="M14" s="15">
        <v>20.238095238095202</v>
      </c>
      <c r="N14" s="15">
        <v>27.0833333333333</v>
      </c>
      <c r="O14" s="15">
        <v>33.064516129032299</v>
      </c>
      <c r="P14" s="15">
        <v>38.842975206611598</v>
      </c>
      <c r="Q14" s="15">
        <v>50</v>
      </c>
      <c r="R14" s="15">
        <v>44.680851063829799</v>
      </c>
      <c r="S14" s="15">
        <v>41.304347826087003</v>
      </c>
      <c r="T14" s="15">
        <v>37.209302325581397</v>
      </c>
      <c r="U14" s="15">
        <v>26.785714285714299</v>
      </c>
      <c r="V14" s="15">
        <v>36.842105263157897</v>
      </c>
      <c r="W14" s="15">
        <v>21.739130434782599</v>
      </c>
      <c r="X14" s="15">
        <v>32.4324324324324</v>
      </c>
      <c r="Y14" s="15">
        <v>21.969696969697001</v>
      </c>
      <c r="Z14" s="15">
        <v>17.241379310344801</v>
      </c>
      <c r="AA14" s="15">
        <v>56.521739130434803</v>
      </c>
      <c r="AB14" s="20" t="s">
        <v>80</v>
      </c>
      <c r="AC14" s="15">
        <v>16.6666666666667</v>
      </c>
      <c r="AD14" s="15">
        <v>21.739130434782599</v>
      </c>
      <c r="AE14" s="15">
        <v>27.272727272727298</v>
      </c>
      <c r="AF14" s="15">
        <v>40.909090909090899</v>
      </c>
      <c r="AG14" s="20" t="s">
        <v>80</v>
      </c>
      <c r="AH14" s="15">
        <v>26.881720430107499</v>
      </c>
      <c r="AI14" s="15">
        <v>26.785714285714299</v>
      </c>
      <c r="AJ14" s="32">
        <v>22.574778841946902</v>
      </c>
      <c r="AK14" s="15">
        <v>18.0473372781065</v>
      </c>
      <c r="AL14" s="15">
        <v>20.915032679738601</v>
      </c>
      <c r="AM14" s="15">
        <v>23.2323232323232</v>
      </c>
      <c r="AN14" s="15">
        <v>38.686131386861298</v>
      </c>
      <c r="AO14" s="15">
        <v>25.748502994012</v>
      </c>
      <c r="AP14" s="15">
        <v>22.174840085287801</v>
      </c>
      <c r="AQ14" s="15">
        <v>26.470588235294102</v>
      </c>
      <c r="AR14" s="24">
        <v>26.6666666666667</v>
      </c>
      <c r="AS14" s="38"/>
    </row>
    <row r="15" spans="1:45">
      <c r="A15" s="9" t="s">
        <v>173</v>
      </c>
      <c r="B15" s="36">
        <v>18.4701805575185</v>
      </c>
      <c r="C15" s="32">
        <v>19.831296480338001</v>
      </c>
      <c r="D15" s="32">
        <v>23.155557278784599</v>
      </c>
      <c r="E15" s="32">
        <v>23.1176283355016</v>
      </c>
      <c r="F15" s="15">
        <v>27.4509803921569</v>
      </c>
      <c r="G15" s="15">
        <v>31.818181818181799</v>
      </c>
      <c r="H15" s="15">
        <v>22.346368715083798</v>
      </c>
      <c r="I15" s="15">
        <v>22.7722772277228</v>
      </c>
      <c r="J15" s="15">
        <v>32.857142857142897</v>
      </c>
      <c r="K15" s="15">
        <v>29.729729729729701</v>
      </c>
      <c r="L15" s="15">
        <v>14.953271028037401</v>
      </c>
      <c r="M15" s="15">
        <v>14.285714285714301</v>
      </c>
      <c r="N15" s="15">
        <v>14.5833333333333</v>
      </c>
      <c r="O15" s="15">
        <v>18.548387096774199</v>
      </c>
      <c r="P15" s="15">
        <v>23.1404958677686</v>
      </c>
      <c r="Q15" s="15">
        <v>44.117647058823501</v>
      </c>
      <c r="R15" s="15">
        <v>29.787234042553202</v>
      </c>
      <c r="S15" s="15">
        <v>32.6086956521739</v>
      </c>
      <c r="T15" s="15">
        <v>25.581395348837201</v>
      </c>
      <c r="U15" s="15">
        <v>16.071428571428601</v>
      </c>
      <c r="V15" s="15">
        <v>28.947368421052602</v>
      </c>
      <c r="W15" s="15">
        <v>23.913043478260899</v>
      </c>
      <c r="X15" s="15">
        <v>28.828828828828801</v>
      </c>
      <c r="Y15" s="15">
        <v>15.909090909090899</v>
      </c>
      <c r="Z15" s="20" t="s">
        <v>80</v>
      </c>
      <c r="AA15" s="15">
        <v>21.739130434782599</v>
      </c>
      <c r="AB15" s="20" t="s">
        <v>80</v>
      </c>
      <c r="AC15" s="15">
        <v>38.095238095238102</v>
      </c>
      <c r="AD15" s="15">
        <v>13.0434782608696</v>
      </c>
      <c r="AE15" s="15">
        <v>24.2424242424242</v>
      </c>
      <c r="AF15" s="15">
        <v>34.090909090909101</v>
      </c>
      <c r="AG15" s="20" t="s">
        <v>80</v>
      </c>
      <c r="AH15" s="15">
        <v>31.1827956989247</v>
      </c>
      <c r="AI15" s="15">
        <v>14.285714285714301</v>
      </c>
      <c r="AJ15" s="32">
        <v>23.188739667985899</v>
      </c>
      <c r="AK15" s="15">
        <v>20.710059171597599</v>
      </c>
      <c r="AL15" s="15">
        <v>23.093681917211299</v>
      </c>
      <c r="AM15" s="15">
        <v>18.181818181818201</v>
      </c>
      <c r="AN15" s="15">
        <v>27.737226277372301</v>
      </c>
      <c r="AO15" s="15">
        <v>35.029940119760496</v>
      </c>
      <c r="AP15" s="15">
        <v>23.240938166311299</v>
      </c>
      <c r="AQ15" s="15">
        <v>23.529411764705898</v>
      </c>
      <c r="AR15" s="24">
        <v>27.272727272727298</v>
      </c>
      <c r="AS15" s="38"/>
    </row>
    <row r="16" spans="1:45">
      <c r="A16" s="9" t="s">
        <v>174</v>
      </c>
      <c r="B16" s="36">
        <v>1.6866524320885701</v>
      </c>
      <c r="C16" s="32">
        <v>2.06324217835295</v>
      </c>
      <c r="D16" s="32">
        <v>2.6274261918727202</v>
      </c>
      <c r="E16" s="32">
        <v>3.6349798558515198</v>
      </c>
      <c r="F16" s="20" t="s">
        <v>80</v>
      </c>
      <c r="G16" s="20" t="s">
        <v>80</v>
      </c>
      <c r="H16" s="20" t="s">
        <v>80</v>
      </c>
      <c r="I16" s="15">
        <v>5.9405940594059397</v>
      </c>
      <c r="J16" s="20" t="s">
        <v>80</v>
      </c>
      <c r="K16" s="20" t="s">
        <v>80</v>
      </c>
      <c r="L16" s="20" t="s">
        <v>80</v>
      </c>
      <c r="M16" s="20" t="s">
        <v>80</v>
      </c>
      <c r="N16" s="20" t="s">
        <v>80</v>
      </c>
      <c r="O16" s="15">
        <v>4.8387096774193497</v>
      </c>
      <c r="P16" s="20" t="s">
        <v>80</v>
      </c>
      <c r="Q16" s="20" t="s">
        <v>80</v>
      </c>
      <c r="R16" s="20" t="s">
        <v>80</v>
      </c>
      <c r="S16" s="20" t="s">
        <v>80</v>
      </c>
      <c r="T16" s="15">
        <v>11.6279069767442</v>
      </c>
      <c r="U16" s="20" t="s">
        <v>80</v>
      </c>
      <c r="V16" s="20" t="s">
        <v>80</v>
      </c>
      <c r="W16" s="20" t="s">
        <v>80</v>
      </c>
      <c r="X16" s="15">
        <v>11.7117117117117</v>
      </c>
      <c r="Y16" s="15">
        <v>5.3030303030303001</v>
      </c>
      <c r="Z16" s="20" t="s">
        <v>80</v>
      </c>
      <c r="AA16" s="15">
        <v>10.869565217391299</v>
      </c>
      <c r="AB16" s="20" t="s">
        <v>80</v>
      </c>
      <c r="AC16" s="20" t="s">
        <v>80</v>
      </c>
      <c r="AD16" s="20" t="s">
        <v>80</v>
      </c>
      <c r="AE16" s="20" t="s">
        <v>80</v>
      </c>
      <c r="AF16" s="20" t="s">
        <v>80</v>
      </c>
      <c r="AG16" s="20" t="s">
        <v>80</v>
      </c>
      <c r="AH16" s="15">
        <v>5.3763440860215104</v>
      </c>
      <c r="AI16" s="20" t="s">
        <v>80</v>
      </c>
      <c r="AJ16" s="32">
        <v>1.7459611436645599</v>
      </c>
      <c r="AK16" s="15">
        <v>0.73964497041420096</v>
      </c>
      <c r="AL16" s="20" t="s">
        <v>80</v>
      </c>
      <c r="AM16" s="20" t="s">
        <v>80</v>
      </c>
      <c r="AN16" s="15">
        <v>4.3795620437956204</v>
      </c>
      <c r="AO16" s="15">
        <v>2.39520958083832</v>
      </c>
      <c r="AP16" s="15">
        <v>1.9189765458422201</v>
      </c>
      <c r="AQ16" s="20" t="s">
        <v>80</v>
      </c>
      <c r="AR16" s="24">
        <v>1.8181818181818199</v>
      </c>
      <c r="AS16" s="38"/>
    </row>
    <row r="17" spans="1:45">
      <c r="A17" s="9" t="s">
        <v>175</v>
      </c>
      <c r="B17" s="36">
        <v>54.353001172593103</v>
      </c>
      <c r="C17" s="32">
        <v>57.308634093257702</v>
      </c>
      <c r="D17" s="32">
        <v>60.133521786981902</v>
      </c>
      <c r="E17" s="32">
        <v>59.181551756976397</v>
      </c>
      <c r="F17" s="15">
        <v>72.549019607843107</v>
      </c>
      <c r="G17" s="15">
        <v>50</v>
      </c>
      <c r="H17" s="15">
        <v>39.664804469273697</v>
      </c>
      <c r="I17" s="15">
        <v>53.465346534653499</v>
      </c>
      <c r="J17" s="15">
        <v>67.142857142857196</v>
      </c>
      <c r="K17" s="15">
        <v>75.675675675675706</v>
      </c>
      <c r="L17" s="15">
        <v>60.747663551401899</v>
      </c>
      <c r="M17" s="15">
        <v>38.095238095238102</v>
      </c>
      <c r="N17" s="15">
        <v>57.6388888888889</v>
      </c>
      <c r="O17" s="15">
        <v>66.129032258064498</v>
      </c>
      <c r="P17" s="15">
        <v>45.454545454545503</v>
      </c>
      <c r="Q17" s="15">
        <v>73.529411764705898</v>
      </c>
      <c r="R17" s="15">
        <v>63.829787234042598</v>
      </c>
      <c r="S17" s="15">
        <v>56.521739130434803</v>
      </c>
      <c r="T17" s="15">
        <v>76.744186046511601</v>
      </c>
      <c r="U17" s="15">
        <v>62.5</v>
      </c>
      <c r="V17" s="15">
        <v>68.421052631578902</v>
      </c>
      <c r="W17" s="15">
        <v>54.347826086956502</v>
      </c>
      <c r="X17" s="15">
        <v>62.162162162162197</v>
      </c>
      <c r="Y17" s="15">
        <v>53.787878787878803</v>
      </c>
      <c r="Z17" s="15">
        <v>79.310344827586206</v>
      </c>
      <c r="AA17" s="15">
        <v>78.260869565217405</v>
      </c>
      <c r="AB17" s="15">
        <v>72.727272727272705</v>
      </c>
      <c r="AC17" s="15">
        <v>57.142857142857103</v>
      </c>
      <c r="AD17" s="15">
        <v>67.391304347826093</v>
      </c>
      <c r="AE17" s="15">
        <v>72.727272727272705</v>
      </c>
      <c r="AF17" s="15">
        <v>79.545454545454504</v>
      </c>
      <c r="AG17" s="15">
        <v>86.6666666666667</v>
      </c>
      <c r="AH17" s="15">
        <v>74.193548387096797</v>
      </c>
      <c r="AI17" s="15">
        <v>80.357142857142804</v>
      </c>
      <c r="AJ17" s="32">
        <v>60.966359121995801</v>
      </c>
      <c r="AK17" s="15">
        <v>55.769230769230802</v>
      </c>
      <c r="AL17" s="15">
        <v>53.159041394335503</v>
      </c>
      <c r="AM17" s="15">
        <v>57.575757575757599</v>
      </c>
      <c r="AN17" s="15">
        <v>78.832116788321201</v>
      </c>
      <c r="AO17" s="15">
        <v>61.377245508982</v>
      </c>
      <c r="AP17" s="15">
        <v>56.9296375266524</v>
      </c>
      <c r="AQ17" s="15">
        <v>71.323529411764696</v>
      </c>
      <c r="AR17" s="24">
        <v>79.696969696969703</v>
      </c>
      <c r="AS17" s="38"/>
    </row>
    <row r="18" spans="1:45">
      <c r="A18" s="9" t="s">
        <v>176</v>
      </c>
      <c r="B18" s="36">
        <v>22.860249201432602</v>
      </c>
      <c r="C18" s="32">
        <v>21.804512654604299</v>
      </c>
      <c r="D18" s="32">
        <v>21.547978436087501</v>
      </c>
      <c r="E18" s="32">
        <v>27.619217804816302</v>
      </c>
      <c r="F18" s="15">
        <v>33.3333333333333</v>
      </c>
      <c r="G18" s="15">
        <v>27.272727272727298</v>
      </c>
      <c r="H18" s="15">
        <v>22.346368715083798</v>
      </c>
      <c r="I18" s="15">
        <v>22.7722772277228</v>
      </c>
      <c r="J18" s="15">
        <v>34.285714285714299</v>
      </c>
      <c r="K18" s="15">
        <v>43.243243243243199</v>
      </c>
      <c r="L18" s="15">
        <v>25.233644859813101</v>
      </c>
      <c r="M18" s="15">
        <v>32.142857142857103</v>
      </c>
      <c r="N18" s="15">
        <v>22.9166666666667</v>
      </c>
      <c r="O18" s="15">
        <v>29.0322580645161</v>
      </c>
      <c r="P18" s="15">
        <v>30.578512396694201</v>
      </c>
      <c r="Q18" s="15">
        <v>20.588235294117599</v>
      </c>
      <c r="R18" s="15">
        <v>29.787234042553202</v>
      </c>
      <c r="S18" s="15">
        <v>26.086956521739101</v>
      </c>
      <c r="T18" s="15">
        <v>27.906976744186</v>
      </c>
      <c r="U18" s="15">
        <v>28.571428571428601</v>
      </c>
      <c r="V18" s="15">
        <v>34.210526315789501</v>
      </c>
      <c r="W18" s="15">
        <v>23.913043478260899</v>
      </c>
      <c r="X18" s="15">
        <v>32.4324324324324</v>
      </c>
      <c r="Y18" s="15">
        <v>30.303030303030301</v>
      </c>
      <c r="Z18" s="20" t="s">
        <v>80</v>
      </c>
      <c r="AA18" s="15">
        <v>36.956521739130402</v>
      </c>
      <c r="AB18" s="20" t="s">
        <v>80</v>
      </c>
      <c r="AC18" s="15">
        <v>19.047619047619001</v>
      </c>
      <c r="AD18" s="15">
        <v>15.2173913043478</v>
      </c>
      <c r="AE18" s="15">
        <v>24.2424242424242</v>
      </c>
      <c r="AF18" s="15">
        <v>27.272727272727298</v>
      </c>
      <c r="AG18" s="20" t="s">
        <v>80</v>
      </c>
      <c r="AH18" s="15">
        <v>25.806451612903199</v>
      </c>
      <c r="AI18" s="15">
        <v>23.214285714285701</v>
      </c>
      <c r="AJ18" s="32">
        <v>16.236514149702501</v>
      </c>
      <c r="AK18" s="15">
        <v>14.4970414201183</v>
      </c>
      <c r="AL18" s="15">
        <v>13.289760348583901</v>
      </c>
      <c r="AM18" s="15">
        <v>20.707070707070699</v>
      </c>
      <c r="AN18" s="15">
        <v>23.3576642335766</v>
      </c>
      <c r="AO18" s="15">
        <v>23.652694610778401</v>
      </c>
      <c r="AP18" s="15">
        <v>12.1535181236674</v>
      </c>
      <c r="AQ18" s="15">
        <v>10.294117647058799</v>
      </c>
      <c r="AR18" s="24">
        <v>15.7575757575758</v>
      </c>
      <c r="AS18" s="38"/>
    </row>
    <row r="19" spans="1:45">
      <c r="A19" s="9" t="s">
        <v>177</v>
      </c>
      <c r="B19" s="36">
        <v>25.444695926044702</v>
      </c>
      <c r="C19" s="32">
        <v>25.244485769623601</v>
      </c>
      <c r="D19" s="32">
        <v>26.843833262361098</v>
      </c>
      <c r="E19" s="32">
        <v>29.9530513869747</v>
      </c>
      <c r="F19" s="15">
        <v>31.372549019607799</v>
      </c>
      <c r="G19" s="20" t="s">
        <v>80</v>
      </c>
      <c r="H19" s="15">
        <v>24.022346368715102</v>
      </c>
      <c r="I19" s="15">
        <v>33.6633663366337</v>
      </c>
      <c r="J19" s="15">
        <v>38.571428571428598</v>
      </c>
      <c r="K19" s="15">
        <v>16.2162162162162</v>
      </c>
      <c r="L19" s="15">
        <v>21.495327102803699</v>
      </c>
      <c r="M19" s="15">
        <v>32.142857142857103</v>
      </c>
      <c r="N19" s="15">
        <v>39.5833333333333</v>
      </c>
      <c r="O19" s="15">
        <v>24.193548387096801</v>
      </c>
      <c r="P19" s="15">
        <v>23.1404958677686</v>
      </c>
      <c r="Q19" s="15">
        <v>58.823529411764703</v>
      </c>
      <c r="R19" s="15">
        <v>44.680851063829799</v>
      </c>
      <c r="S19" s="15">
        <v>23.913043478260899</v>
      </c>
      <c r="T19" s="15">
        <v>44.1860465116279</v>
      </c>
      <c r="U19" s="15">
        <v>42.857142857142897</v>
      </c>
      <c r="V19" s="15">
        <v>34.210526315789501</v>
      </c>
      <c r="W19" s="15">
        <v>13.0434782608696</v>
      </c>
      <c r="X19" s="15">
        <v>36.936936936936902</v>
      </c>
      <c r="Y19" s="15">
        <v>28.7878787878788</v>
      </c>
      <c r="Z19" s="20" t="s">
        <v>80</v>
      </c>
      <c r="AA19" s="15">
        <v>47.826086956521699</v>
      </c>
      <c r="AB19" s="20" t="s">
        <v>80</v>
      </c>
      <c r="AC19" s="15">
        <v>23.8095238095238</v>
      </c>
      <c r="AD19" s="20" t="s">
        <v>80</v>
      </c>
      <c r="AE19" s="20" t="s">
        <v>80</v>
      </c>
      <c r="AF19" s="15">
        <v>27.272727272727298</v>
      </c>
      <c r="AG19" s="20" t="s">
        <v>80</v>
      </c>
      <c r="AH19" s="15">
        <v>31.1827956989247</v>
      </c>
      <c r="AI19" s="15">
        <v>19.6428571428571</v>
      </c>
      <c r="AJ19" s="32">
        <v>24.123713032457601</v>
      </c>
      <c r="AK19" s="15">
        <v>23.224852071005898</v>
      </c>
      <c r="AL19" s="15">
        <v>28.540305010893199</v>
      </c>
      <c r="AM19" s="15">
        <v>23.2323232323232</v>
      </c>
      <c r="AN19" s="15">
        <v>27.737226277372301</v>
      </c>
      <c r="AO19" s="15">
        <v>32.335329341317397</v>
      </c>
      <c r="AP19" s="15">
        <v>28.358208955223901</v>
      </c>
      <c r="AQ19" s="15">
        <v>22.794117647058801</v>
      </c>
      <c r="AR19" s="24">
        <v>32.424242424242401</v>
      </c>
      <c r="AS19" s="38"/>
    </row>
    <row r="20" spans="1:45">
      <c r="A20" s="9" t="s">
        <v>178</v>
      </c>
      <c r="B20" s="36">
        <v>2.71024829182105</v>
      </c>
      <c r="C20" s="32">
        <v>2.4046879731034401</v>
      </c>
      <c r="D20" s="32">
        <v>1.91710339656693</v>
      </c>
      <c r="E20" s="32">
        <v>2.3699102940525698</v>
      </c>
      <c r="F20" s="20" t="s">
        <v>80</v>
      </c>
      <c r="G20" s="20" t="s">
        <v>80</v>
      </c>
      <c r="H20" s="20" t="s">
        <v>80</v>
      </c>
      <c r="I20" s="20" t="s">
        <v>80</v>
      </c>
      <c r="J20" s="20" t="s">
        <v>80</v>
      </c>
      <c r="K20" s="20" t="s">
        <v>80</v>
      </c>
      <c r="L20" s="20" t="s">
        <v>80</v>
      </c>
      <c r="M20" s="20" t="s">
        <v>80</v>
      </c>
      <c r="N20" s="20" t="s">
        <v>80</v>
      </c>
      <c r="O20" s="20" t="s">
        <v>80</v>
      </c>
      <c r="P20" s="20" t="s">
        <v>80</v>
      </c>
      <c r="Q20" s="20" t="s">
        <v>80</v>
      </c>
      <c r="R20" s="20" t="s">
        <v>80</v>
      </c>
      <c r="S20" s="20" t="s">
        <v>80</v>
      </c>
      <c r="T20" s="20" t="s">
        <v>80</v>
      </c>
      <c r="U20" s="20" t="s">
        <v>80</v>
      </c>
      <c r="V20" s="20" t="s">
        <v>80</v>
      </c>
      <c r="W20" s="20" t="s">
        <v>80</v>
      </c>
      <c r="X20" s="20" t="s">
        <v>80</v>
      </c>
      <c r="Y20" s="20" t="s">
        <v>80</v>
      </c>
      <c r="Z20" s="20" t="s">
        <v>80</v>
      </c>
      <c r="AA20" s="20" t="s">
        <v>80</v>
      </c>
      <c r="AB20" s="20" t="s">
        <v>80</v>
      </c>
      <c r="AC20" s="20" t="s">
        <v>80</v>
      </c>
      <c r="AD20" s="20" t="s">
        <v>80</v>
      </c>
      <c r="AE20" s="20" t="s">
        <v>80</v>
      </c>
      <c r="AF20" s="20" t="s">
        <v>80</v>
      </c>
      <c r="AG20" s="20" t="s">
        <v>80</v>
      </c>
      <c r="AH20" s="20" t="s">
        <v>80</v>
      </c>
      <c r="AI20" s="20" t="s">
        <v>80</v>
      </c>
      <c r="AJ20" s="32">
        <v>1.52096225988047</v>
      </c>
      <c r="AK20" s="15">
        <v>1.0355029585798801</v>
      </c>
      <c r="AL20" s="20" t="s">
        <v>80</v>
      </c>
      <c r="AM20" s="20" t="s">
        <v>80</v>
      </c>
      <c r="AN20" s="15">
        <v>4.3795620437956204</v>
      </c>
      <c r="AO20" s="20" t="s">
        <v>80</v>
      </c>
      <c r="AP20" s="15">
        <v>1.9189765458422201</v>
      </c>
      <c r="AQ20" s="20" t="s">
        <v>80</v>
      </c>
      <c r="AR20" s="26" t="s">
        <v>80</v>
      </c>
      <c r="AS20" s="38"/>
    </row>
    <row r="21" spans="1:45">
      <c r="A21" s="9" t="s">
        <v>179</v>
      </c>
      <c r="B21" s="36">
        <v>6.0287988889083897</v>
      </c>
      <c r="C21" s="32">
        <v>5.8035632848865601</v>
      </c>
      <c r="D21" s="32">
        <v>7.0719240884829802</v>
      </c>
      <c r="E21" s="32">
        <v>7.4845353694821499</v>
      </c>
      <c r="F21" s="15">
        <v>19.6078431372549</v>
      </c>
      <c r="G21" s="20" t="s">
        <v>80</v>
      </c>
      <c r="H21" s="15">
        <v>5.5865921787709496</v>
      </c>
      <c r="I21" s="20" t="s">
        <v>80</v>
      </c>
      <c r="J21" s="15">
        <v>7.1428571428571397</v>
      </c>
      <c r="K21" s="20" t="s">
        <v>80</v>
      </c>
      <c r="L21" s="20" t="s">
        <v>80</v>
      </c>
      <c r="M21" s="20" t="s">
        <v>80</v>
      </c>
      <c r="N21" s="20" t="s">
        <v>80</v>
      </c>
      <c r="O21" s="15">
        <v>9.67741935483871</v>
      </c>
      <c r="P21" s="15">
        <v>12.396694214876</v>
      </c>
      <c r="Q21" s="20" t="s">
        <v>80</v>
      </c>
      <c r="R21" s="20" t="s">
        <v>80</v>
      </c>
      <c r="S21" s="20" t="s">
        <v>80</v>
      </c>
      <c r="T21" s="20" t="s">
        <v>80</v>
      </c>
      <c r="U21" s="15">
        <v>8.9285714285714306</v>
      </c>
      <c r="V21" s="20" t="s">
        <v>80</v>
      </c>
      <c r="W21" s="20" t="s">
        <v>80</v>
      </c>
      <c r="X21" s="15">
        <v>13.5135135135135</v>
      </c>
      <c r="Y21" s="15">
        <v>6.0606060606060597</v>
      </c>
      <c r="Z21" s="20" t="s">
        <v>80</v>
      </c>
      <c r="AA21" s="15">
        <v>17.3913043478261</v>
      </c>
      <c r="AB21" s="20" t="s">
        <v>80</v>
      </c>
      <c r="AC21" s="20" t="s">
        <v>80</v>
      </c>
      <c r="AD21" s="20" t="s">
        <v>80</v>
      </c>
      <c r="AE21" s="15">
        <v>15.1515151515152</v>
      </c>
      <c r="AF21" s="15">
        <v>15.909090909090899</v>
      </c>
      <c r="AG21" s="20" t="s">
        <v>80</v>
      </c>
      <c r="AH21" s="15">
        <v>6.4516129032258096</v>
      </c>
      <c r="AI21" s="15">
        <v>8.9285714285714306</v>
      </c>
      <c r="AJ21" s="32">
        <v>6.7109483551796902</v>
      </c>
      <c r="AK21" s="15">
        <v>6.6568047337278102</v>
      </c>
      <c r="AL21" s="15">
        <v>6.97167755991285</v>
      </c>
      <c r="AM21" s="15">
        <v>8.0808080808080796</v>
      </c>
      <c r="AN21" s="15">
        <v>7.2992700729926998</v>
      </c>
      <c r="AO21" s="15">
        <v>8.3832335329341294</v>
      </c>
      <c r="AP21" s="15">
        <v>6.8230277185501098</v>
      </c>
      <c r="AQ21" s="15">
        <v>5.1470588235294104</v>
      </c>
      <c r="AR21" s="24">
        <v>6.0606060606060597</v>
      </c>
      <c r="AS21" s="38"/>
    </row>
    <row r="22" spans="1:45">
      <c r="A22" s="9" t="s">
        <v>180</v>
      </c>
      <c r="B22" s="36">
        <v>14.2278025667599</v>
      </c>
      <c r="C22" s="32">
        <v>15.4839471483485</v>
      </c>
      <c r="D22" s="32">
        <v>21.5114268411285</v>
      </c>
      <c r="E22" s="32">
        <v>20.642779042846701</v>
      </c>
      <c r="F22" s="15">
        <v>25.490196078431399</v>
      </c>
      <c r="G22" s="15">
        <v>22.727272727272702</v>
      </c>
      <c r="H22" s="15">
        <v>17.318435754189899</v>
      </c>
      <c r="I22" s="15">
        <v>20.7920792079208</v>
      </c>
      <c r="J22" s="15">
        <v>22.8571428571429</v>
      </c>
      <c r="K22" s="15">
        <v>27.027027027027</v>
      </c>
      <c r="L22" s="15">
        <v>20.5607476635514</v>
      </c>
      <c r="M22" s="15">
        <v>9.5238095238095202</v>
      </c>
      <c r="N22" s="15">
        <v>22.9166666666667</v>
      </c>
      <c r="O22" s="15">
        <v>20.9677419354839</v>
      </c>
      <c r="P22" s="15">
        <v>17.355371900826398</v>
      </c>
      <c r="Q22" s="15">
        <v>35.294117647058798</v>
      </c>
      <c r="R22" s="15">
        <v>23.404255319148898</v>
      </c>
      <c r="S22" s="15">
        <v>23.913043478260899</v>
      </c>
      <c r="T22" s="15">
        <v>18.604651162790699</v>
      </c>
      <c r="U22" s="15">
        <v>23.214285714285701</v>
      </c>
      <c r="V22" s="15">
        <v>26.315789473684202</v>
      </c>
      <c r="W22" s="15">
        <v>19.565217391304301</v>
      </c>
      <c r="X22" s="15">
        <v>27.9279279279279</v>
      </c>
      <c r="Y22" s="15">
        <v>15.909090909090899</v>
      </c>
      <c r="Z22" s="15">
        <v>31.034482758620701</v>
      </c>
      <c r="AA22" s="15">
        <v>32.6086956521739</v>
      </c>
      <c r="AB22" s="20" t="s">
        <v>80</v>
      </c>
      <c r="AC22" s="15">
        <v>19.047619047619001</v>
      </c>
      <c r="AD22" s="15">
        <v>19.565217391304301</v>
      </c>
      <c r="AE22" s="15">
        <v>15.1515151515152</v>
      </c>
      <c r="AF22" s="15">
        <v>27.272727272727298</v>
      </c>
      <c r="AG22" s="20" t="s">
        <v>80</v>
      </c>
      <c r="AH22" s="15">
        <v>18.279569892473098</v>
      </c>
      <c r="AI22" s="15">
        <v>21.428571428571399</v>
      </c>
      <c r="AJ22" s="32">
        <v>22.271369165555001</v>
      </c>
      <c r="AK22" s="15">
        <v>20.562130177514799</v>
      </c>
      <c r="AL22" s="15">
        <v>24.6187363834423</v>
      </c>
      <c r="AM22" s="15">
        <v>21.2121212121212</v>
      </c>
      <c r="AN22" s="15">
        <v>22.6277372262774</v>
      </c>
      <c r="AO22" s="15">
        <v>21.856287425149699</v>
      </c>
      <c r="AP22" s="15">
        <v>23.667377398720699</v>
      </c>
      <c r="AQ22" s="15">
        <v>28.676470588235301</v>
      </c>
      <c r="AR22" s="24">
        <v>21.818181818181799</v>
      </c>
      <c r="AS22" s="38"/>
    </row>
    <row r="23" spans="1:45">
      <c r="A23" s="9" t="s">
        <v>181</v>
      </c>
      <c r="B23" s="36">
        <v>14.969153866626</v>
      </c>
      <c r="C23" s="32">
        <v>15.0521258004863</v>
      </c>
      <c r="D23" s="32">
        <v>14.4821204222972</v>
      </c>
      <c r="E23" s="32">
        <v>14.152500500685701</v>
      </c>
      <c r="F23" s="15">
        <v>29.411764705882401</v>
      </c>
      <c r="G23" s="20" t="s">
        <v>80</v>
      </c>
      <c r="H23" s="15">
        <v>8.9385474860335208</v>
      </c>
      <c r="I23" s="15">
        <v>10.891089108910901</v>
      </c>
      <c r="J23" s="15">
        <v>22.8571428571429</v>
      </c>
      <c r="K23" s="15">
        <v>16.2162162162162</v>
      </c>
      <c r="L23" s="15">
        <v>6.5420560747663501</v>
      </c>
      <c r="M23" s="15">
        <v>13.0952380952381</v>
      </c>
      <c r="N23" s="15">
        <v>14.5833333333333</v>
      </c>
      <c r="O23" s="15">
        <v>12.9032258064516</v>
      </c>
      <c r="P23" s="15">
        <v>14.049586776859501</v>
      </c>
      <c r="Q23" s="15">
        <v>29.411764705882401</v>
      </c>
      <c r="R23" s="15">
        <v>10.6382978723404</v>
      </c>
      <c r="S23" s="20" t="s">
        <v>80</v>
      </c>
      <c r="T23" s="15">
        <v>11.6279069767442</v>
      </c>
      <c r="U23" s="15">
        <v>10.714285714285699</v>
      </c>
      <c r="V23" s="15">
        <v>13.157894736842101</v>
      </c>
      <c r="W23" s="20" t="s">
        <v>80</v>
      </c>
      <c r="X23" s="15">
        <v>18.918918918918902</v>
      </c>
      <c r="Y23" s="15">
        <v>16.6666666666667</v>
      </c>
      <c r="Z23" s="20" t="s">
        <v>80</v>
      </c>
      <c r="AA23" s="20" t="s">
        <v>80</v>
      </c>
      <c r="AB23" s="20" t="s">
        <v>80</v>
      </c>
      <c r="AC23" s="15">
        <v>16.6666666666667</v>
      </c>
      <c r="AD23" s="15">
        <v>15.2173913043478</v>
      </c>
      <c r="AE23" s="20" t="s">
        <v>80</v>
      </c>
      <c r="AF23" s="20" t="s">
        <v>80</v>
      </c>
      <c r="AG23" s="20" t="s">
        <v>80</v>
      </c>
      <c r="AH23" s="15">
        <v>16.129032258064498</v>
      </c>
      <c r="AI23" s="15">
        <v>14.285714285714301</v>
      </c>
      <c r="AJ23" s="32">
        <v>14.7704906108847</v>
      </c>
      <c r="AK23" s="15">
        <v>11.982248520710099</v>
      </c>
      <c r="AL23" s="15">
        <v>11.1111111111111</v>
      </c>
      <c r="AM23" s="15">
        <v>12.6262626262626</v>
      </c>
      <c r="AN23" s="15">
        <v>18.248175182481699</v>
      </c>
      <c r="AO23" s="15">
        <v>14.9700598802395</v>
      </c>
      <c r="AP23" s="15">
        <v>13.8592750533049</v>
      </c>
      <c r="AQ23" s="15">
        <v>18.382352941176499</v>
      </c>
      <c r="AR23" s="24">
        <v>20.909090909090899</v>
      </c>
      <c r="AS23" s="38"/>
    </row>
    <row r="24" spans="1:45">
      <c r="A24" s="9" t="s">
        <v>182</v>
      </c>
      <c r="B24" s="36">
        <v>38.703748554106397</v>
      </c>
      <c r="C24" s="32">
        <v>37.563451749334803</v>
      </c>
      <c r="D24" s="32">
        <v>40.942738007426797</v>
      </c>
      <c r="E24" s="32">
        <v>42.212249169877801</v>
      </c>
      <c r="F24" s="15">
        <v>33.3333333333333</v>
      </c>
      <c r="G24" s="15">
        <v>36.363636363636402</v>
      </c>
      <c r="H24" s="15">
        <v>36.871508379888297</v>
      </c>
      <c r="I24" s="15">
        <v>37.6237623762376</v>
      </c>
      <c r="J24" s="15">
        <v>55.714285714285701</v>
      </c>
      <c r="K24" s="15">
        <v>40.540540540540498</v>
      </c>
      <c r="L24" s="15">
        <v>43.925233644859802</v>
      </c>
      <c r="M24" s="15">
        <v>46.428571428571402</v>
      </c>
      <c r="N24" s="15">
        <v>50</v>
      </c>
      <c r="O24" s="15">
        <v>44.354838709677402</v>
      </c>
      <c r="P24" s="15">
        <v>39.669421487603302</v>
      </c>
      <c r="Q24" s="15">
        <v>50</v>
      </c>
      <c r="R24" s="15">
        <v>40.425531914893597</v>
      </c>
      <c r="S24" s="15">
        <v>34.7826086956522</v>
      </c>
      <c r="T24" s="15">
        <v>46.511627906976699</v>
      </c>
      <c r="U24" s="15">
        <v>42.857142857142897</v>
      </c>
      <c r="V24" s="15">
        <v>42.105263157894697</v>
      </c>
      <c r="W24" s="15">
        <v>34.7826086956522</v>
      </c>
      <c r="X24" s="15">
        <v>41.441441441441398</v>
      </c>
      <c r="Y24" s="15">
        <v>40.909090909090899</v>
      </c>
      <c r="Z24" s="15">
        <v>37.931034482758598</v>
      </c>
      <c r="AA24" s="15">
        <v>56.521739130434803</v>
      </c>
      <c r="AB24" s="20" t="s">
        <v>80</v>
      </c>
      <c r="AC24" s="15">
        <v>54.761904761904802</v>
      </c>
      <c r="AD24" s="15">
        <v>26.086956521739101</v>
      </c>
      <c r="AE24" s="15">
        <v>42.424242424242401</v>
      </c>
      <c r="AF24" s="15">
        <v>52.272727272727302</v>
      </c>
      <c r="AG24" s="20" t="s">
        <v>80</v>
      </c>
      <c r="AH24" s="15">
        <v>49.462365591397798</v>
      </c>
      <c r="AI24" s="15">
        <v>37.5</v>
      </c>
      <c r="AJ24" s="32">
        <v>39.832097693151503</v>
      </c>
      <c r="AK24" s="15">
        <v>37.869822485207102</v>
      </c>
      <c r="AL24" s="15">
        <v>35.076252723311498</v>
      </c>
      <c r="AM24" s="15">
        <v>40.909090909090899</v>
      </c>
      <c r="AN24" s="15">
        <v>54.7445255474452</v>
      </c>
      <c r="AO24" s="15">
        <v>44.311377245509</v>
      </c>
      <c r="AP24" s="15">
        <v>38.166311300639698</v>
      </c>
      <c r="AQ24" s="15">
        <v>52.205882352941202</v>
      </c>
      <c r="AR24" s="24">
        <v>40.909090909090899</v>
      </c>
      <c r="AS24" s="38"/>
    </row>
    <row r="25" spans="1:45">
      <c r="A25" s="9" t="s">
        <v>183</v>
      </c>
      <c r="B25" s="36">
        <v>1.6835804805271199</v>
      </c>
      <c r="C25" s="32">
        <v>1.4707121690420299</v>
      </c>
      <c r="D25" s="32">
        <v>1.3836999148453799</v>
      </c>
      <c r="E25" s="32">
        <v>1.8661496647328599</v>
      </c>
      <c r="F25" s="20" t="s">
        <v>80</v>
      </c>
      <c r="G25" s="20" t="s">
        <v>80</v>
      </c>
      <c r="H25" s="20" t="s">
        <v>80</v>
      </c>
      <c r="I25" s="20" t="s">
        <v>80</v>
      </c>
      <c r="J25" s="20" t="s">
        <v>80</v>
      </c>
      <c r="K25" s="20" t="s">
        <v>80</v>
      </c>
      <c r="L25" s="20" t="s">
        <v>80</v>
      </c>
      <c r="M25" s="20" t="s">
        <v>80</v>
      </c>
      <c r="N25" s="20" t="s">
        <v>80</v>
      </c>
      <c r="O25" s="20" t="s">
        <v>80</v>
      </c>
      <c r="P25" s="20" t="s">
        <v>80</v>
      </c>
      <c r="Q25" s="20" t="s">
        <v>80</v>
      </c>
      <c r="R25" s="20" t="s">
        <v>80</v>
      </c>
      <c r="S25" s="20" t="s">
        <v>80</v>
      </c>
      <c r="T25" s="20" t="s">
        <v>80</v>
      </c>
      <c r="U25" s="20" t="s">
        <v>80</v>
      </c>
      <c r="V25" s="20" t="s">
        <v>80</v>
      </c>
      <c r="W25" s="20" t="s">
        <v>80</v>
      </c>
      <c r="X25" s="20" t="s">
        <v>80</v>
      </c>
      <c r="Y25" s="15">
        <v>3.7878787878787898</v>
      </c>
      <c r="Z25" s="20" t="s">
        <v>80</v>
      </c>
      <c r="AA25" s="20" t="s">
        <v>80</v>
      </c>
      <c r="AB25" s="20" t="s">
        <v>80</v>
      </c>
      <c r="AC25" s="20" t="s">
        <v>80</v>
      </c>
      <c r="AD25" s="20" t="s">
        <v>80</v>
      </c>
      <c r="AE25" s="20" t="s">
        <v>80</v>
      </c>
      <c r="AF25" s="20" t="s">
        <v>80</v>
      </c>
      <c r="AG25" s="20" t="s">
        <v>80</v>
      </c>
      <c r="AH25" s="20" t="s">
        <v>80</v>
      </c>
      <c r="AI25" s="20" t="s">
        <v>80</v>
      </c>
      <c r="AJ25" s="34" t="s">
        <v>80</v>
      </c>
      <c r="AK25" s="20" t="s">
        <v>80</v>
      </c>
      <c r="AL25" s="20" t="s">
        <v>80</v>
      </c>
      <c r="AM25" s="20" t="s">
        <v>80</v>
      </c>
      <c r="AN25" s="20" t="s">
        <v>80</v>
      </c>
      <c r="AO25" s="20" t="s">
        <v>80</v>
      </c>
      <c r="AP25" s="15">
        <v>1.9189765458422201</v>
      </c>
      <c r="AQ25" s="20" t="s">
        <v>80</v>
      </c>
      <c r="AR25" s="26" t="s">
        <v>80</v>
      </c>
      <c r="AS25" s="38"/>
    </row>
    <row r="26" spans="1:45">
      <c r="A26" s="9" t="s">
        <v>184</v>
      </c>
      <c r="B26" s="36">
        <v>26.8901762290342</v>
      </c>
      <c r="C26" s="32">
        <v>27.6411307496349</v>
      </c>
      <c r="D26" s="32">
        <v>31.2136940781321</v>
      </c>
      <c r="E26" s="32">
        <v>32.535438591521299</v>
      </c>
      <c r="F26" s="15">
        <v>37.254901960784302</v>
      </c>
      <c r="G26" s="15">
        <v>27.272727272727298</v>
      </c>
      <c r="H26" s="15">
        <v>17.318435754189899</v>
      </c>
      <c r="I26" s="15">
        <v>23.762376237623801</v>
      </c>
      <c r="J26" s="15">
        <v>52.857142857142897</v>
      </c>
      <c r="K26" s="15">
        <v>37.837837837837803</v>
      </c>
      <c r="L26" s="15">
        <v>42.056074766355103</v>
      </c>
      <c r="M26" s="15">
        <v>22.619047619047599</v>
      </c>
      <c r="N26" s="15">
        <v>34.7222222222222</v>
      </c>
      <c r="O26" s="15">
        <v>38.709677419354797</v>
      </c>
      <c r="P26" s="15">
        <v>22.3140495867769</v>
      </c>
      <c r="Q26" s="15">
        <v>64.705882352941202</v>
      </c>
      <c r="R26" s="15">
        <v>21.2765957446809</v>
      </c>
      <c r="S26" s="15">
        <v>32.6086956521739</v>
      </c>
      <c r="T26" s="15">
        <v>41.860465116279101</v>
      </c>
      <c r="U26" s="15">
        <v>32.142857142857103</v>
      </c>
      <c r="V26" s="15">
        <v>28.947368421052602</v>
      </c>
      <c r="W26" s="15">
        <v>30.434782608695699</v>
      </c>
      <c r="X26" s="15">
        <v>53.153153153153099</v>
      </c>
      <c r="Y26" s="15">
        <v>29.545454545454501</v>
      </c>
      <c r="Z26" s="15">
        <v>31.034482758620701</v>
      </c>
      <c r="AA26" s="15">
        <v>36.956521739130402</v>
      </c>
      <c r="AB26" s="20" t="s">
        <v>80</v>
      </c>
      <c r="AC26" s="15">
        <v>33.3333333333333</v>
      </c>
      <c r="AD26" s="15">
        <v>19.565217391304301</v>
      </c>
      <c r="AE26" s="15">
        <v>33.3333333333333</v>
      </c>
      <c r="AF26" s="15">
        <v>38.636363636363598</v>
      </c>
      <c r="AG26" s="15">
        <v>66.6666666666667</v>
      </c>
      <c r="AH26" s="15">
        <v>26.881720430107499</v>
      </c>
      <c r="AI26" s="15">
        <v>39.285714285714299</v>
      </c>
      <c r="AJ26" s="32">
        <v>30.057357068138501</v>
      </c>
      <c r="AK26" s="15">
        <v>26.775147928994102</v>
      </c>
      <c r="AL26" s="15">
        <v>27.4509803921569</v>
      </c>
      <c r="AM26" s="15">
        <v>30.808080808080799</v>
      </c>
      <c r="AN26" s="15">
        <v>51.824817518248203</v>
      </c>
      <c r="AO26" s="15">
        <v>35.029940119760496</v>
      </c>
      <c r="AP26" s="15">
        <v>33.262260127931803</v>
      </c>
      <c r="AQ26" s="15">
        <v>28.676470588235301</v>
      </c>
      <c r="AR26" s="24">
        <v>27.8787878787879</v>
      </c>
      <c r="AS26" s="38"/>
    </row>
    <row r="27" spans="1:45">
      <c r="A27" s="9" t="s">
        <v>185</v>
      </c>
      <c r="B27" s="36">
        <v>9.3840595734084999</v>
      </c>
      <c r="C27" s="32">
        <v>8.8122586033816805</v>
      </c>
      <c r="D27" s="32">
        <v>8.7063530605300308</v>
      </c>
      <c r="E27" s="32">
        <v>11.4163364518046</v>
      </c>
      <c r="F27" s="15">
        <v>21.568627450980401</v>
      </c>
      <c r="G27" s="20" t="s">
        <v>80</v>
      </c>
      <c r="H27" s="15">
        <v>10.055865921787699</v>
      </c>
      <c r="I27" s="15">
        <v>10.891089108910901</v>
      </c>
      <c r="J27" s="15">
        <v>15.714285714285699</v>
      </c>
      <c r="K27" s="15">
        <v>18.918918918918902</v>
      </c>
      <c r="L27" s="15">
        <v>7.4766355140186898</v>
      </c>
      <c r="M27" s="15">
        <v>9.5238095238095202</v>
      </c>
      <c r="N27" s="15">
        <v>9.0277777777777803</v>
      </c>
      <c r="O27" s="15">
        <v>7.2580645161290303</v>
      </c>
      <c r="P27" s="15">
        <v>4.1322314049586799</v>
      </c>
      <c r="Q27" s="20" t="s">
        <v>80</v>
      </c>
      <c r="R27" s="20" t="s">
        <v>80</v>
      </c>
      <c r="S27" s="15">
        <v>15.2173913043478</v>
      </c>
      <c r="T27" s="15">
        <v>16.2790697674419</v>
      </c>
      <c r="U27" s="15">
        <v>10.714285714285699</v>
      </c>
      <c r="V27" s="15">
        <v>23.684210526315798</v>
      </c>
      <c r="W27" s="20" t="s">
        <v>80</v>
      </c>
      <c r="X27" s="15">
        <v>10.8108108108108</v>
      </c>
      <c r="Y27" s="15">
        <v>13.636363636363599</v>
      </c>
      <c r="Z27" s="20" t="s">
        <v>80</v>
      </c>
      <c r="AA27" s="15">
        <v>21.739130434782599</v>
      </c>
      <c r="AB27" s="20" t="s">
        <v>80</v>
      </c>
      <c r="AC27" s="20" t="s">
        <v>80</v>
      </c>
      <c r="AD27" s="20" t="s">
        <v>80</v>
      </c>
      <c r="AE27" s="20" t="s">
        <v>80</v>
      </c>
      <c r="AF27" s="15">
        <v>15.909090909090899</v>
      </c>
      <c r="AG27" s="20" t="s">
        <v>80</v>
      </c>
      <c r="AH27" s="15">
        <v>13.9784946236559</v>
      </c>
      <c r="AI27" s="15">
        <v>12.5</v>
      </c>
      <c r="AJ27" s="32">
        <v>6.33550600192277</v>
      </c>
      <c r="AK27" s="15">
        <v>4.14201183431953</v>
      </c>
      <c r="AL27" s="15">
        <v>6.97167755991285</v>
      </c>
      <c r="AM27" s="15">
        <v>5.0505050505050502</v>
      </c>
      <c r="AN27" s="15">
        <v>5.8394160583941597</v>
      </c>
      <c r="AO27" s="15">
        <v>7.7844311377245496</v>
      </c>
      <c r="AP27" s="15">
        <v>10.021321961620499</v>
      </c>
      <c r="AQ27" s="15">
        <v>8.8235294117646994</v>
      </c>
      <c r="AR27" s="24">
        <v>6.9696969696969697</v>
      </c>
      <c r="AS27" s="38"/>
    </row>
    <row r="28" spans="1:45">
      <c r="A28" s="9" t="s">
        <v>186</v>
      </c>
      <c r="B28" s="36">
        <v>12.666648330600699</v>
      </c>
      <c r="C28" s="32">
        <v>12.751245155438999</v>
      </c>
      <c r="D28" s="32">
        <v>13.8541814386386</v>
      </c>
      <c r="E28" s="32">
        <v>17.360102946125799</v>
      </c>
      <c r="F28" s="15">
        <v>21.568627450980401</v>
      </c>
      <c r="G28" s="15">
        <v>27.272727272727298</v>
      </c>
      <c r="H28" s="15">
        <v>13.407821229050301</v>
      </c>
      <c r="I28" s="15">
        <v>17.821782178217799</v>
      </c>
      <c r="J28" s="15">
        <v>20</v>
      </c>
      <c r="K28" s="15">
        <v>21.6216216216216</v>
      </c>
      <c r="L28" s="15">
        <v>16.822429906542101</v>
      </c>
      <c r="M28" s="20" t="s">
        <v>80</v>
      </c>
      <c r="N28" s="15">
        <v>9.0277777777777803</v>
      </c>
      <c r="O28" s="15">
        <v>17.741935483871</v>
      </c>
      <c r="P28" s="15">
        <v>9.9173553719008307</v>
      </c>
      <c r="Q28" s="15">
        <v>35.294117647058798</v>
      </c>
      <c r="R28" s="15">
        <v>27.659574468085101</v>
      </c>
      <c r="S28" s="15">
        <v>23.913043478260899</v>
      </c>
      <c r="T28" s="15">
        <v>30.232558139534898</v>
      </c>
      <c r="U28" s="15">
        <v>16.071428571428601</v>
      </c>
      <c r="V28" s="15">
        <v>13.157894736842101</v>
      </c>
      <c r="W28" s="15">
        <v>26.086956521739101</v>
      </c>
      <c r="X28" s="15">
        <v>24.324324324324301</v>
      </c>
      <c r="Y28" s="15">
        <v>15.909090909090899</v>
      </c>
      <c r="Z28" s="15">
        <v>20.689655172413801</v>
      </c>
      <c r="AA28" s="15">
        <v>28.260869565217401</v>
      </c>
      <c r="AB28" s="15">
        <v>27.272727272727298</v>
      </c>
      <c r="AC28" s="15">
        <v>11.9047619047619</v>
      </c>
      <c r="AD28" s="20" t="s">
        <v>80</v>
      </c>
      <c r="AE28" s="20" t="s">
        <v>80</v>
      </c>
      <c r="AF28" s="15">
        <v>27.272727272727298</v>
      </c>
      <c r="AG28" s="15">
        <v>33.3333333333333</v>
      </c>
      <c r="AH28" s="15">
        <v>17.204301075268798</v>
      </c>
      <c r="AI28" s="15">
        <v>17.8571428571429</v>
      </c>
      <c r="AJ28" s="32">
        <v>10.787002606289899</v>
      </c>
      <c r="AK28" s="15">
        <v>10.7988165680473</v>
      </c>
      <c r="AL28" s="15">
        <v>10.6753812636166</v>
      </c>
      <c r="AM28" s="15">
        <v>12.1212121212121</v>
      </c>
      <c r="AN28" s="15">
        <v>16.788321167883201</v>
      </c>
      <c r="AO28" s="15">
        <v>11.976047904191599</v>
      </c>
      <c r="AP28" s="15">
        <v>11.513859275053299</v>
      </c>
      <c r="AQ28" s="15">
        <v>13.235294117647101</v>
      </c>
      <c r="AR28" s="24">
        <v>13.030303030302999</v>
      </c>
      <c r="AS28" s="38"/>
    </row>
    <row r="29" spans="1:45">
      <c r="A29" s="9" t="s">
        <v>187</v>
      </c>
      <c r="B29" s="36">
        <v>2.0841519456041402</v>
      </c>
      <c r="C29" s="32">
        <v>1.7804978082656999</v>
      </c>
      <c r="D29" s="32">
        <v>1.67941312970463</v>
      </c>
      <c r="E29" s="32">
        <v>1.9408076936635701</v>
      </c>
      <c r="F29" s="20" t="s">
        <v>80</v>
      </c>
      <c r="G29" s="20" t="s">
        <v>80</v>
      </c>
      <c r="H29" s="20" t="s">
        <v>80</v>
      </c>
      <c r="I29" s="20" t="s">
        <v>80</v>
      </c>
      <c r="J29" s="20" t="s">
        <v>80</v>
      </c>
      <c r="K29" s="20" t="s">
        <v>80</v>
      </c>
      <c r="L29" s="15">
        <v>5.6074766355140202</v>
      </c>
      <c r="M29" s="20" t="s">
        <v>80</v>
      </c>
      <c r="N29" s="20" t="s">
        <v>80</v>
      </c>
      <c r="O29" s="15">
        <v>4.0322580645161299</v>
      </c>
      <c r="P29" s="20" t="s">
        <v>80</v>
      </c>
      <c r="Q29" s="20" t="s">
        <v>80</v>
      </c>
      <c r="R29" s="20" t="s">
        <v>80</v>
      </c>
      <c r="S29" s="20" t="s">
        <v>80</v>
      </c>
      <c r="T29" s="20" t="s">
        <v>80</v>
      </c>
      <c r="U29" s="20" t="s">
        <v>80</v>
      </c>
      <c r="V29" s="20" t="s">
        <v>80</v>
      </c>
      <c r="W29" s="20" t="s">
        <v>80</v>
      </c>
      <c r="X29" s="20" t="s">
        <v>80</v>
      </c>
      <c r="Y29" s="20" t="s">
        <v>80</v>
      </c>
      <c r="Z29" s="20" t="s">
        <v>80</v>
      </c>
      <c r="AA29" s="20" t="s">
        <v>80</v>
      </c>
      <c r="AB29" s="20" t="s">
        <v>80</v>
      </c>
      <c r="AC29" s="20" t="s">
        <v>80</v>
      </c>
      <c r="AD29" s="20" t="s">
        <v>80</v>
      </c>
      <c r="AE29" s="20" t="s">
        <v>80</v>
      </c>
      <c r="AF29" s="20" t="s">
        <v>80</v>
      </c>
      <c r="AG29" s="20" t="s">
        <v>80</v>
      </c>
      <c r="AH29" s="15">
        <v>6.4516129032258096</v>
      </c>
      <c r="AI29" s="20" t="s">
        <v>80</v>
      </c>
      <c r="AJ29" s="32">
        <v>1.45073035065391</v>
      </c>
      <c r="AK29" s="15">
        <v>1.33136094674556</v>
      </c>
      <c r="AL29" s="15">
        <v>1.0893246187363801</v>
      </c>
      <c r="AM29" s="20" t="s">
        <v>80</v>
      </c>
      <c r="AN29" s="15">
        <v>3.6496350364963499</v>
      </c>
      <c r="AO29" s="20" t="s">
        <v>80</v>
      </c>
      <c r="AP29" s="15">
        <v>2.1321961620469101</v>
      </c>
      <c r="AQ29" s="20" t="s">
        <v>80</v>
      </c>
      <c r="AR29" s="26" t="s">
        <v>80</v>
      </c>
      <c r="AS29" s="38"/>
    </row>
    <row r="30" spans="1:45">
      <c r="A30" s="9" t="s">
        <v>188</v>
      </c>
      <c r="B30" s="36">
        <v>2.9661267219526999</v>
      </c>
      <c r="C30" s="32">
        <v>3.0133304247783901</v>
      </c>
      <c r="D30" s="32">
        <v>1.88443890129803</v>
      </c>
      <c r="E30" s="32">
        <v>2.1677010268460202</v>
      </c>
      <c r="F30" s="20" t="s">
        <v>80</v>
      </c>
      <c r="G30" s="20" t="s">
        <v>80</v>
      </c>
      <c r="H30" s="20" t="s">
        <v>80</v>
      </c>
      <c r="I30" s="20" t="s">
        <v>80</v>
      </c>
      <c r="J30" s="20" t="s">
        <v>80</v>
      </c>
      <c r="K30" s="20" t="s">
        <v>80</v>
      </c>
      <c r="L30" s="20" t="s">
        <v>80</v>
      </c>
      <c r="M30" s="20" t="s">
        <v>80</v>
      </c>
      <c r="N30" s="20" t="s">
        <v>80</v>
      </c>
      <c r="O30" s="20" t="s">
        <v>80</v>
      </c>
      <c r="P30" s="20" t="s">
        <v>80</v>
      </c>
      <c r="Q30" s="20" t="s">
        <v>80</v>
      </c>
      <c r="R30" s="20" t="s">
        <v>80</v>
      </c>
      <c r="S30" s="20" t="s">
        <v>80</v>
      </c>
      <c r="T30" s="20" t="s">
        <v>80</v>
      </c>
      <c r="U30" s="20" t="s">
        <v>80</v>
      </c>
      <c r="V30" s="20" t="s">
        <v>80</v>
      </c>
      <c r="W30" s="20" t="s">
        <v>80</v>
      </c>
      <c r="X30" s="20" t="s">
        <v>80</v>
      </c>
      <c r="Y30" s="15">
        <v>6.0606060606060597</v>
      </c>
      <c r="Z30" s="20" t="s">
        <v>80</v>
      </c>
      <c r="AA30" s="20" t="s">
        <v>80</v>
      </c>
      <c r="AB30" s="20" t="s">
        <v>80</v>
      </c>
      <c r="AC30" s="20" t="s">
        <v>80</v>
      </c>
      <c r="AD30" s="20" t="s">
        <v>80</v>
      </c>
      <c r="AE30" s="20" t="s">
        <v>80</v>
      </c>
      <c r="AF30" s="20" t="s">
        <v>80</v>
      </c>
      <c r="AG30" s="20" t="s">
        <v>80</v>
      </c>
      <c r="AH30" s="20" t="s">
        <v>80</v>
      </c>
      <c r="AI30" s="20" t="s">
        <v>80</v>
      </c>
      <c r="AJ30" s="32">
        <v>1.6366251400282701</v>
      </c>
      <c r="AK30" s="15">
        <v>0.88757396449704096</v>
      </c>
      <c r="AL30" s="15">
        <v>1.3071895424836599</v>
      </c>
      <c r="AM30" s="20" t="s">
        <v>80</v>
      </c>
      <c r="AN30" s="20" t="s">
        <v>80</v>
      </c>
      <c r="AO30" s="15">
        <v>1.79640718562874</v>
      </c>
      <c r="AP30" s="15">
        <v>2.7718550106609801</v>
      </c>
      <c r="AQ30" s="20" t="s">
        <v>80</v>
      </c>
      <c r="AR30" s="26" t="s">
        <v>80</v>
      </c>
      <c r="AS30" s="38"/>
    </row>
    <row r="31" spans="1:45">
      <c r="A31" s="9" t="s">
        <v>189</v>
      </c>
      <c r="B31" s="36">
        <v>5.7900077464085502</v>
      </c>
      <c r="C31" s="32">
        <v>5.1661630708722397</v>
      </c>
      <c r="D31" s="32">
        <v>4.9082825449399197</v>
      </c>
      <c r="E31" s="32">
        <v>6.8056541530455004</v>
      </c>
      <c r="F31" s="20" t="s">
        <v>80</v>
      </c>
      <c r="G31" s="20" t="s">
        <v>80</v>
      </c>
      <c r="H31" s="15">
        <v>5.0279329608938497</v>
      </c>
      <c r="I31" s="20" t="s">
        <v>80</v>
      </c>
      <c r="J31" s="15">
        <v>11.4285714285714</v>
      </c>
      <c r="K31" s="20" t="s">
        <v>80</v>
      </c>
      <c r="L31" s="15">
        <v>7.4766355140186898</v>
      </c>
      <c r="M31" s="20" t="s">
        <v>80</v>
      </c>
      <c r="N31" s="15">
        <v>6.9444444444444402</v>
      </c>
      <c r="O31" s="15">
        <v>12.9032258064516</v>
      </c>
      <c r="P31" s="20" t="s">
        <v>80</v>
      </c>
      <c r="Q31" s="20" t="s">
        <v>80</v>
      </c>
      <c r="R31" s="20" t="s">
        <v>80</v>
      </c>
      <c r="S31" s="20" t="s">
        <v>80</v>
      </c>
      <c r="T31" s="20" t="s">
        <v>80</v>
      </c>
      <c r="U31" s="20" t="s">
        <v>80</v>
      </c>
      <c r="V31" s="20" t="s">
        <v>80</v>
      </c>
      <c r="W31" s="15">
        <v>17.3913043478261</v>
      </c>
      <c r="X31" s="15">
        <v>7.20720720720721</v>
      </c>
      <c r="Y31" s="15">
        <v>8.3333333333333304</v>
      </c>
      <c r="Z31" s="20" t="s">
        <v>80</v>
      </c>
      <c r="AA31" s="20" t="s">
        <v>80</v>
      </c>
      <c r="AB31" s="20" t="s">
        <v>80</v>
      </c>
      <c r="AC31" s="20" t="s">
        <v>80</v>
      </c>
      <c r="AD31" s="20" t="s">
        <v>80</v>
      </c>
      <c r="AE31" s="20" t="s">
        <v>80</v>
      </c>
      <c r="AF31" s="20" t="s">
        <v>80</v>
      </c>
      <c r="AG31" s="20" t="s">
        <v>80</v>
      </c>
      <c r="AH31" s="15">
        <v>7.5268817204301097</v>
      </c>
      <c r="AI31" s="20" t="s">
        <v>80</v>
      </c>
      <c r="AJ31" s="32">
        <v>3.2483543289052101</v>
      </c>
      <c r="AK31" s="15">
        <v>2.6627218934911201</v>
      </c>
      <c r="AL31" s="15">
        <v>4.3572984749455301</v>
      </c>
      <c r="AM31" s="15">
        <v>4.0404040404040398</v>
      </c>
      <c r="AN31" s="15">
        <v>4.3795620437956204</v>
      </c>
      <c r="AO31" s="15">
        <v>3.5928143712574898</v>
      </c>
      <c r="AP31" s="15">
        <v>4.2643923240938202</v>
      </c>
      <c r="AQ31" s="15">
        <v>5.1470588235294104</v>
      </c>
      <c r="AR31" s="24">
        <v>2.1212121212121202</v>
      </c>
      <c r="AS31" s="38"/>
    </row>
    <row r="32" spans="1:45">
      <c r="A32" s="9" t="s">
        <v>190</v>
      </c>
      <c r="B32" s="36">
        <v>1.08573133382922</v>
      </c>
      <c r="C32" s="32">
        <v>1.0276189935089699</v>
      </c>
      <c r="D32" s="32">
        <v>1.10335209873309</v>
      </c>
      <c r="E32" s="34" t="s">
        <v>80</v>
      </c>
      <c r="F32" s="20" t="s">
        <v>80</v>
      </c>
      <c r="G32" s="20" t="s">
        <v>80</v>
      </c>
      <c r="H32" s="20" t="s">
        <v>80</v>
      </c>
      <c r="I32" s="20" t="s">
        <v>80</v>
      </c>
      <c r="J32" s="20" t="s">
        <v>80</v>
      </c>
      <c r="K32" s="20" t="s">
        <v>80</v>
      </c>
      <c r="L32" s="20" t="s">
        <v>80</v>
      </c>
      <c r="M32" s="20" t="s">
        <v>80</v>
      </c>
      <c r="N32" s="20" t="s">
        <v>80</v>
      </c>
      <c r="O32" s="20" t="s">
        <v>80</v>
      </c>
      <c r="P32" s="20" t="s">
        <v>80</v>
      </c>
      <c r="Q32" s="20" t="s">
        <v>80</v>
      </c>
      <c r="R32" s="20" t="s">
        <v>80</v>
      </c>
      <c r="S32" s="20" t="s">
        <v>80</v>
      </c>
      <c r="T32" s="20" t="s">
        <v>80</v>
      </c>
      <c r="U32" s="20" t="s">
        <v>80</v>
      </c>
      <c r="V32" s="20" t="s">
        <v>80</v>
      </c>
      <c r="W32" s="20" t="s">
        <v>80</v>
      </c>
      <c r="X32" s="20" t="s">
        <v>80</v>
      </c>
      <c r="Y32" s="20" t="s">
        <v>80</v>
      </c>
      <c r="Z32" s="20" t="s">
        <v>80</v>
      </c>
      <c r="AA32" s="20" t="s">
        <v>80</v>
      </c>
      <c r="AB32" s="20" t="s">
        <v>80</v>
      </c>
      <c r="AC32" s="20" t="s">
        <v>80</v>
      </c>
      <c r="AD32" s="20" t="s">
        <v>80</v>
      </c>
      <c r="AE32" s="20" t="s">
        <v>80</v>
      </c>
      <c r="AF32" s="20" t="s">
        <v>80</v>
      </c>
      <c r="AG32" s="20" t="s">
        <v>80</v>
      </c>
      <c r="AH32" s="20" t="s">
        <v>80</v>
      </c>
      <c r="AI32" s="20" t="s">
        <v>80</v>
      </c>
      <c r="AJ32" s="34" t="s">
        <v>80</v>
      </c>
      <c r="AK32" s="20" t="s">
        <v>80</v>
      </c>
      <c r="AL32" s="20" t="s">
        <v>80</v>
      </c>
      <c r="AM32" s="20" t="s">
        <v>80</v>
      </c>
      <c r="AN32" s="20" t="s">
        <v>80</v>
      </c>
      <c r="AO32" s="20" t="s">
        <v>80</v>
      </c>
      <c r="AP32" s="15">
        <v>1.9189765458422201</v>
      </c>
      <c r="AQ32" s="20" t="s">
        <v>80</v>
      </c>
      <c r="AR32" s="26" t="s">
        <v>80</v>
      </c>
      <c r="AS32" s="38"/>
    </row>
    <row r="33" spans="1:45">
      <c r="A33" s="9" t="s">
        <v>191</v>
      </c>
      <c r="B33" s="36">
        <v>4.7659278100644897</v>
      </c>
      <c r="C33" s="32">
        <v>4.4965901960281904</v>
      </c>
      <c r="D33" s="32">
        <v>4.8975789554953799</v>
      </c>
      <c r="E33" s="32">
        <v>6.17863782668777</v>
      </c>
      <c r="F33" s="20" t="s">
        <v>80</v>
      </c>
      <c r="G33" s="20" t="s">
        <v>80</v>
      </c>
      <c r="H33" s="15">
        <v>3.3519553072625698</v>
      </c>
      <c r="I33" s="15">
        <v>7.9207920792079198</v>
      </c>
      <c r="J33" s="15">
        <v>10</v>
      </c>
      <c r="K33" s="20" t="s">
        <v>80</v>
      </c>
      <c r="L33" s="15">
        <v>4.6728971962616797</v>
      </c>
      <c r="M33" s="20" t="s">
        <v>80</v>
      </c>
      <c r="N33" s="15">
        <v>9.0277777777777803</v>
      </c>
      <c r="O33" s="15">
        <v>5.6451612903225801</v>
      </c>
      <c r="P33" s="15">
        <v>4.1322314049586799</v>
      </c>
      <c r="Q33" s="20" t="s">
        <v>80</v>
      </c>
      <c r="R33" s="20" t="s">
        <v>80</v>
      </c>
      <c r="S33" s="20" t="s">
        <v>80</v>
      </c>
      <c r="T33" s="20" t="s">
        <v>80</v>
      </c>
      <c r="U33" s="15">
        <v>8.9285714285714306</v>
      </c>
      <c r="V33" s="20" t="s">
        <v>80</v>
      </c>
      <c r="W33" s="20" t="s">
        <v>80</v>
      </c>
      <c r="X33" s="15">
        <v>13.5135135135135</v>
      </c>
      <c r="Y33" s="15">
        <v>6.8181818181818201</v>
      </c>
      <c r="Z33" s="20" t="s">
        <v>80</v>
      </c>
      <c r="AA33" s="20" t="s">
        <v>80</v>
      </c>
      <c r="AB33" s="20" t="s">
        <v>80</v>
      </c>
      <c r="AC33" s="20" t="s">
        <v>80</v>
      </c>
      <c r="AD33" s="20" t="s">
        <v>80</v>
      </c>
      <c r="AE33" s="20" t="s">
        <v>80</v>
      </c>
      <c r="AF33" s="20" t="s">
        <v>80</v>
      </c>
      <c r="AG33" s="20" t="s">
        <v>80</v>
      </c>
      <c r="AH33" s="15">
        <v>6.4516129032258096</v>
      </c>
      <c r="AI33" s="20" t="s">
        <v>80</v>
      </c>
      <c r="AJ33" s="32">
        <v>3.7768360511483601</v>
      </c>
      <c r="AK33" s="15">
        <v>2.2189349112426</v>
      </c>
      <c r="AL33" s="15">
        <v>4.5751633986928102</v>
      </c>
      <c r="AM33" s="20" t="s">
        <v>80</v>
      </c>
      <c r="AN33" s="15">
        <v>3.6496350364963499</v>
      </c>
      <c r="AO33" s="15">
        <v>5.6886227544910204</v>
      </c>
      <c r="AP33" s="15">
        <v>3.41151385927505</v>
      </c>
      <c r="AQ33" s="15">
        <v>8.8235294117646994</v>
      </c>
      <c r="AR33" s="24">
        <v>2.4242424242424199</v>
      </c>
      <c r="AS33" s="38"/>
    </row>
    <row r="34" spans="1:45">
      <c r="A34" s="9" t="s">
        <v>192</v>
      </c>
      <c r="B34" s="36">
        <v>17.146766662270899</v>
      </c>
      <c r="C34" s="32">
        <v>19.4774923735446</v>
      </c>
      <c r="D34" s="32">
        <v>24.927707673264301</v>
      </c>
      <c r="E34" s="32">
        <v>22.6008387056605</v>
      </c>
      <c r="F34" s="15">
        <v>31.372549019607799</v>
      </c>
      <c r="G34" s="20" t="s">
        <v>80</v>
      </c>
      <c r="H34" s="15">
        <v>10.055865921787699</v>
      </c>
      <c r="I34" s="15">
        <v>10.891089108910901</v>
      </c>
      <c r="J34" s="15">
        <v>34.285714285714299</v>
      </c>
      <c r="K34" s="20" t="s">
        <v>80</v>
      </c>
      <c r="L34" s="15">
        <v>26.1682242990654</v>
      </c>
      <c r="M34" s="15">
        <v>13.0952380952381</v>
      </c>
      <c r="N34" s="15">
        <v>19.4444444444444</v>
      </c>
      <c r="O34" s="15">
        <v>21.7741935483871</v>
      </c>
      <c r="P34" s="15">
        <v>10.7438016528926</v>
      </c>
      <c r="Q34" s="15">
        <v>35.294117647058798</v>
      </c>
      <c r="R34" s="15">
        <v>31.914893617021299</v>
      </c>
      <c r="S34" s="15">
        <v>21.739130434782599</v>
      </c>
      <c r="T34" s="15">
        <v>46.511627906976699</v>
      </c>
      <c r="U34" s="15">
        <v>21.428571428571399</v>
      </c>
      <c r="V34" s="15">
        <v>23.684210526315798</v>
      </c>
      <c r="W34" s="15">
        <v>21.739130434782599</v>
      </c>
      <c r="X34" s="15">
        <v>26.126126126126099</v>
      </c>
      <c r="Y34" s="15">
        <v>21.2121212121212</v>
      </c>
      <c r="Z34" s="15">
        <v>31.034482758620701</v>
      </c>
      <c r="AA34" s="15">
        <v>17.3913043478261</v>
      </c>
      <c r="AB34" s="20" t="s">
        <v>80</v>
      </c>
      <c r="AC34" s="15">
        <v>19.047619047619001</v>
      </c>
      <c r="AD34" s="15">
        <v>50</v>
      </c>
      <c r="AE34" s="15">
        <v>24.2424242424242</v>
      </c>
      <c r="AF34" s="15">
        <v>22.727272727272702</v>
      </c>
      <c r="AG34" s="20" t="s">
        <v>80</v>
      </c>
      <c r="AH34" s="15">
        <v>24.731182795698899</v>
      </c>
      <c r="AI34" s="15">
        <v>33.928571428571402</v>
      </c>
      <c r="AJ34" s="32">
        <v>26.963384521089399</v>
      </c>
      <c r="AK34" s="15">
        <v>22.633136094674601</v>
      </c>
      <c r="AL34" s="15">
        <v>23.311546840958599</v>
      </c>
      <c r="AM34" s="15">
        <v>20.707070707070699</v>
      </c>
      <c r="AN34" s="15">
        <v>47.445255474452601</v>
      </c>
      <c r="AO34" s="15">
        <v>25.748502994012</v>
      </c>
      <c r="AP34" s="15">
        <v>26.226012793176999</v>
      </c>
      <c r="AQ34" s="15">
        <v>26.470588235294102</v>
      </c>
      <c r="AR34" s="24">
        <v>39.393939393939398</v>
      </c>
      <c r="AS34" s="38"/>
    </row>
    <row r="35" spans="1:45">
      <c r="A35" s="9" t="s">
        <v>193</v>
      </c>
      <c r="B35" s="36">
        <v>22.264245126520599</v>
      </c>
      <c r="C35" s="32">
        <v>22.478800562749701</v>
      </c>
      <c r="D35" s="32">
        <v>23.234252614326</v>
      </c>
      <c r="E35" s="32">
        <v>21.614354411442701</v>
      </c>
      <c r="F35" s="15">
        <v>37.254901960784302</v>
      </c>
      <c r="G35" s="20" t="s">
        <v>80</v>
      </c>
      <c r="H35" s="15">
        <v>13.966480446927401</v>
      </c>
      <c r="I35" s="15">
        <v>17.821782178217799</v>
      </c>
      <c r="J35" s="15">
        <v>27.1428571428571</v>
      </c>
      <c r="K35" s="15">
        <v>27.027027027027</v>
      </c>
      <c r="L35" s="15">
        <v>13.0841121495327</v>
      </c>
      <c r="M35" s="15">
        <v>9.5238095238095202</v>
      </c>
      <c r="N35" s="15">
        <v>20.8333333333333</v>
      </c>
      <c r="O35" s="15">
        <v>24.193548387096801</v>
      </c>
      <c r="P35" s="15">
        <v>15.702479338843</v>
      </c>
      <c r="Q35" s="15">
        <v>32.352941176470601</v>
      </c>
      <c r="R35" s="15">
        <v>31.914893617021299</v>
      </c>
      <c r="S35" s="20" t="s">
        <v>80</v>
      </c>
      <c r="T35" s="15">
        <v>37.209302325581397</v>
      </c>
      <c r="U35" s="15">
        <v>17.8571428571429</v>
      </c>
      <c r="V35" s="15">
        <v>23.684210526315798</v>
      </c>
      <c r="W35" s="15">
        <v>28.260869565217401</v>
      </c>
      <c r="X35" s="15">
        <v>17.1171171171171</v>
      </c>
      <c r="Y35" s="15">
        <v>8.3333333333333304</v>
      </c>
      <c r="Z35" s="15">
        <v>34.482758620689701</v>
      </c>
      <c r="AA35" s="15">
        <v>30.434782608695699</v>
      </c>
      <c r="AB35" s="20" t="s">
        <v>80</v>
      </c>
      <c r="AC35" s="15">
        <v>23.8095238095238</v>
      </c>
      <c r="AD35" s="15">
        <v>52.173913043478301</v>
      </c>
      <c r="AE35" s="15">
        <v>21.2121212121212</v>
      </c>
      <c r="AF35" s="15">
        <v>40.909090909090899</v>
      </c>
      <c r="AG35" s="20" t="s">
        <v>80</v>
      </c>
      <c r="AH35" s="15">
        <v>32.258064516128997</v>
      </c>
      <c r="AI35" s="15">
        <v>35.714285714285701</v>
      </c>
      <c r="AJ35" s="32">
        <v>24.651431369706799</v>
      </c>
      <c r="AK35" s="15">
        <v>21.8934911242604</v>
      </c>
      <c r="AL35" s="15">
        <v>15.6862745098039</v>
      </c>
      <c r="AM35" s="15">
        <v>20.707070707070699</v>
      </c>
      <c r="AN35" s="15">
        <v>40.875912408759099</v>
      </c>
      <c r="AO35" s="15">
        <v>25.149700598802401</v>
      </c>
      <c r="AP35" s="15">
        <v>21.5351812366738</v>
      </c>
      <c r="AQ35" s="15">
        <v>28.676470588235301</v>
      </c>
      <c r="AR35" s="24">
        <v>38.181818181818201</v>
      </c>
      <c r="AS35" s="38"/>
    </row>
    <row r="36" spans="1:45">
      <c r="A36" s="9" t="s">
        <v>194</v>
      </c>
      <c r="B36" s="36">
        <v>12.500004811256201</v>
      </c>
      <c r="C36" s="32">
        <v>12.991485360659899</v>
      </c>
      <c r="D36" s="32">
        <v>12.8223322623271</v>
      </c>
      <c r="E36" s="32">
        <v>14.0057261178844</v>
      </c>
      <c r="F36" s="15">
        <v>13.7254901960784</v>
      </c>
      <c r="G36" s="20" t="s">
        <v>80</v>
      </c>
      <c r="H36" s="15">
        <v>8.3798882681564208</v>
      </c>
      <c r="I36" s="15">
        <v>14.8514851485149</v>
      </c>
      <c r="J36" s="15">
        <v>14.285714285714301</v>
      </c>
      <c r="K36" s="20" t="s">
        <v>80</v>
      </c>
      <c r="L36" s="15">
        <v>11.214953271028</v>
      </c>
      <c r="M36" s="15">
        <v>20.238095238095202</v>
      </c>
      <c r="N36" s="15">
        <v>15.9722222222222</v>
      </c>
      <c r="O36" s="15">
        <v>12.0967741935484</v>
      </c>
      <c r="P36" s="15">
        <v>5.7851239669421499</v>
      </c>
      <c r="Q36" s="15">
        <v>23.529411764705898</v>
      </c>
      <c r="R36" s="15">
        <v>23.404255319148898</v>
      </c>
      <c r="S36" s="20" t="s">
        <v>80</v>
      </c>
      <c r="T36" s="20" t="s">
        <v>80</v>
      </c>
      <c r="U36" s="15">
        <v>16.071428571428601</v>
      </c>
      <c r="V36" s="15">
        <v>28.947368421052602</v>
      </c>
      <c r="W36" s="15">
        <v>17.3913043478261</v>
      </c>
      <c r="X36" s="15">
        <v>23.423423423423401</v>
      </c>
      <c r="Y36" s="15">
        <v>6.8181818181818201</v>
      </c>
      <c r="Z36" s="20" t="s">
        <v>80</v>
      </c>
      <c r="AA36" s="20" t="s">
        <v>80</v>
      </c>
      <c r="AB36" s="20" t="s">
        <v>80</v>
      </c>
      <c r="AC36" s="15">
        <v>16.6666666666667</v>
      </c>
      <c r="AD36" s="20" t="s">
        <v>80</v>
      </c>
      <c r="AE36" s="20" t="s">
        <v>80</v>
      </c>
      <c r="AF36" s="15">
        <v>29.545454545454501</v>
      </c>
      <c r="AG36" s="20" t="s">
        <v>80</v>
      </c>
      <c r="AH36" s="15">
        <v>24.731182795698899</v>
      </c>
      <c r="AI36" s="15">
        <v>17.8571428571429</v>
      </c>
      <c r="AJ36" s="32">
        <v>11.7870322488084</v>
      </c>
      <c r="AK36" s="15">
        <v>11.834319526627199</v>
      </c>
      <c r="AL36" s="15">
        <v>8.9324618736383403</v>
      </c>
      <c r="AM36" s="15">
        <v>8.5858585858585901</v>
      </c>
      <c r="AN36" s="15">
        <v>14.5985401459854</v>
      </c>
      <c r="AO36" s="15">
        <v>13.473053892215599</v>
      </c>
      <c r="AP36" s="15">
        <v>15.138592750533</v>
      </c>
      <c r="AQ36" s="15">
        <v>16.176470588235301</v>
      </c>
      <c r="AR36" s="24">
        <v>13.9393939393939</v>
      </c>
      <c r="AS36" s="38"/>
    </row>
    <row r="37" spans="1:45">
      <c r="A37" s="9" t="s">
        <v>195</v>
      </c>
      <c r="B37" s="36">
        <v>17.716620358467399</v>
      </c>
      <c r="C37" s="32">
        <v>21.201431722856501</v>
      </c>
      <c r="D37" s="32">
        <v>28.398879548734001</v>
      </c>
      <c r="E37" s="32">
        <v>24.232844639060399</v>
      </c>
      <c r="F37" s="15">
        <v>25.490196078431399</v>
      </c>
      <c r="G37" s="15">
        <v>31.818181818181799</v>
      </c>
      <c r="H37" s="15">
        <v>17.877094972066999</v>
      </c>
      <c r="I37" s="15">
        <v>22.7722772277228</v>
      </c>
      <c r="J37" s="15">
        <v>20</v>
      </c>
      <c r="K37" s="15">
        <v>32.4324324324324</v>
      </c>
      <c r="L37" s="15">
        <v>17.757009345794401</v>
      </c>
      <c r="M37" s="15">
        <v>22.619047619047599</v>
      </c>
      <c r="N37" s="15">
        <v>24.3055555555556</v>
      </c>
      <c r="O37" s="15">
        <v>26.612903225806502</v>
      </c>
      <c r="P37" s="15">
        <v>30.578512396694201</v>
      </c>
      <c r="Q37" s="15">
        <v>17.647058823529399</v>
      </c>
      <c r="R37" s="15">
        <v>34.042553191489397</v>
      </c>
      <c r="S37" s="15">
        <v>41.304347826087003</v>
      </c>
      <c r="T37" s="15">
        <v>18.604651162790699</v>
      </c>
      <c r="U37" s="15">
        <v>8.9285714285714306</v>
      </c>
      <c r="V37" s="15">
        <v>31.578947368421101</v>
      </c>
      <c r="W37" s="15">
        <v>13.0434782608696</v>
      </c>
      <c r="X37" s="15">
        <v>31.531531531531499</v>
      </c>
      <c r="Y37" s="15">
        <v>18.181818181818201</v>
      </c>
      <c r="Z37" s="20" t="s">
        <v>80</v>
      </c>
      <c r="AA37" s="15">
        <v>26.086956521739101</v>
      </c>
      <c r="AB37" s="20" t="s">
        <v>80</v>
      </c>
      <c r="AC37" s="15">
        <v>14.285714285714301</v>
      </c>
      <c r="AD37" s="15">
        <v>15.2173913043478</v>
      </c>
      <c r="AE37" s="15">
        <v>24.2424242424242</v>
      </c>
      <c r="AF37" s="15">
        <v>22.727272727272702</v>
      </c>
      <c r="AG37" s="20" t="s">
        <v>80</v>
      </c>
      <c r="AH37" s="15">
        <v>25.806451612903199</v>
      </c>
      <c r="AI37" s="15">
        <v>30.3571428571429</v>
      </c>
      <c r="AJ37" s="32">
        <v>32.043562997147802</v>
      </c>
      <c r="AK37" s="15">
        <v>20.414201183431999</v>
      </c>
      <c r="AL37" s="15">
        <v>28.976034858387798</v>
      </c>
      <c r="AM37" s="15">
        <v>25.252525252525299</v>
      </c>
      <c r="AN37" s="15">
        <v>46.715328467153299</v>
      </c>
      <c r="AO37" s="15">
        <v>39.820359281437099</v>
      </c>
      <c r="AP37" s="15">
        <v>30.0639658848614</v>
      </c>
      <c r="AQ37" s="15">
        <v>39.705882352941202</v>
      </c>
      <c r="AR37" s="24">
        <v>44.2424242424242</v>
      </c>
      <c r="AS37" s="38"/>
    </row>
    <row r="38" spans="1:45">
      <c r="A38" s="9" t="s">
        <v>196</v>
      </c>
      <c r="B38" s="36">
        <v>20.203475727794299</v>
      </c>
      <c r="C38" s="32">
        <v>19.798753201118899</v>
      </c>
      <c r="D38" s="32">
        <v>18.867710615097</v>
      </c>
      <c r="E38" s="32">
        <v>23.801035963042999</v>
      </c>
      <c r="F38" s="15">
        <v>13.7254901960784</v>
      </c>
      <c r="G38" s="15">
        <v>31.818181818181799</v>
      </c>
      <c r="H38" s="15">
        <v>16.759776536312799</v>
      </c>
      <c r="I38" s="15">
        <v>18.8118811881188</v>
      </c>
      <c r="J38" s="15">
        <v>34.285714285714299</v>
      </c>
      <c r="K38" s="15">
        <v>18.918918918918902</v>
      </c>
      <c r="L38" s="15">
        <v>29.906542056074802</v>
      </c>
      <c r="M38" s="15">
        <v>19.047619047619001</v>
      </c>
      <c r="N38" s="15">
        <v>38.1944444444444</v>
      </c>
      <c r="O38" s="15">
        <v>16.935483870967701</v>
      </c>
      <c r="P38" s="15">
        <v>15.702479338843</v>
      </c>
      <c r="Q38" s="15">
        <v>29.411764705882401</v>
      </c>
      <c r="R38" s="15">
        <v>12.7659574468085</v>
      </c>
      <c r="S38" s="15">
        <v>17.3913043478261</v>
      </c>
      <c r="T38" s="15">
        <v>34.883720930232599</v>
      </c>
      <c r="U38" s="15">
        <v>37.5</v>
      </c>
      <c r="V38" s="15">
        <v>34.210526315789501</v>
      </c>
      <c r="W38" s="15">
        <v>30.434782608695699</v>
      </c>
      <c r="X38" s="15">
        <v>32.4324324324324</v>
      </c>
      <c r="Y38" s="15">
        <v>28.7878787878788</v>
      </c>
      <c r="Z38" s="20" t="s">
        <v>80</v>
      </c>
      <c r="AA38" s="15">
        <v>32.6086956521739</v>
      </c>
      <c r="AB38" s="20" t="s">
        <v>80</v>
      </c>
      <c r="AC38" s="15">
        <v>16.6666666666667</v>
      </c>
      <c r="AD38" s="15">
        <v>10.869565217391299</v>
      </c>
      <c r="AE38" s="15">
        <v>18.181818181818201</v>
      </c>
      <c r="AF38" s="15">
        <v>20.454545454545499</v>
      </c>
      <c r="AG38" s="20" t="s">
        <v>80</v>
      </c>
      <c r="AH38" s="15">
        <v>23.655913978494599</v>
      </c>
      <c r="AI38" s="15">
        <v>23.214285714285701</v>
      </c>
      <c r="AJ38" s="32">
        <v>14.551758005206899</v>
      </c>
      <c r="AK38" s="15">
        <v>12.5739644970414</v>
      </c>
      <c r="AL38" s="15">
        <v>17.864923747276698</v>
      </c>
      <c r="AM38" s="15">
        <v>16.161616161616202</v>
      </c>
      <c r="AN38" s="15">
        <v>15.3284671532847</v>
      </c>
      <c r="AO38" s="15">
        <v>20.6586826347305</v>
      </c>
      <c r="AP38" s="15">
        <v>17.6972281449893</v>
      </c>
      <c r="AQ38" s="15">
        <v>13.9705882352941</v>
      </c>
      <c r="AR38" s="24">
        <v>16.060606060606101</v>
      </c>
      <c r="AS38" s="38"/>
    </row>
    <row r="39" spans="1:45">
      <c r="A39" s="9" t="s">
        <v>197</v>
      </c>
      <c r="B39" s="36">
        <v>36.763378806544999</v>
      </c>
      <c r="C39" s="32">
        <v>38.527532598466202</v>
      </c>
      <c r="D39" s="32">
        <v>40.944694885121997</v>
      </c>
      <c r="E39" s="32">
        <v>33.635380929789299</v>
      </c>
      <c r="F39" s="15">
        <v>25.490196078431399</v>
      </c>
      <c r="G39" s="15">
        <v>22.727272727272702</v>
      </c>
      <c r="H39" s="15">
        <v>24.022346368715102</v>
      </c>
      <c r="I39" s="15">
        <v>28.712871287128699</v>
      </c>
      <c r="J39" s="15">
        <v>38.571428571428598</v>
      </c>
      <c r="K39" s="15">
        <v>16.2162162162162</v>
      </c>
      <c r="L39" s="15">
        <v>35.514018691588802</v>
      </c>
      <c r="M39" s="15">
        <v>23.8095238095238</v>
      </c>
      <c r="N39" s="15">
        <v>43.0555555555556</v>
      </c>
      <c r="O39" s="15">
        <v>35.4838709677419</v>
      </c>
      <c r="P39" s="15">
        <v>20.6611570247934</v>
      </c>
      <c r="Q39" s="15">
        <v>61.764705882352899</v>
      </c>
      <c r="R39" s="15">
        <v>36.170212765957501</v>
      </c>
      <c r="S39" s="15">
        <v>36.956521739130402</v>
      </c>
      <c r="T39" s="15">
        <v>46.511627906976699</v>
      </c>
      <c r="U39" s="15">
        <v>37.5</v>
      </c>
      <c r="V39" s="15">
        <v>36.842105263157897</v>
      </c>
      <c r="W39" s="15">
        <v>32.6086956521739</v>
      </c>
      <c r="X39" s="15">
        <v>45.945945945945901</v>
      </c>
      <c r="Y39" s="15">
        <v>27.272727272727298</v>
      </c>
      <c r="Z39" s="15">
        <v>48.275862068965502</v>
      </c>
      <c r="AA39" s="15">
        <v>41.304347826087003</v>
      </c>
      <c r="AB39" s="15">
        <v>22.727272727272702</v>
      </c>
      <c r="AC39" s="15">
        <v>26.1904761904762</v>
      </c>
      <c r="AD39" s="15">
        <v>34.7826086956522</v>
      </c>
      <c r="AE39" s="15">
        <v>24.2424242424242</v>
      </c>
      <c r="AF39" s="15">
        <v>31.818181818181799</v>
      </c>
      <c r="AG39" s="15">
        <v>53.3333333333333</v>
      </c>
      <c r="AH39" s="15">
        <v>33.3333333333333</v>
      </c>
      <c r="AI39" s="15">
        <v>42.857142857142897</v>
      </c>
      <c r="AJ39" s="32">
        <v>47.339296987567799</v>
      </c>
      <c r="AK39" s="15">
        <v>40.976331360946702</v>
      </c>
      <c r="AL39" s="15">
        <v>39.651416122004399</v>
      </c>
      <c r="AM39" s="15">
        <v>44.4444444444444</v>
      </c>
      <c r="AN39" s="15">
        <v>60.583941605839399</v>
      </c>
      <c r="AO39" s="15">
        <v>52.095808383233503</v>
      </c>
      <c r="AP39" s="15">
        <v>47.974413646055403</v>
      </c>
      <c r="AQ39" s="15">
        <v>40.441176470588204</v>
      </c>
      <c r="AR39" s="24">
        <v>57.575757575757599</v>
      </c>
      <c r="AS39" s="38"/>
    </row>
    <row r="40" spans="1:45">
      <c r="A40" s="9" t="s">
        <v>198</v>
      </c>
      <c r="B40" s="36">
        <v>13.0698739094644</v>
      </c>
      <c r="C40" s="32">
        <v>13.159116124280301</v>
      </c>
      <c r="D40" s="32">
        <v>14.0887771625121</v>
      </c>
      <c r="E40" s="32">
        <v>16.4244738050274</v>
      </c>
      <c r="F40" s="15">
        <v>33.3333333333333</v>
      </c>
      <c r="G40" s="20" t="s">
        <v>80</v>
      </c>
      <c r="H40" s="15">
        <v>7.2625698324022299</v>
      </c>
      <c r="I40" s="15">
        <v>15.841584158415801</v>
      </c>
      <c r="J40" s="15">
        <v>22.8571428571429</v>
      </c>
      <c r="K40" s="15">
        <v>35.135135135135101</v>
      </c>
      <c r="L40" s="15">
        <v>15.887850467289701</v>
      </c>
      <c r="M40" s="15">
        <v>8.3333333333333304</v>
      </c>
      <c r="N40" s="15">
        <v>20.8333333333333</v>
      </c>
      <c r="O40" s="15">
        <v>11.290322580645199</v>
      </c>
      <c r="P40" s="15">
        <v>12.396694214876</v>
      </c>
      <c r="Q40" s="15">
        <v>20.588235294117599</v>
      </c>
      <c r="R40" s="15">
        <v>14.893617021276601</v>
      </c>
      <c r="S40" s="20" t="s">
        <v>80</v>
      </c>
      <c r="T40" s="15">
        <v>16.2790697674419</v>
      </c>
      <c r="U40" s="15">
        <v>21.428571428571399</v>
      </c>
      <c r="V40" s="15">
        <v>34.210526315789501</v>
      </c>
      <c r="W40" s="15">
        <v>17.3913043478261</v>
      </c>
      <c r="X40" s="15">
        <v>27.027027027027</v>
      </c>
      <c r="Y40" s="15">
        <v>14.3939393939394</v>
      </c>
      <c r="Z40" s="20" t="s">
        <v>80</v>
      </c>
      <c r="AA40" s="15">
        <v>23.913043478260899</v>
      </c>
      <c r="AB40" s="20" t="s">
        <v>80</v>
      </c>
      <c r="AC40" s="15">
        <v>14.285714285714301</v>
      </c>
      <c r="AD40" s="15">
        <v>19.565217391304301</v>
      </c>
      <c r="AE40" s="20" t="s">
        <v>80</v>
      </c>
      <c r="AF40" s="15">
        <v>18.181818181818201</v>
      </c>
      <c r="AG40" s="20" t="s">
        <v>80</v>
      </c>
      <c r="AH40" s="15">
        <v>20.430107526881699</v>
      </c>
      <c r="AI40" s="15">
        <v>14.285714285714301</v>
      </c>
      <c r="AJ40" s="32">
        <v>12.0453773643672</v>
      </c>
      <c r="AK40" s="15">
        <v>11.2426035502959</v>
      </c>
      <c r="AL40" s="15">
        <v>16.122004357298501</v>
      </c>
      <c r="AM40" s="15">
        <v>13.636363636363599</v>
      </c>
      <c r="AN40" s="15">
        <v>17.518248175182499</v>
      </c>
      <c r="AO40" s="15">
        <v>12.874251497006</v>
      </c>
      <c r="AP40" s="15">
        <v>12.1535181236674</v>
      </c>
      <c r="AQ40" s="15">
        <v>13.235294117647101</v>
      </c>
      <c r="AR40" s="24">
        <v>13.030303030302999</v>
      </c>
      <c r="AS40" s="38"/>
    </row>
    <row r="41" spans="1:45">
      <c r="A41" s="9" t="s">
        <v>199</v>
      </c>
      <c r="B41" s="36">
        <v>20.718278780622001</v>
      </c>
      <c r="C41" s="32">
        <v>21.4215543817485</v>
      </c>
      <c r="D41" s="32">
        <v>22.872639673638101</v>
      </c>
      <c r="E41" s="32">
        <v>21.74998215678</v>
      </c>
      <c r="F41" s="15">
        <v>23.529411764705898</v>
      </c>
      <c r="G41" s="15">
        <v>31.818181818181799</v>
      </c>
      <c r="H41" s="15">
        <v>18.994413407821199</v>
      </c>
      <c r="I41" s="15">
        <v>18.8118811881188</v>
      </c>
      <c r="J41" s="15">
        <v>20</v>
      </c>
      <c r="K41" s="15">
        <v>13.5135135135135</v>
      </c>
      <c r="L41" s="15">
        <v>10.2803738317757</v>
      </c>
      <c r="M41" s="15">
        <v>22.619047619047599</v>
      </c>
      <c r="N41" s="15">
        <v>22.2222222222222</v>
      </c>
      <c r="O41" s="15">
        <v>25</v>
      </c>
      <c r="P41" s="15">
        <v>24.793388429752099</v>
      </c>
      <c r="Q41" s="15">
        <v>32.352941176470601</v>
      </c>
      <c r="R41" s="15">
        <v>31.914893617021299</v>
      </c>
      <c r="S41" s="15">
        <v>15.2173913043478</v>
      </c>
      <c r="T41" s="15">
        <v>39.534883720930203</v>
      </c>
      <c r="U41" s="15">
        <v>23.214285714285701</v>
      </c>
      <c r="V41" s="15">
        <v>18.421052631578899</v>
      </c>
      <c r="W41" s="15">
        <v>15.2173913043478</v>
      </c>
      <c r="X41" s="15">
        <v>30.630630630630598</v>
      </c>
      <c r="Y41" s="15">
        <v>15.1515151515152</v>
      </c>
      <c r="Z41" s="20" t="s">
        <v>80</v>
      </c>
      <c r="AA41" s="15">
        <v>23.913043478260899</v>
      </c>
      <c r="AB41" s="20" t="s">
        <v>80</v>
      </c>
      <c r="AC41" s="15">
        <v>19.047619047619001</v>
      </c>
      <c r="AD41" s="20" t="s">
        <v>80</v>
      </c>
      <c r="AE41" s="15">
        <v>15.1515151515152</v>
      </c>
      <c r="AF41" s="15">
        <v>27.272727272727298</v>
      </c>
      <c r="AG41" s="20" t="s">
        <v>80</v>
      </c>
      <c r="AH41" s="15">
        <v>18.279569892473098</v>
      </c>
      <c r="AI41" s="15">
        <v>17.8571428571429</v>
      </c>
      <c r="AJ41" s="32">
        <v>23.854804095839501</v>
      </c>
      <c r="AK41" s="15">
        <v>18.786982248520701</v>
      </c>
      <c r="AL41" s="15">
        <v>23.529411764705898</v>
      </c>
      <c r="AM41" s="15">
        <v>20.202020202020201</v>
      </c>
      <c r="AN41" s="15">
        <v>35.766423357664202</v>
      </c>
      <c r="AO41" s="15">
        <v>29.041916167664699</v>
      </c>
      <c r="AP41" s="15">
        <v>26.865671641791</v>
      </c>
      <c r="AQ41" s="15">
        <v>28.676470588235301</v>
      </c>
      <c r="AR41" s="24">
        <v>36.060606060606098</v>
      </c>
      <c r="AS41" s="38"/>
    </row>
    <row r="42" spans="1:45">
      <c r="A42" s="9" t="s">
        <v>200</v>
      </c>
      <c r="B42" s="36">
        <v>5.9903219742511196</v>
      </c>
      <c r="C42" s="32">
        <v>5.7050324431383803</v>
      </c>
      <c r="D42" s="32">
        <v>8.6560132649661305</v>
      </c>
      <c r="E42" s="32">
        <v>10.337136279371499</v>
      </c>
      <c r="F42" s="15">
        <v>13.7254901960784</v>
      </c>
      <c r="G42" s="20" t="s">
        <v>80</v>
      </c>
      <c r="H42" s="15">
        <v>6.1452513966480398</v>
      </c>
      <c r="I42" s="15">
        <v>9.9009900990098991</v>
      </c>
      <c r="J42" s="15">
        <v>14.285714285714301</v>
      </c>
      <c r="K42" s="20" t="s">
        <v>80</v>
      </c>
      <c r="L42" s="15">
        <v>8.4112149532710294</v>
      </c>
      <c r="M42" s="15">
        <v>13.0952380952381</v>
      </c>
      <c r="N42" s="15">
        <v>11.1111111111111</v>
      </c>
      <c r="O42" s="15">
        <v>9.67741935483871</v>
      </c>
      <c r="P42" s="15">
        <v>4.95867768595041</v>
      </c>
      <c r="Q42" s="20" t="s">
        <v>80</v>
      </c>
      <c r="R42" s="15">
        <v>17.021276595744698</v>
      </c>
      <c r="S42" s="15">
        <v>21.739130434782599</v>
      </c>
      <c r="T42" s="20" t="s">
        <v>80</v>
      </c>
      <c r="U42" s="15">
        <v>10.714285714285699</v>
      </c>
      <c r="V42" s="20" t="s">
        <v>80</v>
      </c>
      <c r="W42" s="20" t="s">
        <v>80</v>
      </c>
      <c r="X42" s="15">
        <v>12.612612612612599</v>
      </c>
      <c r="Y42" s="15">
        <v>8.3333333333333304</v>
      </c>
      <c r="Z42" s="20" t="s">
        <v>80</v>
      </c>
      <c r="AA42" s="15">
        <v>10.869565217391299</v>
      </c>
      <c r="AB42" s="20" t="s">
        <v>80</v>
      </c>
      <c r="AC42" s="20" t="s">
        <v>80</v>
      </c>
      <c r="AD42" s="20" t="s">
        <v>80</v>
      </c>
      <c r="AE42" s="20" t="s">
        <v>80</v>
      </c>
      <c r="AF42" s="15">
        <v>11.363636363636401</v>
      </c>
      <c r="AG42" s="20" t="s">
        <v>80</v>
      </c>
      <c r="AH42" s="15">
        <v>15.0537634408602</v>
      </c>
      <c r="AI42" s="15">
        <v>12.5</v>
      </c>
      <c r="AJ42" s="32">
        <v>7.1852715745584499</v>
      </c>
      <c r="AK42" s="15">
        <v>4.14201183431953</v>
      </c>
      <c r="AL42" s="15">
        <v>5.2287581699346397</v>
      </c>
      <c r="AM42" s="15">
        <v>6.0606060606060597</v>
      </c>
      <c r="AN42" s="15">
        <v>12.408759124087601</v>
      </c>
      <c r="AO42" s="15">
        <v>8.9820359281437092</v>
      </c>
      <c r="AP42" s="15">
        <v>7.0362473347548002</v>
      </c>
      <c r="AQ42" s="15">
        <v>12.5</v>
      </c>
      <c r="AR42" s="24">
        <v>11.818181818181801</v>
      </c>
      <c r="AS42" s="38"/>
    </row>
    <row r="43" spans="1:45">
      <c r="A43" s="9" t="s">
        <v>201</v>
      </c>
      <c r="B43" s="36">
        <v>20.595175469218098</v>
      </c>
      <c r="C43" s="32">
        <v>21.4730847167516</v>
      </c>
      <c r="D43" s="32">
        <v>22.835725162625199</v>
      </c>
      <c r="E43" s="32">
        <v>21.762742806503098</v>
      </c>
      <c r="F43" s="15">
        <v>19.6078431372549</v>
      </c>
      <c r="G43" s="20" t="s">
        <v>80</v>
      </c>
      <c r="H43" s="15">
        <v>24.581005586592202</v>
      </c>
      <c r="I43" s="15">
        <v>17.821782178217799</v>
      </c>
      <c r="J43" s="15">
        <v>31.428571428571399</v>
      </c>
      <c r="K43" s="20" t="s">
        <v>80</v>
      </c>
      <c r="L43" s="15">
        <v>14.953271028037401</v>
      </c>
      <c r="M43" s="15">
        <v>23.8095238095238</v>
      </c>
      <c r="N43" s="15">
        <v>22.9166666666667</v>
      </c>
      <c r="O43" s="15">
        <v>16.935483870967701</v>
      </c>
      <c r="P43" s="15">
        <v>19.008264462809901</v>
      </c>
      <c r="Q43" s="15">
        <v>35.294117647058798</v>
      </c>
      <c r="R43" s="15">
        <v>21.2765957446809</v>
      </c>
      <c r="S43" s="15">
        <v>34.7826086956522</v>
      </c>
      <c r="T43" s="15">
        <v>20.930232558139501</v>
      </c>
      <c r="U43" s="15">
        <v>26.785714285714299</v>
      </c>
      <c r="V43" s="15">
        <v>18.421052631578899</v>
      </c>
      <c r="W43" s="15">
        <v>15.2173913043478</v>
      </c>
      <c r="X43" s="15">
        <v>27.9279279279279</v>
      </c>
      <c r="Y43" s="15">
        <v>12.8787878787879</v>
      </c>
      <c r="Z43" s="20" t="s">
        <v>80</v>
      </c>
      <c r="AA43" s="15">
        <v>34.7826086956522</v>
      </c>
      <c r="AB43" s="20" t="s">
        <v>80</v>
      </c>
      <c r="AC43" s="15">
        <v>19.047619047619001</v>
      </c>
      <c r="AD43" s="15">
        <v>19.565217391304301</v>
      </c>
      <c r="AE43" s="15">
        <v>27.272727272727298</v>
      </c>
      <c r="AF43" s="15">
        <v>29.545454545454501</v>
      </c>
      <c r="AG43" s="20" t="s">
        <v>80</v>
      </c>
      <c r="AH43" s="15">
        <v>31.1827956989247</v>
      </c>
      <c r="AI43" s="15">
        <v>25</v>
      </c>
      <c r="AJ43" s="32">
        <v>23.774430938881999</v>
      </c>
      <c r="AK43" s="15">
        <v>20.562130177514799</v>
      </c>
      <c r="AL43" s="15">
        <v>20.915032679738601</v>
      </c>
      <c r="AM43" s="15">
        <v>26.262626262626299</v>
      </c>
      <c r="AN43" s="15">
        <v>36.496350364963497</v>
      </c>
      <c r="AO43" s="15">
        <v>27.544910179640699</v>
      </c>
      <c r="AP43" s="15">
        <v>25.159914712153501</v>
      </c>
      <c r="AQ43" s="15">
        <v>28.676470588235301</v>
      </c>
      <c r="AR43" s="24">
        <v>32.424242424242401</v>
      </c>
      <c r="AS43" s="38"/>
    </row>
    <row r="44" spans="1:45">
      <c r="A44" s="9" t="s">
        <v>202</v>
      </c>
      <c r="B44" s="36">
        <v>58.303930767089803</v>
      </c>
      <c r="C44" s="32">
        <v>59.419181024523098</v>
      </c>
      <c r="D44" s="32">
        <v>63.414407289045499</v>
      </c>
      <c r="E44" s="32">
        <v>61.156275112183998</v>
      </c>
      <c r="F44" s="15">
        <v>49.019607843137301</v>
      </c>
      <c r="G44" s="15">
        <v>36.363636363636402</v>
      </c>
      <c r="H44" s="15">
        <v>49.162011173184403</v>
      </c>
      <c r="I44" s="15">
        <v>52.475247524752497</v>
      </c>
      <c r="J44" s="15">
        <v>65.714285714285694</v>
      </c>
      <c r="K44" s="15">
        <v>67.567567567567593</v>
      </c>
      <c r="L44" s="15">
        <v>58.878504672897201</v>
      </c>
      <c r="M44" s="15">
        <v>59.523809523809497</v>
      </c>
      <c r="N44" s="15">
        <v>72.9166666666667</v>
      </c>
      <c r="O44" s="15">
        <v>63.709677419354797</v>
      </c>
      <c r="P44" s="15">
        <v>52.066115702479301</v>
      </c>
      <c r="Q44" s="15">
        <v>88.235294117647101</v>
      </c>
      <c r="R44" s="15">
        <v>59.574468085106403</v>
      </c>
      <c r="S44" s="15">
        <v>52.173913043478301</v>
      </c>
      <c r="T44" s="15">
        <v>67.441860465116307</v>
      </c>
      <c r="U44" s="15">
        <v>69.642857142857096</v>
      </c>
      <c r="V44" s="15">
        <v>63.157894736842103</v>
      </c>
      <c r="W44" s="15">
        <v>52.173913043478301</v>
      </c>
      <c r="X44" s="15">
        <v>61.261261261261303</v>
      </c>
      <c r="Y44" s="15">
        <v>65.151515151515099</v>
      </c>
      <c r="Z44" s="15">
        <v>58.620689655172399</v>
      </c>
      <c r="AA44" s="15">
        <v>63.043478260869598</v>
      </c>
      <c r="AB44" s="15">
        <v>50</v>
      </c>
      <c r="AC44" s="15">
        <v>61.904761904761898</v>
      </c>
      <c r="AD44" s="15">
        <v>47.826086956521699</v>
      </c>
      <c r="AE44" s="15">
        <v>60.606060606060602</v>
      </c>
      <c r="AF44" s="15">
        <v>77.272727272727295</v>
      </c>
      <c r="AG44" s="15">
        <v>60</v>
      </c>
      <c r="AH44" s="15">
        <v>64.516129032258107</v>
      </c>
      <c r="AI44" s="15">
        <v>64.285714285714306</v>
      </c>
      <c r="AJ44" s="32">
        <v>65.389949296681493</v>
      </c>
      <c r="AK44" s="15">
        <v>61.242603550295897</v>
      </c>
      <c r="AL44" s="15">
        <v>65.141612200435702</v>
      </c>
      <c r="AM44" s="15">
        <v>66.161616161616195</v>
      </c>
      <c r="AN44" s="15">
        <v>68.613138686131407</v>
      </c>
      <c r="AO44" s="15">
        <v>69.461077844311404</v>
      </c>
      <c r="AP44" s="15">
        <v>63.539445628997903</v>
      </c>
      <c r="AQ44" s="15">
        <v>67.647058823529406</v>
      </c>
      <c r="AR44" s="24">
        <v>70</v>
      </c>
      <c r="AS44" s="38"/>
    </row>
    <row r="45" spans="1:45">
      <c r="A45" s="9" t="s">
        <v>203</v>
      </c>
      <c r="B45" s="36">
        <v>4.4190228052063603</v>
      </c>
      <c r="C45" s="32">
        <v>4.3115767098958999</v>
      </c>
      <c r="D45" s="32">
        <v>6.6728827411888396</v>
      </c>
      <c r="E45" s="32">
        <v>8.4544803568719296</v>
      </c>
      <c r="F45" s="20" t="s">
        <v>80</v>
      </c>
      <c r="G45" s="20" t="s">
        <v>80</v>
      </c>
      <c r="H45" s="15">
        <v>3.3519553072625698</v>
      </c>
      <c r="I45" s="15">
        <v>6.9306930693069297</v>
      </c>
      <c r="J45" s="15">
        <v>15.714285714285699</v>
      </c>
      <c r="K45" s="20" t="s">
        <v>80</v>
      </c>
      <c r="L45" s="15">
        <v>8.4112149532710294</v>
      </c>
      <c r="M45" s="20" t="s">
        <v>80</v>
      </c>
      <c r="N45" s="15">
        <v>9.7222222222222197</v>
      </c>
      <c r="O45" s="15">
        <v>7.2580645161290303</v>
      </c>
      <c r="P45" s="20" t="s">
        <v>80</v>
      </c>
      <c r="Q45" s="15">
        <v>14.705882352941201</v>
      </c>
      <c r="R45" s="20" t="s">
        <v>80</v>
      </c>
      <c r="S45" s="15">
        <v>15.2173913043478</v>
      </c>
      <c r="T45" s="15">
        <v>13.953488372093</v>
      </c>
      <c r="U45" s="20" t="s">
        <v>80</v>
      </c>
      <c r="V45" s="20" t="s">
        <v>80</v>
      </c>
      <c r="W45" s="15">
        <v>10.869565217391299</v>
      </c>
      <c r="X45" s="15">
        <v>11.7117117117117</v>
      </c>
      <c r="Y45" s="15">
        <v>8.3333333333333304</v>
      </c>
      <c r="Z45" s="20" t="s">
        <v>80</v>
      </c>
      <c r="AA45" s="20" t="s">
        <v>80</v>
      </c>
      <c r="AB45" s="20" t="s">
        <v>80</v>
      </c>
      <c r="AC45" s="15">
        <v>26.1904761904762</v>
      </c>
      <c r="AD45" s="20" t="s">
        <v>80</v>
      </c>
      <c r="AE45" s="20" t="s">
        <v>80</v>
      </c>
      <c r="AF45" s="15">
        <v>18.181818181818201</v>
      </c>
      <c r="AG45" s="20" t="s">
        <v>80</v>
      </c>
      <c r="AH45" s="15">
        <v>10.752688172042999</v>
      </c>
      <c r="AI45" s="20" t="s">
        <v>80</v>
      </c>
      <c r="AJ45" s="32">
        <v>5.1142401751997397</v>
      </c>
      <c r="AK45" s="15">
        <v>3.2544378698224898</v>
      </c>
      <c r="AL45" s="15">
        <v>6.3180827886710196</v>
      </c>
      <c r="AM45" s="15">
        <v>4.5454545454545503</v>
      </c>
      <c r="AN45" s="15">
        <v>5.8394160583941597</v>
      </c>
      <c r="AO45" s="15">
        <v>5.9880239520958103</v>
      </c>
      <c r="AP45" s="15">
        <v>5.9701492537313401</v>
      </c>
      <c r="AQ45" s="15">
        <v>5.8823529411764701</v>
      </c>
      <c r="AR45" s="24">
        <v>7.2727272727272698</v>
      </c>
      <c r="AS45" s="38"/>
    </row>
    <row r="46" spans="1:45">
      <c r="A46" s="9" t="s">
        <v>204</v>
      </c>
      <c r="B46" s="36">
        <v>19.994187517089301</v>
      </c>
      <c r="C46" s="32">
        <v>20.9360092752542</v>
      </c>
      <c r="D46" s="32">
        <v>23.693755960271702</v>
      </c>
      <c r="E46" s="32">
        <v>24.9067403672253</v>
      </c>
      <c r="F46" s="15">
        <v>19.6078431372549</v>
      </c>
      <c r="G46" s="20" t="s">
        <v>80</v>
      </c>
      <c r="H46" s="15">
        <v>16.759776536312799</v>
      </c>
      <c r="I46" s="15">
        <v>27.722772277227701</v>
      </c>
      <c r="J46" s="15">
        <v>32.857142857142897</v>
      </c>
      <c r="K46" s="15">
        <v>18.918918918918902</v>
      </c>
      <c r="L46" s="15">
        <v>28.971962616822399</v>
      </c>
      <c r="M46" s="15">
        <v>13.0952380952381</v>
      </c>
      <c r="N46" s="15">
        <v>25</v>
      </c>
      <c r="O46" s="15">
        <v>24.193548387096801</v>
      </c>
      <c r="P46" s="15">
        <v>19.834710743801701</v>
      </c>
      <c r="Q46" s="15">
        <v>32.352941176470601</v>
      </c>
      <c r="R46" s="15">
        <v>40.425531914893597</v>
      </c>
      <c r="S46" s="15">
        <v>19.565217391304301</v>
      </c>
      <c r="T46" s="15">
        <v>30.232558139534898</v>
      </c>
      <c r="U46" s="15">
        <v>21.428571428571399</v>
      </c>
      <c r="V46" s="15">
        <v>47.368421052631597</v>
      </c>
      <c r="W46" s="15">
        <v>19.565217391304301</v>
      </c>
      <c r="X46" s="15">
        <v>30.630630630630598</v>
      </c>
      <c r="Y46" s="15">
        <v>19.696969696969699</v>
      </c>
      <c r="Z46" s="20" t="s">
        <v>80</v>
      </c>
      <c r="AA46" s="15">
        <v>30.434782608695699</v>
      </c>
      <c r="AB46" s="20" t="s">
        <v>80</v>
      </c>
      <c r="AC46" s="15">
        <v>30.952380952380999</v>
      </c>
      <c r="AD46" s="15">
        <v>17.3913043478261</v>
      </c>
      <c r="AE46" s="15">
        <v>21.2121212121212</v>
      </c>
      <c r="AF46" s="15">
        <v>29.545454545454501</v>
      </c>
      <c r="AG46" s="20" t="s">
        <v>80</v>
      </c>
      <c r="AH46" s="15">
        <v>32.258064516128997</v>
      </c>
      <c r="AI46" s="15">
        <v>25</v>
      </c>
      <c r="AJ46" s="32">
        <v>22.632568455351201</v>
      </c>
      <c r="AK46" s="15">
        <v>24.4082840236686</v>
      </c>
      <c r="AL46" s="15">
        <v>21.568627450980401</v>
      </c>
      <c r="AM46" s="15">
        <v>20.707070707070699</v>
      </c>
      <c r="AN46" s="15">
        <v>35.766423357664202</v>
      </c>
      <c r="AO46" s="15">
        <v>27.8443113772455</v>
      </c>
      <c r="AP46" s="15">
        <v>20.255863539445599</v>
      </c>
      <c r="AQ46" s="15">
        <v>33.823529411764703</v>
      </c>
      <c r="AR46" s="24">
        <v>23.636363636363601</v>
      </c>
      <c r="AS46" s="38"/>
    </row>
    <row r="47" spans="1:45">
      <c r="A47" s="9" t="s">
        <v>205</v>
      </c>
      <c r="B47" s="36">
        <v>6.7062197540207196</v>
      </c>
      <c r="C47" s="32">
        <v>7.0581843384543204</v>
      </c>
      <c r="D47" s="32">
        <v>6.7423864094174402</v>
      </c>
      <c r="E47" s="32">
        <v>6.6256146499010802</v>
      </c>
      <c r="F47" s="15">
        <v>17.647058823529399</v>
      </c>
      <c r="G47" s="20" t="s">
        <v>80</v>
      </c>
      <c r="H47" s="15">
        <v>3.3519553072625698</v>
      </c>
      <c r="I47" s="15">
        <v>6.9306930693069297</v>
      </c>
      <c r="J47" s="15">
        <v>8.5714285714285694</v>
      </c>
      <c r="K47" s="20" t="s">
        <v>80</v>
      </c>
      <c r="L47" s="20" t="s">
        <v>80</v>
      </c>
      <c r="M47" s="20" t="s">
        <v>80</v>
      </c>
      <c r="N47" s="15">
        <v>3.4722222222222201</v>
      </c>
      <c r="O47" s="15">
        <v>8.8709677419354804</v>
      </c>
      <c r="P47" s="15">
        <v>5.7851239669421499</v>
      </c>
      <c r="Q47" s="15">
        <v>14.705882352941201</v>
      </c>
      <c r="R47" s="20" t="s">
        <v>80</v>
      </c>
      <c r="S47" s="15">
        <v>10.869565217391299</v>
      </c>
      <c r="T47" s="15">
        <v>16.2790697674419</v>
      </c>
      <c r="U47" s="20" t="s">
        <v>80</v>
      </c>
      <c r="V47" s="20" t="s">
        <v>80</v>
      </c>
      <c r="W47" s="20" t="s">
        <v>80</v>
      </c>
      <c r="X47" s="15">
        <v>9.0090090090090094</v>
      </c>
      <c r="Y47" s="15">
        <v>7.5757575757575797</v>
      </c>
      <c r="Z47" s="20" t="s">
        <v>80</v>
      </c>
      <c r="AA47" s="20" t="s">
        <v>80</v>
      </c>
      <c r="AB47" s="20" t="s">
        <v>80</v>
      </c>
      <c r="AC47" s="20" t="s">
        <v>80</v>
      </c>
      <c r="AD47" s="20" t="s">
        <v>80</v>
      </c>
      <c r="AE47" s="20" t="s">
        <v>80</v>
      </c>
      <c r="AF47" s="15">
        <v>11.363636363636401</v>
      </c>
      <c r="AG47" s="20" t="s">
        <v>80</v>
      </c>
      <c r="AH47" s="15">
        <v>12.9032258064516</v>
      </c>
      <c r="AI47" s="15">
        <v>10.714285714285699</v>
      </c>
      <c r="AJ47" s="32">
        <v>6.8445449626650801</v>
      </c>
      <c r="AK47" s="15">
        <v>5.9171597633136104</v>
      </c>
      <c r="AL47" s="15">
        <v>3.0501089324618702</v>
      </c>
      <c r="AM47" s="15">
        <v>5.0505050505050502</v>
      </c>
      <c r="AN47" s="15">
        <v>14.5985401459854</v>
      </c>
      <c r="AO47" s="15">
        <v>8.3832335329341294</v>
      </c>
      <c r="AP47" s="15">
        <v>5.9701492537313401</v>
      </c>
      <c r="AQ47" s="15">
        <v>13.9705882352941</v>
      </c>
      <c r="AR47" s="24">
        <v>8.4848484848484809</v>
      </c>
      <c r="AS47" s="38"/>
    </row>
    <row r="48" spans="1:45">
      <c r="A48" s="9" t="s">
        <v>206</v>
      </c>
      <c r="B48" s="36">
        <v>6.6293136037403899</v>
      </c>
      <c r="C48" s="32">
        <v>6.35872873009499</v>
      </c>
      <c r="D48" s="32">
        <v>7.0194819533966299</v>
      </c>
      <c r="E48" s="32">
        <v>7.1672737134479698</v>
      </c>
      <c r="F48" s="20" t="s">
        <v>80</v>
      </c>
      <c r="G48" s="20" t="s">
        <v>80</v>
      </c>
      <c r="H48" s="15">
        <v>7.8212290502793298</v>
      </c>
      <c r="I48" s="20" t="s">
        <v>80</v>
      </c>
      <c r="J48" s="15">
        <v>7.1428571428571397</v>
      </c>
      <c r="K48" s="20" t="s">
        <v>80</v>
      </c>
      <c r="L48" s="15">
        <v>5.6074766355140202</v>
      </c>
      <c r="M48" s="20" t="s">
        <v>80</v>
      </c>
      <c r="N48" s="15">
        <v>12.5</v>
      </c>
      <c r="O48" s="15">
        <v>7.2580645161290303</v>
      </c>
      <c r="P48" s="20" t="s">
        <v>80</v>
      </c>
      <c r="Q48" s="20" t="s">
        <v>80</v>
      </c>
      <c r="R48" s="20" t="s">
        <v>80</v>
      </c>
      <c r="S48" s="20" t="s">
        <v>80</v>
      </c>
      <c r="T48" s="20" t="s">
        <v>80</v>
      </c>
      <c r="U48" s="20" t="s">
        <v>80</v>
      </c>
      <c r="V48" s="20" t="s">
        <v>80</v>
      </c>
      <c r="W48" s="20" t="s">
        <v>80</v>
      </c>
      <c r="X48" s="15">
        <v>6.3063063063063103</v>
      </c>
      <c r="Y48" s="15">
        <v>9.0909090909090899</v>
      </c>
      <c r="Z48" s="20" t="s">
        <v>80</v>
      </c>
      <c r="AA48" s="15">
        <v>10.869565217391299</v>
      </c>
      <c r="AB48" s="20" t="s">
        <v>80</v>
      </c>
      <c r="AC48" s="20" t="s">
        <v>80</v>
      </c>
      <c r="AD48" s="20" t="s">
        <v>80</v>
      </c>
      <c r="AE48" s="20" t="s">
        <v>80</v>
      </c>
      <c r="AF48" s="20" t="s">
        <v>80</v>
      </c>
      <c r="AG48" s="20" t="s">
        <v>80</v>
      </c>
      <c r="AH48" s="15">
        <v>10.752688172042999</v>
      </c>
      <c r="AI48" s="15">
        <v>12.5</v>
      </c>
      <c r="AJ48" s="32">
        <v>6.8901853456269002</v>
      </c>
      <c r="AK48" s="15">
        <v>6.2130177514792901</v>
      </c>
      <c r="AL48" s="15">
        <v>5.0108932461873597</v>
      </c>
      <c r="AM48" s="15">
        <v>4.0404040404040398</v>
      </c>
      <c r="AN48" s="15">
        <v>15.3284671532847</v>
      </c>
      <c r="AO48" s="15">
        <v>6.2874251497006002</v>
      </c>
      <c r="AP48" s="15">
        <v>6.1833688699360296</v>
      </c>
      <c r="AQ48" s="15">
        <v>8.8235294117646994</v>
      </c>
      <c r="AR48" s="24">
        <v>10</v>
      </c>
      <c r="AS48" s="38"/>
    </row>
    <row r="49" spans="1:45">
      <c r="A49" s="9" t="s">
        <v>207</v>
      </c>
      <c r="B49" s="36">
        <v>11.0892416504407</v>
      </c>
      <c r="C49" s="32">
        <v>14.7415949881649</v>
      </c>
      <c r="D49" s="32">
        <v>18.0790313263069</v>
      </c>
      <c r="E49" s="32">
        <v>19.273950612897998</v>
      </c>
      <c r="F49" s="15">
        <v>19.6078431372549</v>
      </c>
      <c r="G49" s="15">
        <v>27.272727272727298</v>
      </c>
      <c r="H49" s="15">
        <v>39.106145251396597</v>
      </c>
      <c r="I49" s="15">
        <v>19.801980198019798</v>
      </c>
      <c r="J49" s="15">
        <v>20</v>
      </c>
      <c r="K49" s="15">
        <v>13.5135135135135</v>
      </c>
      <c r="L49" s="15">
        <v>22.429906542056099</v>
      </c>
      <c r="M49" s="15">
        <v>9.5238095238095202</v>
      </c>
      <c r="N49" s="15">
        <v>11.8055555555556</v>
      </c>
      <c r="O49" s="15">
        <v>23.387096774193498</v>
      </c>
      <c r="P49" s="15">
        <v>7.4380165289256199</v>
      </c>
      <c r="Q49" s="15">
        <v>29.411764705882401</v>
      </c>
      <c r="R49" s="15">
        <v>21.2765957446809</v>
      </c>
      <c r="S49" s="20" t="s">
        <v>80</v>
      </c>
      <c r="T49" s="20" t="s">
        <v>80</v>
      </c>
      <c r="U49" s="15">
        <v>25</v>
      </c>
      <c r="V49" s="15">
        <v>15.789473684210501</v>
      </c>
      <c r="W49" s="15">
        <v>19.565217391304301</v>
      </c>
      <c r="X49" s="15">
        <v>18.018018018018001</v>
      </c>
      <c r="Y49" s="15">
        <v>12.8787878787879</v>
      </c>
      <c r="Z49" s="20" t="s">
        <v>80</v>
      </c>
      <c r="AA49" s="15">
        <v>32.6086956521739</v>
      </c>
      <c r="AB49" s="20" t="s">
        <v>80</v>
      </c>
      <c r="AC49" s="15">
        <v>38.095238095238102</v>
      </c>
      <c r="AD49" s="20" t="s">
        <v>80</v>
      </c>
      <c r="AE49" s="20" t="s">
        <v>80</v>
      </c>
      <c r="AF49" s="15">
        <v>36.363636363636402</v>
      </c>
      <c r="AG49" s="20" t="s">
        <v>80</v>
      </c>
      <c r="AH49" s="15">
        <v>29.0322580645161</v>
      </c>
      <c r="AI49" s="15">
        <v>21.428571428571399</v>
      </c>
      <c r="AJ49" s="32">
        <v>17.033648212517701</v>
      </c>
      <c r="AK49" s="15">
        <v>16.863905325443799</v>
      </c>
      <c r="AL49" s="15">
        <v>11.546840958605699</v>
      </c>
      <c r="AM49" s="15">
        <v>18.181818181818201</v>
      </c>
      <c r="AN49" s="15">
        <v>29.927007299270102</v>
      </c>
      <c r="AO49" s="15">
        <v>19.161676646706599</v>
      </c>
      <c r="AP49" s="15">
        <v>13.2196162046908</v>
      </c>
      <c r="AQ49" s="15">
        <v>31.617647058823501</v>
      </c>
      <c r="AR49" s="24">
        <v>18.484848484848499</v>
      </c>
      <c r="AS49" s="38"/>
    </row>
    <row r="50" spans="1:45">
      <c r="A50" s="9" t="s">
        <v>208</v>
      </c>
      <c r="B50" s="36">
        <v>40.991221992550599</v>
      </c>
      <c r="C50" s="32">
        <v>42.1056149341034</v>
      </c>
      <c r="D50" s="32">
        <v>43.629159308135797</v>
      </c>
      <c r="E50" s="32">
        <v>41.876638158887502</v>
      </c>
      <c r="F50" s="15">
        <v>50.980392156862699</v>
      </c>
      <c r="G50" s="15">
        <v>22.727272727272702</v>
      </c>
      <c r="H50" s="15">
        <v>43.016759776536297</v>
      </c>
      <c r="I50" s="15">
        <v>44.554455445544598</v>
      </c>
      <c r="J50" s="15">
        <v>45.714285714285701</v>
      </c>
      <c r="K50" s="15">
        <v>51.351351351351397</v>
      </c>
      <c r="L50" s="15">
        <v>37.383177570093501</v>
      </c>
      <c r="M50" s="15">
        <v>40.476190476190503</v>
      </c>
      <c r="N50" s="15">
        <v>45.1388888888889</v>
      </c>
      <c r="O50" s="15">
        <v>38.709677419354797</v>
      </c>
      <c r="P50" s="15">
        <v>38.016528925619802</v>
      </c>
      <c r="Q50" s="15">
        <v>47.058823529411796</v>
      </c>
      <c r="R50" s="15">
        <v>44.680851063829799</v>
      </c>
      <c r="S50" s="15">
        <v>39.130434782608702</v>
      </c>
      <c r="T50" s="15">
        <v>48.837209302325597</v>
      </c>
      <c r="U50" s="15">
        <v>42.857142857142897</v>
      </c>
      <c r="V50" s="15">
        <v>31.578947368421101</v>
      </c>
      <c r="W50" s="15">
        <v>32.6086956521739</v>
      </c>
      <c r="X50" s="15">
        <v>45.945945945945901</v>
      </c>
      <c r="Y50" s="15">
        <v>46.969696969696997</v>
      </c>
      <c r="Z50" s="15">
        <v>27.586206896551701</v>
      </c>
      <c r="AA50" s="15">
        <v>52.173913043478301</v>
      </c>
      <c r="AB50" s="20" t="s">
        <v>80</v>
      </c>
      <c r="AC50" s="15">
        <v>42.857142857142897</v>
      </c>
      <c r="AD50" s="15">
        <v>26.086956521739101</v>
      </c>
      <c r="AE50" s="15">
        <v>24.2424242424242</v>
      </c>
      <c r="AF50" s="15">
        <v>47.727272727272698</v>
      </c>
      <c r="AG50" s="15">
        <v>60</v>
      </c>
      <c r="AH50" s="15">
        <v>43.010752688171998</v>
      </c>
      <c r="AI50" s="15">
        <v>33.928571428571402</v>
      </c>
      <c r="AJ50" s="32">
        <v>45.1623641333831</v>
      </c>
      <c r="AK50" s="15">
        <v>38.757396449704103</v>
      </c>
      <c r="AL50" s="15">
        <v>42.047930283224403</v>
      </c>
      <c r="AM50" s="15">
        <v>50</v>
      </c>
      <c r="AN50" s="15">
        <v>46.715328467153299</v>
      </c>
      <c r="AO50" s="15">
        <v>49.700598802395199</v>
      </c>
      <c r="AP50" s="15">
        <v>47.121535181236702</v>
      </c>
      <c r="AQ50" s="15">
        <v>52.941176470588204</v>
      </c>
      <c r="AR50" s="24">
        <v>50.303030303030297</v>
      </c>
      <c r="AS50" s="38"/>
    </row>
    <row r="51" spans="1:45">
      <c r="A51" s="9" t="s">
        <v>209</v>
      </c>
      <c r="B51" s="36">
        <v>29.652717103845799</v>
      </c>
      <c r="C51" s="32">
        <v>31.028258889026102</v>
      </c>
      <c r="D51" s="32">
        <v>30.9359447433037</v>
      </c>
      <c r="E51" s="32">
        <v>27.609641587026999</v>
      </c>
      <c r="F51" s="15">
        <v>29.411764705882401</v>
      </c>
      <c r="G51" s="15">
        <v>27.272727272727298</v>
      </c>
      <c r="H51" s="15">
        <v>15.6424581005587</v>
      </c>
      <c r="I51" s="15">
        <v>24.752475247524799</v>
      </c>
      <c r="J51" s="15">
        <v>35.714285714285701</v>
      </c>
      <c r="K51" s="15">
        <v>35.135135135135101</v>
      </c>
      <c r="L51" s="15">
        <v>13.0841121495327</v>
      </c>
      <c r="M51" s="15">
        <v>20.238095238095202</v>
      </c>
      <c r="N51" s="15">
        <v>24.3055555555556</v>
      </c>
      <c r="O51" s="15">
        <v>33.870967741935502</v>
      </c>
      <c r="P51" s="15">
        <v>30.578512396694201</v>
      </c>
      <c r="Q51" s="15">
        <v>50</v>
      </c>
      <c r="R51" s="15">
        <v>25.531914893617</v>
      </c>
      <c r="S51" s="15">
        <v>13.0434782608696</v>
      </c>
      <c r="T51" s="15">
        <v>51.162790697674403</v>
      </c>
      <c r="U51" s="15">
        <v>28.571428571428601</v>
      </c>
      <c r="V51" s="15">
        <v>39.473684210526301</v>
      </c>
      <c r="W51" s="15">
        <v>34.7826086956522</v>
      </c>
      <c r="X51" s="15">
        <v>37.837837837837803</v>
      </c>
      <c r="Y51" s="15">
        <v>15.909090909090899</v>
      </c>
      <c r="Z51" s="15">
        <v>17.241379310344801</v>
      </c>
      <c r="AA51" s="15">
        <v>26.086956521739101</v>
      </c>
      <c r="AB51" s="20" t="s">
        <v>80</v>
      </c>
      <c r="AC51" s="15">
        <v>26.1904761904762</v>
      </c>
      <c r="AD51" s="15">
        <v>23.913043478260899</v>
      </c>
      <c r="AE51" s="20" t="s">
        <v>80</v>
      </c>
      <c r="AF51" s="15">
        <v>31.818181818181799</v>
      </c>
      <c r="AG51" s="15">
        <v>40</v>
      </c>
      <c r="AH51" s="15">
        <v>26.881720430107499</v>
      </c>
      <c r="AI51" s="15">
        <v>32.142857142857103</v>
      </c>
      <c r="AJ51" s="32">
        <v>33.845983262169099</v>
      </c>
      <c r="AK51" s="15">
        <v>29.733727810650901</v>
      </c>
      <c r="AL51" s="15">
        <v>26.143790849673199</v>
      </c>
      <c r="AM51" s="15">
        <v>27.272727272727298</v>
      </c>
      <c r="AN51" s="15">
        <v>53.284671532846701</v>
      </c>
      <c r="AO51" s="15">
        <v>41.616766467065901</v>
      </c>
      <c r="AP51" s="15">
        <v>33.901918976545801</v>
      </c>
      <c r="AQ51" s="15">
        <v>37.5</v>
      </c>
      <c r="AR51" s="24">
        <v>41.818181818181799</v>
      </c>
      <c r="AS51" s="38"/>
    </row>
    <row r="52" spans="1:45">
      <c r="A52" s="9" t="s">
        <v>210</v>
      </c>
      <c r="B52" s="36">
        <v>11.4396701794723</v>
      </c>
      <c r="C52" s="32">
        <v>13.781470915092401</v>
      </c>
      <c r="D52" s="32">
        <v>18.160622047682399</v>
      </c>
      <c r="E52" s="32">
        <v>17.723887771216798</v>
      </c>
      <c r="F52" s="15">
        <v>15.6862745098039</v>
      </c>
      <c r="G52" s="15">
        <v>22.727272727272702</v>
      </c>
      <c r="H52" s="15">
        <v>10.055865921787699</v>
      </c>
      <c r="I52" s="15">
        <v>16.8316831683168</v>
      </c>
      <c r="J52" s="15">
        <v>15.714285714285699</v>
      </c>
      <c r="K52" s="20" t="s">
        <v>80</v>
      </c>
      <c r="L52" s="15">
        <v>14.953271028037401</v>
      </c>
      <c r="M52" s="15">
        <v>9.5238095238095202</v>
      </c>
      <c r="N52" s="15">
        <v>16.6666666666667</v>
      </c>
      <c r="O52" s="15">
        <v>21.7741935483871</v>
      </c>
      <c r="P52" s="15">
        <v>10.7438016528926</v>
      </c>
      <c r="Q52" s="15">
        <v>38.235294117647101</v>
      </c>
      <c r="R52" s="15">
        <v>10.6382978723404</v>
      </c>
      <c r="S52" s="15">
        <v>15.2173913043478</v>
      </c>
      <c r="T52" s="15">
        <v>32.558139534883701</v>
      </c>
      <c r="U52" s="15">
        <v>21.428571428571399</v>
      </c>
      <c r="V52" s="15">
        <v>21.052631578947398</v>
      </c>
      <c r="W52" s="15">
        <v>17.3913043478261</v>
      </c>
      <c r="X52" s="15">
        <v>25.225225225225198</v>
      </c>
      <c r="Y52" s="15">
        <v>14.3939393939394</v>
      </c>
      <c r="Z52" s="20" t="s">
        <v>80</v>
      </c>
      <c r="AA52" s="15">
        <v>21.739130434782599</v>
      </c>
      <c r="AB52" s="20" t="s">
        <v>80</v>
      </c>
      <c r="AC52" s="15">
        <v>16.6666666666667</v>
      </c>
      <c r="AD52" s="15">
        <v>41.304347826087003</v>
      </c>
      <c r="AE52" s="15">
        <v>15.1515151515152</v>
      </c>
      <c r="AF52" s="15">
        <v>13.636363636363599</v>
      </c>
      <c r="AG52" s="20" t="s">
        <v>80</v>
      </c>
      <c r="AH52" s="15">
        <v>17.204301075268798</v>
      </c>
      <c r="AI52" s="15">
        <v>16.071428571428601</v>
      </c>
      <c r="AJ52" s="32">
        <v>18.542701944586899</v>
      </c>
      <c r="AK52" s="15">
        <v>15.680473372781099</v>
      </c>
      <c r="AL52" s="15">
        <v>13.289760348583901</v>
      </c>
      <c r="AM52" s="15">
        <v>13.1313131313131</v>
      </c>
      <c r="AN52" s="15">
        <v>35.036496350364999</v>
      </c>
      <c r="AO52" s="15">
        <v>26.047904191616801</v>
      </c>
      <c r="AP52" s="15">
        <v>23.880597014925399</v>
      </c>
      <c r="AQ52" s="15">
        <v>18.382352941176499</v>
      </c>
      <c r="AR52" s="24">
        <v>20.606060606060598</v>
      </c>
      <c r="AS52" s="38"/>
    </row>
    <row r="53" spans="1:45">
      <c r="A53" s="9" t="s">
        <v>211</v>
      </c>
      <c r="B53" s="36">
        <v>25.4392622296062</v>
      </c>
      <c r="C53" s="32">
        <v>26.375758365227</v>
      </c>
      <c r="D53" s="32">
        <v>29.6897978416272</v>
      </c>
      <c r="E53" s="32">
        <v>28.1994741717598</v>
      </c>
      <c r="F53" s="15">
        <v>27.4509803921569</v>
      </c>
      <c r="G53" s="15">
        <v>22.727272727272702</v>
      </c>
      <c r="H53" s="15">
        <v>16.759776536312799</v>
      </c>
      <c r="I53" s="15">
        <v>24.752475247524799</v>
      </c>
      <c r="J53" s="15">
        <v>40</v>
      </c>
      <c r="K53" s="15">
        <v>27.027027027027</v>
      </c>
      <c r="L53" s="15">
        <v>20.5607476635514</v>
      </c>
      <c r="M53" s="15">
        <v>44.047619047619101</v>
      </c>
      <c r="N53" s="15">
        <v>30.5555555555556</v>
      </c>
      <c r="O53" s="15">
        <v>23.387096774193498</v>
      </c>
      <c r="P53" s="15">
        <v>21.4876033057851</v>
      </c>
      <c r="Q53" s="15">
        <v>55.882352941176499</v>
      </c>
      <c r="R53" s="15">
        <v>44.680851063829799</v>
      </c>
      <c r="S53" s="15">
        <v>13.0434782608696</v>
      </c>
      <c r="T53" s="15">
        <v>34.883720930232599</v>
      </c>
      <c r="U53" s="15">
        <v>23.214285714285701</v>
      </c>
      <c r="V53" s="15">
        <v>28.947368421052602</v>
      </c>
      <c r="W53" s="15">
        <v>21.739130434782599</v>
      </c>
      <c r="X53" s="15">
        <v>36.036036036036002</v>
      </c>
      <c r="Y53" s="15">
        <v>27.272727272727298</v>
      </c>
      <c r="Z53" s="15">
        <v>20.689655172413801</v>
      </c>
      <c r="AA53" s="15">
        <v>19.565217391304301</v>
      </c>
      <c r="AB53" s="20" t="s">
        <v>80</v>
      </c>
      <c r="AC53" s="15">
        <v>30.952380952380999</v>
      </c>
      <c r="AD53" s="15">
        <v>19.565217391304301</v>
      </c>
      <c r="AE53" s="15">
        <v>33.3333333333333</v>
      </c>
      <c r="AF53" s="15">
        <v>27.272727272727298</v>
      </c>
      <c r="AG53" s="20" t="s">
        <v>80</v>
      </c>
      <c r="AH53" s="15">
        <v>27.9569892473118</v>
      </c>
      <c r="AI53" s="15">
        <v>35.714285714285701</v>
      </c>
      <c r="AJ53" s="32">
        <v>30.9936174519076</v>
      </c>
      <c r="AK53" s="15">
        <v>25.443786982248501</v>
      </c>
      <c r="AL53" s="15">
        <v>21.132897603485802</v>
      </c>
      <c r="AM53" s="15">
        <v>23.737373737373701</v>
      </c>
      <c r="AN53" s="15">
        <v>42.335766423357697</v>
      </c>
      <c r="AO53" s="15">
        <v>34.730538922155702</v>
      </c>
      <c r="AP53" s="15">
        <v>32.622601279317699</v>
      </c>
      <c r="AQ53" s="15">
        <v>41.176470588235297</v>
      </c>
      <c r="AR53" s="24">
        <v>41.212121212121197</v>
      </c>
      <c r="AS53" s="38"/>
    </row>
    <row r="54" spans="1:45">
      <c r="A54" s="9" t="s">
        <v>212</v>
      </c>
      <c r="B54" s="36">
        <v>34.868445137402603</v>
      </c>
      <c r="C54" s="32">
        <v>35.618591781025501</v>
      </c>
      <c r="D54" s="32">
        <v>37.1650219060556</v>
      </c>
      <c r="E54" s="32">
        <v>44.422373723570999</v>
      </c>
      <c r="F54" s="15">
        <v>54.901960784313701</v>
      </c>
      <c r="G54" s="15">
        <v>45.454545454545503</v>
      </c>
      <c r="H54" s="15">
        <v>24.022346368715102</v>
      </c>
      <c r="I54" s="15">
        <v>38.613861386138602</v>
      </c>
      <c r="J54" s="15">
        <v>58.571428571428598</v>
      </c>
      <c r="K54" s="15">
        <v>48.648648648648702</v>
      </c>
      <c r="L54" s="15">
        <v>34.5794392523364</v>
      </c>
      <c r="M54" s="15">
        <v>29.761904761904798</v>
      </c>
      <c r="N54" s="15">
        <v>59.0277777777778</v>
      </c>
      <c r="O54" s="15">
        <v>41.935483870967701</v>
      </c>
      <c r="P54" s="15">
        <v>35.537190082644599</v>
      </c>
      <c r="Q54" s="15">
        <v>76.470588235294102</v>
      </c>
      <c r="R54" s="15">
        <v>48.936170212766001</v>
      </c>
      <c r="S54" s="15">
        <v>34.7826086956522</v>
      </c>
      <c r="T54" s="15">
        <v>58.139534883720899</v>
      </c>
      <c r="U54" s="15">
        <v>44.642857142857103</v>
      </c>
      <c r="V54" s="15">
        <v>50</v>
      </c>
      <c r="W54" s="15">
        <v>54.347826086956502</v>
      </c>
      <c r="X54" s="15">
        <v>51.351351351351298</v>
      </c>
      <c r="Y54" s="15">
        <v>43.939393939393902</v>
      </c>
      <c r="Z54" s="15">
        <v>34.482758620689701</v>
      </c>
      <c r="AA54" s="15">
        <v>58.695652173912997</v>
      </c>
      <c r="AB54" s="15">
        <v>54.545454545454497</v>
      </c>
      <c r="AC54" s="15">
        <v>30.952380952380999</v>
      </c>
      <c r="AD54" s="15">
        <v>30.434782608695699</v>
      </c>
      <c r="AE54" s="15">
        <v>45.454545454545503</v>
      </c>
      <c r="AF54" s="15">
        <v>50</v>
      </c>
      <c r="AG54" s="15">
        <v>53.3333333333333</v>
      </c>
      <c r="AH54" s="15">
        <v>50.537634408602102</v>
      </c>
      <c r="AI54" s="15">
        <v>50</v>
      </c>
      <c r="AJ54" s="32">
        <v>30.815879226719101</v>
      </c>
      <c r="AK54" s="15">
        <v>32.396449704142</v>
      </c>
      <c r="AL54" s="15">
        <v>27.015250544662301</v>
      </c>
      <c r="AM54" s="15">
        <v>32.828282828282802</v>
      </c>
      <c r="AN54" s="15">
        <v>49.635036496350402</v>
      </c>
      <c r="AO54" s="15">
        <v>39.820359281437099</v>
      </c>
      <c r="AP54" s="15">
        <v>32.409381663113003</v>
      </c>
      <c r="AQ54" s="15">
        <v>33.823529411764703</v>
      </c>
      <c r="AR54" s="24">
        <v>40.909090909090899</v>
      </c>
      <c r="AS54" s="38"/>
    </row>
    <row r="55" spans="1:45">
      <c r="A55" s="9" t="s">
        <v>213</v>
      </c>
      <c r="B55" s="36">
        <v>3.5689012074615301</v>
      </c>
      <c r="C55" s="32">
        <v>4.1522782843226098</v>
      </c>
      <c r="D55" s="32">
        <v>4.6508676554433501</v>
      </c>
      <c r="E55" s="32">
        <v>5.9250795952727104</v>
      </c>
      <c r="F55" s="20" t="s">
        <v>80</v>
      </c>
      <c r="G55" s="20" t="s">
        <v>80</v>
      </c>
      <c r="H55" s="20" t="s">
        <v>80</v>
      </c>
      <c r="I55" s="20" t="s">
        <v>80</v>
      </c>
      <c r="J55" s="15">
        <v>10</v>
      </c>
      <c r="K55" s="20" t="s">
        <v>80</v>
      </c>
      <c r="L55" s="15">
        <v>4.6728971962616797</v>
      </c>
      <c r="M55" s="20" t="s">
        <v>80</v>
      </c>
      <c r="N55" s="15">
        <v>6.9444444444444402</v>
      </c>
      <c r="O55" s="15">
        <v>4.8387096774193497</v>
      </c>
      <c r="P55" s="20" t="s">
        <v>80</v>
      </c>
      <c r="Q55" s="20" t="s">
        <v>80</v>
      </c>
      <c r="R55" s="20" t="s">
        <v>80</v>
      </c>
      <c r="S55" s="20" t="s">
        <v>80</v>
      </c>
      <c r="T55" s="20" t="s">
        <v>80</v>
      </c>
      <c r="U55" s="15">
        <v>14.285714285714301</v>
      </c>
      <c r="V55" s="20" t="s">
        <v>80</v>
      </c>
      <c r="W55" s="15">
        <v>17.3913043478261</v>
      </c>
      <c r="X55" s="15">
        <v>10.8108108108108</v>
      </c>
      <c r="Y55" s="15">
        <v>9.0909090909090899</v>
      </c>
      <c r="Z55" s="20" t="s">
        <v>80</v>
      </c>
      <c r="AA55" s="20" t="s">
        <v>80</v>
      </c>
      <c r="AB55" s="20" t="s">
        <v>80</v>
      </c>
      <c r="AC55" s="20" t="s">
        <v>80</v>
      </c>
      <c r="AD55" s="20" t="s">
        <v>80</v>
      </c>
      <c r="AE55" s="20" t="s">
        <v>80</v>
      </c>
      <c r="AF55" s="20" t="s">
        <v>80</v>
      </c>
      <c r="AG55" s="20" t="s">
        <v>80</v>
      </c>
      <c r="AH55" s="15">
        <v>7.5268817204301097</v>
      </c>
      <c r="AI55" s="20" t="s">
        <v>80</v>
      </c>
      <c r="AJ55" s="32">
        <v>3.5361148347015599</v>
      </c>
      <c r="AK55" s="15">
        <v>1.33136094674556</v>
      </c>
      <c r="AL55" s="15">
        <v>2.8322440087145999</v>
      </c>
      <c r="AM55" s="15">
        <v>3.5353535353535399</v>
      </c>
      <c r="AN55" s="15">
        <v>4.3795620437956204</v>
      </c>
      <c r="AO55" s="15">
        <v>3.5928143712574898</v>
      </c>
      <c r="AP55" s="15">
        <v>3.62473347547974</v>
      </c>
      <c r="AQ55" s="15">
        <v>4.4117647058823497</v>
      </c>
      <c r="AR55" s="24">
        <v>5.1515151515151496</v>
      </c>
      <c r="AS55" s="38"/>
    </row>
    <row r="56" spans="1:45">
      <c r="A56" s="9" t="s">
        <v>214</v>
      </c>
      <c r="B56" s="36">
        <v>11.1633526049146</v>
      </c>
      <c r="C56" s="32">
        <v>11.5244078354708</v>
      </c>
      <c r="D56" s="32">
        <v>11.394801100801599</v>
      </c>
      <c r="E56" s="32">
        <v>11.758289586965899</v>
      </c>
      <c r="F56" s="20" t="s">
        <v>80</v>
      </c>
      <c r="G56" s="20" t="s">
        <v>80</v>
      </c>
      <c r="H56" s="15">
        <v>4.4692737430167604</v>
      </c>
      <c r="I56" s="15">
        <v>10.891089108910901</v>
      </c>
      <c r="J56" s="15">
        <v>14.285714285714301</v>
      </c>
      <c r="K56" s="20" t="s">
        <v>80</v>
      </c>
      <c r="L56" s="15">
        <v>12.1495327102804</v>
      </c>
      <c r="M56" s="15">
        <v>15.476190476190499</v>
      </c>
      <c r="N56" s="15">
        <v>12.5</v>
      </c>
      <c r="O56" s="15">
        <v>12.0967741935484</v>
      </c>
      <c r="P56" s="15">
        <v>12.396694214876</v>
      </c>
      <c r="Q56" s="15">
        <v>23.529411764705898</v>
      </c>
      <c r="R56" s="15">
        <v>14.893617021276601</v>
      </c>
      <c r="S56" s="15">
        <v>17.3913043478261</v>
      </c>
      <c r="T56" s="20" t="s">
        <v>80</v>
      </c>
      <c r="U56" s="20" t="s">
        <v>80</v>
      </c>
      <c r="V56" s="15">
        <v>21.052631578947398</v>
      </c>
      <c r="W56" s="20" t="s">
        <v>80</v>
      </c>
      <c r="X56" s="15">
        <v>18.918918918918902</v>
      </c>
      <c r="Y56" s="15">
        <v>15.1515151515152</v>
      </c>
      <c r="Z56" s="20" t="s">
        <v>80</v>
      </c>
      <c r="AA56" s="20" t="s">
        <v>80</v>
      </c>
      <c r="AB56" s="20" t="s">
        <v>80</v>
      </c>
      <c r="AC56" s="20" t="s">
        <v>80</v>
      </c>
      <c r="AD56" s="20" t="s">
        <v>80</v>
      </c>
      <c r="AE56" s="20" t="s">
        <v>80</v>
      </c>
      <c r="AF56" s="15">
        <v>22.727272727272702</v>
      </c>
      <c r="AG56" s="20" t="s">
        <v>80</v>
      </c>
      <c r="AH56" s="15">
        <v>12.9032258064516</v>
      </c>
      <c r="AI56" s="15">
        <v>14.285714285714301</v>
      </c>
      <c r="AJ56" s="32">
        <v>11.076800772447299</v>
      </c>
      <c r="AK56" s="15">
        <v>10.6508875739645</v>
      </c>
      <c r="AL56" s="15">
        <v>5.4466230936819198</v>
      </c>
      <c r="AM56" s="15">
        <v>8.5858585858585901</v>
      </c>
      <c r="AN56" s="15">
        <v>25.5474452554745</v>
      </c>
      <c r="AO56" s="15">
        <v>17.365269461077801</v>
      </c>
      <c r="AP56" s="15">
        <v>8.9552238805970106</v>
      </c>
      <c r="AQ56" s="15">
        <v>13.9705882352941</v>
      </c>
      <c r="AR56" s="24">
        <v>17.575757575757599</v>
      </c>
      <c r="AS56" s="38"/>
    </row>
    <row r="57" spans="1:45">
      <c r="A57" s="9" t="s">
        <v>215</v>
      </c>
      <c r="B57" s="36">
        <v>8.3599539746611295</v>
      </c>
      <c r="C57" s="32">
        <v>8.0858186791219904</v>
      </c>
      <c r="D57" s="32">
        <v>8.8800884989205695</v>
      </c>
      <c r="E57" s="32">
        <v>12.001351164734199</v>
      </c>
      <c r="F57" s="15">
        <v>13.7254901960784</v>
      </c>
      <c r="G57" s="15">
        <v>22.727272727272702</v>
      </c>
      <c r="H57" s="15">
        <v>5.0279329608938497</v>
      </c>
      <c r="I57" s="15">
        <v>6.9306930693069297</v>
      </c>
      <c r="J57" s="15">
        <v>7.1428571428571397</v>
      </c>
      <c r="K57" s="20" t="s">
        <v>80</v>
      </c>
      <c r="L57" s="15">
        <v>7.4766355140186898</v>
      </c>
      <c r="M57" s="15">
        <v>8.3333333333333304</v>
      </c>
      <c r="N57" s="15">
        <v>20.1388888888889</v>
      </c>
      <c r="O57" s="15">
        <v>12.0967741935484</v>
      </c>
      <c r="P57" s="15">
        <v>11.5702479338843</v>
      </c>
      <c r="Q57" s="15">
        <v>20.588235294117599</v>
      </c>
      <c r="R57" s="15">
        <v>12.7659574468085</v>
      </c>
      <c r="S57" s="20" t="s">
        <v>80</v>
      </c>
      <c r="T57" s="20" t="s">
        <v>80</v>
      </c>
      <c r="U57" s="15">
        <v>21.428571428571399</v>
      </c>
      <c r="V57" s="15">
        <v>21.052631578947398</v>
      </c>
      <c r="W57" s="15">
        <v>15.2173913043478</v>
      </c>
      <c r="X57" s="15">
        <v>18.018018018018001</v>
      </c>
      <c r="Y57" s="15">
        <v>5.3030303030303001</v>
      </c>
      <c r="Z57" s="20" t="s">
        <v>80</v>
      </c>
      <c r="AA57" s="15">
        <v>17.3913043478261</v>
      </c>
      <c r="AB57" s="20" t="s">
        <v>80</v>
      </c>
      <c r="AC57" s="20" t="s">
        <v>80</v>
      </c>
      <c r="AD57" s="20" t="s">
        <v>80</v>
      </c>
      <c r="AE57" s="20" t="s">
        <v>80</v>
      </c>
      <c r="AF57" s="15">
        <v>13.636363636363599</v>
      </c>
      <c r="AG57" s="20" t="s">
        <v>80</v>
      </c>
      <c r="AH57" s="15">
        <v>11.8279569892473</v>
      </c>
      <c r="AI57" s="15">
        <v>21.428571428571399</v>
      </c>
      <c r="AJ57" s="32">
        <v>6.1494310217525703</v>
      </c>
      <c r="AK57" s="15">
        <v>3.55029585798817</v>
      </c>
      <c r="AL57" s="15">
        <v>8.0610021786492396</v>
      </c>
      <c r="AM57" s="15">
        <v>4.5454545454545503</v>
      </c>
      <c r="AN57" s="15">
        <v>4.3795620437956204</v>
      </c>
      <c r="AO57" s="15">
        <v>12.5748502994012</v>
      </c>
      <c r="AP57" s="15">
        <v>6.3965884861407201</v>
      </c>
      <c r="AQ57" s="15">
        <v>8.0882352941176503</v>
      </c>
      <c r="AR57" s="24">
        <v>8.7878787878787907</v>
      </c>
      <c r="AS57" s="38"/>
    </row>
    <row r="58" spans="1:45">
      <c r="A58" s="9" t="s">
        <v>216</v>
      </c>
      <c r="B58" s="36">
        <v>21.319007625702099</v>
      </c>
      <c r="C58" s="32">
        <v>21.6085134141785</v>
      </c>
      <c r="D58" s="32">
        <v>21.730457410230201</v>
      </c>
      <c r="E58" s="32">
        <v>17.228422211022501</v>
      </c>
      <c r="F58" s="15">
        <v>17.647058823529399</v>
      </c>
      <c r="G58" s="20" t="s">
        <v>80</v>
      </c>
      <c r="H58" s="15">
        <v>6.7039106145251397</v>
      </c>
      <c r="I58" s="15">
        <v>9.9009900990098991</v>
      </c>
      <c r="J58" s="15">
        <v>18.571428571428601</v>
      </c>
      <c r="K58" s="15">
        <v>16.2162162162162</v>
      </c>
      <c r="L58" s="15">
        <v>14.018691588785</v>
      </c>
      <c r="M58" s="15">
        <v>16.6666666666667</v>
      </c>
      <c r="N58" s="15">
        <v>22.9166666666667</v>
      </c>
      <c r="O58" s="15">
        <v>21.7741935483871</v>
      </c>
      <c r="P58" s="15">
        <v>8.2644628099173598</v>
      </c>
      <c r="Q58" s="15">
        <v>26.470588235294102</v>
      </c>
      <c r="R58" s="15">
        <v>19.148936170212799</v>
      </c>
      <c r="S58" s="15">
        <v>28.260869565217401</v>
      </c>
      <c r="T58" s="15">
        <v>11.6279069767442</v>
      </c>
      <c r="U58" s="15">
        <v>23.214285714285701</v>
      </c>
      <c r="V58" s="15">
        <v>21.052631578947398</v>
      </c>
      <c r="W58" s="15">
        <v>15.2173913043478</v>
      </c>
      <c r="X58" s="15">
        <v>16.2162162162162</v>
      </c>
      <c r="Y58" s="15">
        <v>13.636363636363599</v>
      </c>
      <c r="Z58" s="15">
        <v>34.482758620689701</v>
      </c>
      <c r="AA58" s="15">
        <v>21.739130434782599</v>
      </c>
      <c r="AB58" s="20" t="s">
        <v>80</v>
      </c>
      <c r="AC58" s="20" t="s">
        <v>80</v>
      </c>
      <c r="AD58" s="15">
        <v>10.869565217391299</v>
      </c>
      <c r="AE58" s="15">
        <v>18.181818181818201</v>
      </c>
      <c r="AF58" s="15">
        <v>25</v>
      </c>
      <c r="AG58" s="20" t="s">
        <v>80</v>
      </c>
      <c r="AH58" s="15">
        <v>12.9032258064516</v>
      </c>
      <c r="AI58" s="15">
        <v>28.571428571428601</v>
      </c>
      <c r="AJ58" s="32">
        <v>25.669092954696801</v>
      </c>
      <c r="AK58" s="15">
        <v>19.526627218934902</v>
      </c>
      <c r="AL58" s="15">
        <v>27.233115468409601</v>
      </c>
      <c r="AM58" s="15">
        <v>24.747474747474701</v>
      </c>
      <c r="AN58" s="15">
        <v>29.927007299270102</v>
      </c>
      <c r="AO58" s="15">
        <v>26.047904191616801</v>
      </c>
      <c r="AP58" s="15">
        <v>19.189765458422201</v>
      </c>
      <c r="AQ58" s="15">
        <v>20.588235294117599</v>
      </c>
      <c r="AR58" s="24">
        <v>31.515151515151501</v>
      </c>
      <c r="AS58" s="38"/>
    </row>
    <row r="59" spans="1:45">
      <c r="A59" s="9" t="s">
        <v>217</v>
      </c>
      <c r="B59" s="36">
        <v>0.91962243689408996</v>
      </c>
      <c r="C59" s="32">
        <v>0.79352090864034797</v>
      </c>
      <c r="D59" s="32">
        <v>1.4953876244736599</v>
      </c>
      <c r="E59" s="32">
        <v>1.0820000508893</v>
      </c>
      <c r="F59" s="20" t="s">
        <v>80</v>
      </c>
      <c r="G59" s="20" t="s">
        <v>80</v>
      </c>
      <c r="H59" s="20" t="s">
        <v>80</v>
      </c>
      <c r="I59" s="20" t="s">
        <v>80</v>
      </c>
      <c r="J59" s="20" t="s">
        <v>80</v>
      </c>
      <c r="K59" s="20" t="s">
        <v>80</v>
      </c>
      <c r="L59" s="20" t="s">
        <v>80</v>
      </c>
      <c r="M59" s="20" t="s">
        <v>80</v>
      </c>
      <c r="N59" s="20" t="s">
        <v>80</v>
      </c>
      <c r="O59" s="20" t="s">
        <v>80</v>
      </c>
      <c r="P59" s="20" t="s">
        <v>80</v>
      </c>
      <c r="Q59" s="20" t="s">
        <v>80</v>
      </c>
      <c r="R59" s="20" t="s">
        <v>80</v>
      </c>
      <c r="S59" s="20" t="s">
        <v>80</v>
      </c>
      <c r="T59" s="20" t="s">
        <v>80</v>
      </c>
      <c r="U59" s="20" t="s">
        <v>80</v>
      </c>
      <c r="V59" s="20" t="s">
        <v>80</v>
      </c>
      <c r="W59" s="20" t="s">
        <v>80</v>
      </c>
      <c r="X59" s="20" t="s">
        <v>80</v>
      </c>
      <c r="Y59" s="20" t="s">
        <v>80</v>
      </c>
      <c r="Z59" s="20" t="s">
        <v>80</v>
      </c>
      <c r="AA59" s="20" t="s">
        <v>80</v>
      </c>
      <c r="AB59" s="20" t="s">
        <v>80</v>
      </c>
      <c r="AC59" s="20" t="s">
        <v>80</v>
      </c>
      <c r="AD59" s="20" t="s">
        <v>80</v>
      </c>
      <c r="AE59" s="20" t="s">
        <v>80</v>
      </c>
      <c r="AF59" s="20" t="s">
        <v>80</v>
      </c>
      <c r="AG59" s="20" t="s">
        <v>80</v>
      </c>
      <c r="AH59" s="20" t="s">
        <v>80</v>
      </c>
      <c r="AI59" s="20" t="s">
        <v>80</v>
      </c>
      <c r="AJ59" s="32">
        <v>1.8570425025267501</v>
      </c>
      <c r="AK59" s="15">
        <v>1.33136094674556</v>
      </c>
      <c r="AL59" s="15">
        <v>1.9607843137254899</v>
      </c>
      <c r="AM59" s="20" t="s">
        <v>80</v>
      </c>
      <c r="AN59" s="20" t="s">
        <v>80</v>
      </c>
      <c r="AO59" s="15">
        <v>3.2934131736526902</v>
      </c>
      <c r="AP59" s="15">
        <v>1.4925373134328399</v>
      </c>
      <c r="AQ59" s="20" t="s">
        <v>80</v>
      </c>
      <c r="AR59" s="26" t="s">
        <v>80</v>
      </c>
      <c r="AS59" s="38"/>
    </row>
    <row r="60" spans="1:45">
      <c r="A60" s="9" t="s">
        <v>218</v>
      </c>
      <c r="B60" s="36">
        <v>0.72473827454916795</v>
      </c>
      <c r="C60" s="32">
        <v>0.70640973163565601</v>
      </c>
      <c r="D60" s="32">
        <v>0.75830054898875499</v>
      </c>
      <c r="E60" s="34" t="s">
        <v>80</v>
      </c>
      <c r="F60" s="20" t="s">
        <v>80</v>
      </c>
      <c r="G60" s="20" t="s">
        <v>80</v>
      </c>
      <c r="H60" s="20" t="s">
        <v>80</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20" t="s">
        <v>80</v>
      </c>
      <c r="X60" s="20" t="s">
        <v>80</v>
      </c>
      <c r="Y60" s="20" t="s">
        <v>80</v>
      </c>
      <c r="Z60" s="20" t="s">
        <v>80</v>
      </c>
      <c r="AA60" s="20" t="s">
        <v>80</v>
      </c>
      <c r="AB60" s="20" t="s">
        <v>80</v>
      </c>
      <c r="AC60" s="20" t="s">
        <v>80</v>
      </c>
      <c r="AD60" s="20" t="s">
        <v>80</v>
      </c>
      <c r="AE60" s="20" t="s">
        <v>80</v>
      </c>
      <c r="AF60" s="20" t="s">
        <v>80</v>
      </c>
      <c r="AG60" s="20" t="s">
        <v>80</v>
      </c>
      <c r="AH60" s="20" t="s">
        <v>80</v>
      </c>
      <c r="AI60" s="20" t="s">
        <v>80</v>
      </c>
      <c r="AJ60" s="34" t="s">
        <v>80</v>
      </c>
      <c r="AK60" s="15">
        <v>1.0355029585798801</v>
      </c>
      <c r="AL60" s="15">
        <v>1.0893246187363801</v>
      </c>
      <c r="AM60" s="20" t="s">
        <v>80</v>
      </c>
      <c r="AN60" s="20" t="s">
        <v>80</v>
      </c>
      <c r="AO60" s="15">
        <v>1.4970059880239499</v>
      </c>
      <c r="AP60" s="20" t="s">
        <v>80</v>
      </c>
      <c r="AQ60" s="20" t="s">
        <v>80</v>
      </c>
      <c r="AR60" s="26" t="s">
        <v>80</v>
      </c>
      <c r="AS60" s="38"/>
    </row>
    <row r="61" spans="1:45">
      <c r="A61" s="9" t="s">
        <v>219</v>
      </c>
      <c r="B61" s="36">
        <v>0.86956875352714702</v>
      </c>
      <c r="C61" s="32">
        <v>0.84480060345720098</v>
      </c>
      <c r="D61" s="32">
        <v>1.10985039646711</v>
      </c>
      <c r="E61" s="34" t="s">
        <v>80</v>
      </c>
      <c r="F61" s="20" t="s">
        <v>80</v>
      </c>
      <c r="G61" s="20" t="s">
        <v>80</v>
      </c>
      <c r="H61" s="20" t="s">
        <v>80</v>
      </c>
      <c r="I61" s="20" t="s">
        <v>80</v>
      </c>
      <c r="J61" s="20" t="s">
        <v>80</v>
      </c>
      <c r="K61" s="20" t="s">
        <v>80</v>
      </c>
      <c r="L61" s="20" t="s">
        <v>80</v>
      </c>
      <c r="M61" s="20" t="s">
        <v>80</v>
      </c>
      <c r="N61" s="20" t="s">
        <v>80</v>
      </c>
      <c r="O61" s="20" t="s">
        <v>80</v>
      </c>
      <c r="P61" s="20" t="s">
        <v>80</v>
      </c>
      <c r="Q61" s="20" t="s">
        <v>80</v>
      </c>
      <c r="R61" s="20" t="s">
        <v>80</v>
      </c>
      <c r="S61" s="20" t="s">
        <v>80</v>
      </c>
      <c r="T61" s="20" t="s">
        <v>80</v>
      </c>
      <c r="U61" s="20" t="s">
        <v>80</v>
      </c>
      <c r="V61" s="20" t="s">
        <v>80</v>
      </c>
      <c r="W61" s="20" t="s">
        <v>80</v>
      </c>
      <c r="X61" s="20" t="s">
        <v>80</v>
      </c>
      <c r="Y61" s="20" t="s">
        <v>80</v>
      </c>
      <c r="Z61" s="20" t="s">
        <v>80</v>
      </c>
      <c r="AA61" s="20" t="s">
        <v>80</v>
      </c>
      <c r="AB61" s="20" t="s">
        <v>80</v>
      </c>
      <c r="AC61" s="20" t="s">
        <v>80</v>
      </c>
      <c r="AD61" s="20" t="s">
        <v>80</v>
      </c>
      <c r="AE61" s="20" t="s">
        <v>80</v>
      </c>
      <c r="AF61" s="20" t="s">
        <v>80</v>
      </c>
      <c r="AG61" s="20" t="s">
        <v>80</v>
      </c>
      <c r="AH61" s="20" t="s">
        <v>80</v>
      </c>
      <c r="AI61" s="20" t="s">
        <v>80</v>
      </c>
      <c r="AJ61" s="34" t="s">
        <v>80</v>
      </c>
      <c r="AK61" s="20" t="s">
        <v>80</v>
      </c>
      <c r="AL61" s="20" t="s">
        <v>80</v>
      </c>
      <c r="AM61" s="20" t="s">
        <v>80</v>
      </c>
      <c r="AN61" s="20" t="s">
        <v>80</v>
      </c>
      <c r="AO61" s="15">
        <v>1.4970059880239499</v>
      </c>
      <c r="AP61" s="15">
        <v>1.4925373134328399</v>
      </c>
      <c r="AQ61" s="20" t="s">
        <v>80</v>
      </c>
      <c r="AR61" s="26" t="s">
        <v>80</v>
      </c>
      <c r="AS61" s="38"/>
    </row>
    <row r="62" spans="1:45">
      <c r="A62" s="9" t="s">
        <v>220</v>
      </c>
      <c r="B62" s="36">
        <v>2.1777165099011602</v>
      </c>
      <c r="C62" s="32">
        <v>2.1938126156864</v>
      </c>
      <c r="D62" s="32">
        <v>2.69863642049271</v>
      </c>
      <c r="E62" s="32">
        <v>3.02207129250472</v>
      </c>
      <c r="F62" s="20" t="s">
        <v>80</v>
      </c>
      <c r="G62" s="20" t="s">
        <v>80</v>
      </c>
      <c r="H62" s="15">
        <v>3.3519553072625698</v>
      </c>
      <c r="I62" s="20" t="s">
        <v>80</v>
      </c>
      <c r="J62" s="20" t="s">
        <v>80</v>
      </c>
      <c r="K62" s="20" t="s">
        <v>80</v>
      </c>
      <c r="L62" s="20" t="s">
        <v>80</v>
      </c>
      <c r="M62" s="20" t="s">
        <v>80</v>
      </c>
      <c r="N62" s="15">
        <v>3.4722222222222201</v>
      </c>
      <c r="O62" s="15">
        <v>7.2580645161290303</v>
      </c>
      <c r="P62" s="20" t="s">
        <v>80</v>
      </c>
      <c r="Q62" s="20" t="s">
        <v>80</v>
      </c>
      <c r="R62" s="20" t="s">
        <v>80</v>
      </c>
      <c r="S62" s="20" t="s">
        <v>80</v>
      </c>
      <c r="T62" s="20" t="s">
        <v>80</v>
      </c>
      <c r="U62" s="20" t="s">
        <v>80</v>
      </c>
      <c r="V62" s="20" t="s">
        <v>80</v>
      </c>
      <c r="W62" s="20" t="s">
        <v>80</v>
      </c>
      <c r="X62" s="20" t="s">
        <v>80</v>
      </c>
      <c r="Y62" s="20" t="s">
        <v>80</v>
      </c>
      <c r="Z62" s="20" t="s">
        <v>80</v>
      </c>
      <c r="AA62" s="20" t="s">
        <v>80</v>
      </c>
      <c r="AB62" s="20" t="s">
        <v>80</v>
      </c>
      <c r="AC62" s="20" t="s">
        <v>80</v>
      </c>
      <c r="AD62" s="20" t="s">
        <v>80</v>
      </c>
      <c r="AE62" s="20" t="s">
        <v>80</v>
      </c>
      <c r="AF62" s="20" t="s">
        <v>80</v>
      </c>
      <c r="AG62" s="20" t="s">
        <v>80</v>
      </c>
      <c r="AH62" s="15">
        <v>5.3763440860215104</v>
      </c>
      <c r="AI62" s="20" t="s">
        <v>80</v>
      </c>
      <c r="AJ62" s="32">
        <v>2.4156772638315802</v>
      </c>
      <c r="AK62" s="15">
        <v>1.62721893491124</v>
      </c>
      <c r="AL62" s="15">
        <v>3.7037037037037002</v>
      </c>
      <c r="AM62" s="20" t="s">
        <v>80</v>
      </c>
      <c r="AN62" s="15">
        <v>5.10948905109489</v>
      </c>
      <c r="AO62" s="15">
        <v>2.39520958083832</v>
      </c>
      <c r="AP62" s="15">
        <v>2.7718550106609801</v>
      </c>
      <c r="AQ62" s="20" t="s">
        <v>80</v>
      </c>
      <c r="AR62" s="24">
        <v>2.4242424242424199</v>
      </c>
      <c r="AS62" s="38"/>
    </row>
    <row r="63" spans="1:45">
      <c r="A63" s="9" t="s">
        <v>221</v>
      </c>
      <c r="B63" s="36">
        <v>8.8355592958438702</v>
      </c>
      <c r="C63" s="32">
        <v>8.1052818555327306</v>
      </c>
      <c r="D63" s="32">
        <v>9.9969140293072005</v>
      </c>
      <c r="E63" s="32">
        <v>12.488167517790901</v>
      </c>
      <c r="F63" s="15">
        <v>15.6862745098039</v>
      </c>
      <c r="G63" s="20" t="s">
        <v>80</v>
      </c>
      <c r="H63" s="15">
        <v>7.2625698324022299</v>
      </c>
      <c r="I63" s="15">
        <v>10.891089108910901</v>
      </c>
      <c r="J63" s="15">
        <v>14.285714285714301</v>
      </c>
      <c r="K63" s="20" t="s">
        <v>80</v>
      </c>
      <c r="L63" s="15">
        <v>15.887850467289701</v>
      </c>
      <c r="M63" s="20" t="s">
        <v>80</v>
      </c>
      <c r="N63" s="15">
        <v>18.0555555555556</v>
      </c>
      <c r="O63" s="15">
        <v>12.9032258064516</v>
      </c>
      <c r="P63" s="15">
        <v>6.61157024793388</v>
      </c>
      <c r="Q63" s="20" t="s">
        <v>80</v>
      </c>
      <c r="R63" s="15">
        <v>10.6382978723404</v>
      </c>
      <c r="S63" s="20" t="s">
        <v>80</v>
      </c>
      <c r="T63" s="15">
        <v>23.255813953488399</v>
      </c>
      <c r="U63" s="15">
        <v>17.8571428571429</v>
      </c>
      <c r="V63" s="15">
        <v>18.421052631578899</v>
      </c>
      <c r="W63" s="15">
        <v>10.869565217391299</v>
      </c>
      <c r="X63" s="15">
        <v>16.2162162162162</v>
      </c>
      <c r="Y63" s="15">
        <v>12.8787878787879</v>
      </c>
      <c r="Z63" s="20" t="s">
        <v>80</v>
      </c>
      <c r="AA63" s="15">
        <v>19.565217391304301</v>
      </c>
      <c r="AB63" s="20" t="s">
        <v>80</v>
      </c>
      <c r="AC63" s="20" t="s">
        <v>80</v>
      </c>
      <c r="AD63" s="20" t="s">
        <v>80</v>
      </c>
      <c r="AE63" s="20" t="s">
        <v>80</v>
      </c>
      <c r="AF63" s="15">
        <v>11.363636363636401</v>
      </c>
      <c r="AG63" s="20" t="s">
        <v>80</v>
      </c>
      <c r="AH63" s="15">
        <v>21.505376344085999</v>
      </c>
      <c r="AI63" s="15">
        <v>12.5</v>
      </c>
      <c r="AJ63" s="32">
        <v>7.8174242861472303</v>
      </c>
      <c r="AK63" s="15">
        <v>7.3964497041420101</v>
      </c>
      <c r="AL63" s="15">
        <v>6.5359477124182996</v>
      </c>
      <c r="AM63" s="15">
        <v>7.0707070707070701</v>
      </c>
      <c r="AN63" s="15">
        <v>13.868613138686101</v>
      </c>
      <c r="AO63" s="15">
        <v>10.4790419161677</v>
      </c>
      <c r="AP63" s="15">
        <v>7.8891257995735602</v>
      </c>
      <c r="AQ63" s="15">
        <v>8.0882352941176503</v>
      </c>
      <c r="AR63" s="24">
        <v>11.818181818181801</v>
      </c>
      <c r="AS63" s="38"/>
    </row>
    <row r="64" spans="1:45">
      <c r="A64" s="11" t="s">
        <v>222</v>
      </c>
      <c r="B64" s="37">
        <v>6.3421657944426597</v>
      </c>
      <c r="C64" s="33">
        <v>5.76723808286257</v>
      </c>
      <c r="D64" s="33">
        <v>7.3686893707583199</v>
      </c>
      <c r="E64" s="33">
        <v>8.9830419059669602</v>
      </c>
      <c r="F64" s="16">
        <v>15.6862745098039</v>
      </c>
      <c r="G64" s="16">
        <v>22.727272727272702</v>
      </c>
      <c r="H64" s="16">
        <v>6.7039106145251397</v>
      </c>
      <c r="I64" s="16">
        <v>10.891089108910901</v>
      </c>
      <c r="J64" s="16">
        <v>8.5714285714285694</v>
      </c>
      <c r="K64" s="28" t="s">
        <v>80</v>
      </c>
      <c r="L64" s="16">
        <v>11.214953271028</v>
      </c>
      <c r="M64" s="28" t="s">
        <v>80</v>
      </c>
      <c r="N64" s="16">
        <v>6.9444444444444402</v>
      </c>
      <c r="O64" s="16">
        <v>10.4838709677419</v>
      </c>
      <c r="P64" s="16">
        <v>9.0909090909090899</v>
      </c>
      <c r="Q64" s="28" t="s">
        <v>80</v>
      </c>
      <c r="R64" s="16">
        <v>10.6382978723404</v>
      </c>
      <c r="S64" s="28" t="s">
        <v>80</v>
      </c>
      <c r="T64" s="16">
        <v>16.2790697674419</v>
      </c>
      <c r="U64" s="16">
        <v>14.285714285714301</v>
      </c>
      <c r="V64" s="28" t="s">
        <v>80</v>
      </c>
      <c r="W64" s="28" t="s">
        <v>80</v>
      </c>
      <c r="X64" s="16">
        <v>8.1081081081081106</v>
      </c>
      <c r="Y64" s="16">
        <v>9.8484848484848495</v>
      </c>
      <c r="Z64" s="28" t="s">
        <v>80</v>
      </c>
      <c r="AA64" s="16">
        <v>23.913043478260899</v>
      </c>
      <c r="AB64" s="28" t="s">
        <v>80</v>
      </c>
      <c r="AC64" s="28" t="s">
        <v>80</v>
      </c>
      <c r="AD64" s="28" t="s">
        <v>80</v>
      </c>
      <c r="AE64" s="28" t="s">
        <v>80</v>
      </c>
      <c r="AF64" s="28" t="s">
        <v>80</v>
      </c>
      <c r="AG64" s="28" t="s">
        <v>80</v>
      </c>
      <c r="AH64" s="16">
        <v>11.8279569892473</v>
      </c>
      <c r="AI64" s="28" t="s">
        <v>80</v>
      </c>
      <c r="AJ64" s="33">
        <v>5.9563622797592499</v>
      </c>
      <c r="AK64" s="16">
        <v>5.4733727810650903</v>
      </c>
      <c r="AL64" s="16">
        <v>3.2679738562091498</v>
      </c>
      <c r="AM64" s="16">
        <v>6.5656565656565702</v>
      </c>
      <c r="AN64" s="16">
        <v>4.3795620437956204</v>
      </c>
      <c r="AO64" s="16">
        <v>5.9880239520958103</v>
      </c>
      <c r="AP64" s="16">
        <v>6.6098081023454096</v>
      </c>
      <c r="AQ64" s="16">
        <v>11.0294117647059</v>
      </c>
      <c r="AR64" s="25">
        <v>9.3939393939393891</v>
      </c>
      <c r="AS64" s="38"/>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1"/>
  <sheetViews>
    <sheetView zoomScale="70" workbookViewId="0"/>
  </sheetViews>
  <sheetFormatPr defaultColWidth="10.90625" defaultRowHeight="15"/>
  <cols>
    <col min="1" max="1" width="51.6796875" customWidth="1"/>
    <col min="2" max="4" width="15.90625" customWidth="1"/>
  </cols>
  <sheetData>
    <row r="1" spans="1:4" ht="39.9" customHeight="1">
      <c r="A1" s="10" t="s">
        <v>233</v>
      </c>
      <c r="B1" s="12"/>
      <c r="C1" s="12"/>
      <c r="D1" s="12"/>
    </row>
    <row r="2" spans="1:4" ht="45">
      <c r="A2" s="7" t="s">
        <v>2</v>
      </c>
      <c r="B2" s="6" t="s">
        <v>18</v>
      </c>
      <c r="C2" s="6" t="s">
        <v>19</v>
      </c>
      <c r="D2" s="8" t="s">
        <v>20</v>
      </c>
    </row>
    <row r="3" spans="1:4">
      <c r="A3" s="9" t="s">
        <v>161</v>
      </c>
      <c r="B3" s="15">
        <v>27.056929946654002</v>
      </c>
      <c r="C3" s="15">
        <v>28.193574068258702</v>
      </c>
      <c r="D3" s="24">
        <v>29.494842361512799</v>
      </c>
    </row>
    <row r="4" spans="1:4">
      <c r="A4" s="9" t="s">
        <v>162</v>
      </c>
      <c r="B4" s="15">
        <v>25.386993657984199</v>
      </c>
      <c r="C4" s="15">
        <v>27.6559652762841</v>
      </c>
      <c r="D4" s="24">
        <v>28.40773606586</v>
      </c>
    </row>
    <row r="5" spans="1:4">
      <c r="A5" s="9" t="s">
        <v>163</v>
      </c>
      <c r="B5" s="15">
        <v>29.349808047507999</v>
      </c>
      <c r="C5" s="15">
        <v>31.739504092457</v>
      </c>
      <c r="D5" s="24">
        <v>28.7459964953648</v>
      </c>
    </row>
    <row r="6" spans="1:4">
      <c r="A6" s="9" t="s">
        <v>164</v>
      </c>
      <c r="B6" s="15">
        <v>51.889680881634099</v>
      </c>
      <c r="C6" s="15">
        <v>53.369364422069403</v>
      </c>
      <c r="D6" s="24">
        <v>50.5245617610856</v>
      </c>
    </row>
    <row r="7" spans="1:4">
      <c r="A7" s="9" t="s">
        <v>165</v>
      </c>
      <c r="B7" s="15">
        <v>27.59821250884</v>
      </c>
      <c r="C7" s="15">
        <v>28.799771107730599</v>
      </c>
      <c r="D7" s="24">
        <v>24.876025560395899</v>
      </c>
    </row>
    <row r="8" spans="1:4">
      <c r="A8" s="9" t="s">
        <v>166</v>
      </c>
      <c r="B8" s="15">
        <v>6.7444458998973102</v>
      </c>
      <c r="C8" s="15">
        <v>4.15057941927365</v>
      </c>
      <c r="D8" s="26" t="s">
        <v>80</v>
      </c>
    </row>
    <row r="9" spans="1:4">
      <c r="A9" s="9" t="s">
        <v>167</v>
      </c>
      <c r="B9" s="15">
        <v>19.715618735041001</v>
      </c>
      <c r="C9" s="15">
        <v>21.0242877885605</v>
      </c>
      <c r="D9" s="24">
        <v>19.2492048229288</v>
      </c>
    </row>
    <row r="10" spans="1:4">
      <c r="A10" s="9" t="s">
        <v>168</v>
      </c>
      <c r="B10" s="15">
        <v>25.656217669345899</v>
      </c>
      <c r="C10" s="15">
        <v>26.772368092507101</v>
      </c>
      <c r="D10" s="24">
        <v>26.382763551889902</v>
      </c>
    </row>
    <row r="11" spans="1:4">
      <c r="A11" s="9" t="s">
        <v>169</v>
      </c>
      <c r="B11" s="15">
        <v>21.3966841857426</v>
      </c>
      <c r="C11" s="15">
        <v>21.064612318555799</v>
      </c>
      <c r="D11" s="24">
        <v>29.8378325938926</v>
      </c>
    </row>
    <row r="12" spans="1:4">
      <c r="A12" s="9" t="s">
        <v>170</v>
      </c>
      <c r="B12" s="15">
        <v>11.745171955928701</v>
      </c>
      <c r="C12" s="15">
        <v>10.7559583521147</v>
      </c>
      <c r="D12" s="26" t="s">
        <v>80</v>
      </c>
    </row>
    <row r="13" spans="1:4">
      <c r="A13" s="9" t="s">
        <v>171</v>
      </c>
      <c r="B13" s="15">
        <v>8.3928775978513599</v>
      </c>
      <c r="C13" s="15">
        <v>7.4005216088877397</v>
      </c>
      <c r="D13" s="26" t="s">
        <v>80</v>
      </c>
    </row>
    <row r="14" spans="1:4">
      <c r="A14" s="9" t="s">
        <v>172</v>
      </c>
      <c r="B14" s="15">
        <v>32.209450681087802</v>
      </c>
      <c r="C14" s="15">
        <v>33.598914106183102</v>
      </c>
      <c r="D14" s="24">
        <v>31.9976608040785</v>
      </c>
    </row>
    <row r="15" spans="1:4">
      <c r="A15" s="9" t="s">
        <v>173</v>
      </c>
      <c r="B15" s="15">
        <v>33.060833578443699</v>
      </c>
      <c r="C15" s="15">
        <v>37.306736102665504</v>
      </c>
      <c r="D15" s="24">
        <v>44.617269521532798</v>
      </c>
    </row>
    <row r="16" spans="1:4">
      <c r="A16" s="9" t="s">
        <v>174</v>
      </c>
      <c r="B16" s="15">
        <v>4.7875002756359901</v>
      </c>
      <c r="C16" s="15">
        <v>5.3504366810388504</v>
      </c>
      <c r="D16" s="26" t="s">
        <v>80</v>
      </c>
    </row>
    <row r="17" spans="1:4">
      <c r="A17" s="9" t="s">
        <v>175</v>
      </c>
      <c r="B17" s="15">
        <v>54.213227440376599</v>
      </c>
      <c r="C17" s="15">
        <v>58.581400985369399</v>
      </c>
      <c r="D17" s="24">
        <v>66.075801856541403</v>
      </c>
    </row>
    <row r="18" spans="1:4">
      <c r="A18" s="9" t="s">
        <v>176</v>
      </c>
      <c r="B18" s="15">
        <v>39.632204658143799</v>
      </c>
      <c r="C18" s="15">
        <v>36.9776087902451</v>
      </c>
      <c r="D18" s="24">
        <v>31.962027475093201</v>
      </c>
    </row>
    <row r="19" spans="1:4">
      <c r="A19" s="9" t="s">
        <v>177</v>
      </c>
      <c r="B19" s="15">
        <v>42.981667165700003</v>
      </c>
      <c r="C19" s="15">
        <v>47.164779702786198</v>
      </c>
      <c r="D19" s="24">
        <v>39.728529635077798</v>
      </c>
    </row>
    <row r="20" spans="1:4">
      <c r="A20" s="9" t="s">
        <v>178</v>
      </c>
      <c r="B20" s="15">
        <v>7.3888267727183798</v>
      </c>
      <c r="C20" s="15">
        <v>8.4851073514373301</v>
      </c>
      <c r="D20" s="26" t="s">
        <v>80</v>
      </c>
    </row>
    <row r="21" spans="1:4">
      <c r="A21" s="9" t="s">
        <v>179</v>
      </c>
      <c r="B21" s="15">
        <v>13.4744345354519</v>
      </c>
      <c r="C21" s="15">
        <v>13.691167678351</v>
      </c>
      <c r="D21" s="24">
        <v>12.1460504218909</v>
      </c>
    </row>
    <row r="22" spans="1:4">
      <c r="A22" s="9" t="s">
        <v>180</v>
      </c>
      <c r="B22" s="15">
        <v>19.7644210140705</v>
      </c>
      <c r="C22" s="15">
        <v>23.681980568214801</v>
      </c>
      <c r="D22" s="24">
        <v>25.263924912439801</v>
      </c>
    </row>
    <row r="23" spans="1:4">
      <c r="A23" s="9" t="s">
        <v>181</v>
      </c>
      <c r="B23" s="15">
        <v>26.7756628234727</v>
      </c>
      <c r="C23" s="15">
        <v>24.393823830449399</v>
      </c>
      <c r="D23" s="24">
        <v>15.4646228136661</v>
      </c>
    </row>
    <row r="24" spans="1:4">
      <c r="A24" s="9" t="s">
        <v>182</v>
      </c>
      <c r="B24" s="15">
        <v>62.5117223910432</v>
      </c>
      <c r="C24" s="15">
        <v>65.6990065562875</v>
      </c>
      <c r="D24" s="24">
        <v>62.588734275594</v>
      </c>
    </row>
    <row r="25" spans="1:4">
      <c r="A25" s="9" t="s">
        <v>183</v>
      </c>
      <c r="B25" s="15">
        <v>5.3777523036504196</v>
      </c>
      <c r="C25" s="15">
        <v>5.4326035615947799</v>
      </c>
      <c r="D25" s="26" t="s">
        <v>80</v>
      </c>
    </row>
    <row r="26" spans="1:4">
      <c r="A26" s="9" t="s">
        <v>184</v>
      </c>
      <c r="B26" s="15">
        <v>33.3312295847469</v>
      </c>
      <c r="C26" s="15">
        <v>33.360888520477701</v>
      </c>
      <c r="D26" s="24">
        <v>35.132596409483597</v>
      </c>
    </row>
    <row r="27" spans="1:4">
      <c r="A27" s="9" t="s">
        <v>185</v>
      </c>
      <c r="B27" s="15">
        <v>19.374697958865401</v>
      </c>
      <c r="C27" s="15">
        <v>19.300424499900998</v>
      </c>
      <c r="D27" s="24">
        <v>17.096380899897898</v>
      </c>
    </row>
    <row r="28" spans="1:4">
      <c r="A28" s="9" t="s">
        <v>186</v>
      </c>
      <c r="B28" s="15">
        <v>20.0745806758618</v>
      </c>
      <c r="C28" s="15">
        <v>17.296488152573499</v>
      </c>
      <c r="D28" s="24">
        <v>13.3319595572772</v>
      </c>
    </row>
    <row r="29" spans="1:4">
      <c r="A29" s="9" t="s">
        <v>187</v>
      </c>
      <c r="B29" s="15">
        <v>6.1048188436039101</v>
      </c>
      <c r="C29" s="15">
        <v>6.1455246182611001</v>
      </c>
      <c r="D29" s="26" t="s">
        <v>80</v>
      </c>
    </row>
    <row r="30" spans="1:4">
      <c r="A30" s="9" t="s">
        <v>188</v>
      </c>
      <c r="B30" s="15">
        <v>9.1090445037246894</v>
      </c>
      <c r="C30" s="15">
        <v>9.64154376568308</v>
      </c>
      <c r="D30" s="26" t="s">
        <v>80</v>
      </c>
    </row>
    <row r="31" spans="1:4">
      <c r="A31" s="9" t="s">
        <v>189</v>
      </c>
      <c r="B31" s="15">
        <v>17.690985170874502</v>
      </c>
      <c r="C31" s="15">
        <v>17.424452423199899</v>
      </c>
      <c r="D31" s="26" t="s">
        <v>80</v>
      </c>
    </row>
    <row r="32" spans="1:4">
      <c r="A32" s="9" t="s">
        <v>190</v>
      </c>
      <c r="B32" s="15">
        <v>3.4749720715682701</v>
      </c>
      <c r="C32" s="15">
        <v>4.1459961498386297</v>
      </c>
      <c r="D32" s="26" t="s">
        <v>80</v>
      </c>
    </row>
    <row r="33" spans="1:4">
      <c r="A33" s="9" t="s">
        <v>191</v>
      </c>
      <c r="B33" s="15">
        <v>12.825020267555701</v>
      </c>
      <c r="C33" s="15">
        <v>14.224389595021</v>
      </c>
      <c r="D33" s="24">
        <v>15.7546945122268</v>
      </c>
    </row>
    <row r="34" spans="1:4">
      <c r="A34" s="9" t="s">
        <v>192</v>
      </c>
      <c r="B34" s="15">
        <v>23.5948311321559</v>
      </c>
      <c r="C34" s="15">
        <v>27.1839833446145</v>
      </c>
      <c r="D34" s="24">
        <v>32.373523894005999</v>
      </c>
    </row>
    <row r="35" spans="1:4">
      <c r="A35" s="9" t="s">
        <v>193</v>
      </c>
      <c r="B35" s="15">
        <v>25.032570596332601</v>
      </c>
      <c r="C35" s="15">
        <v>27.8483097246733</v>
      </c>
      <c r="D35" s="24">
        <v>30.679815194686</v>
      </c>
    </row>
    <row r="36" spans="1:4">
      <c r="A36" s="9" t="s">
        <v>194</v>
      </c>
      <c r="B36" s="15">
        <v>24.217451207645802</v>
      </c>
      <c r="C36" s="15">
        <v>28.691875620378202</v>
      </c>
      <c r="D36" s="24">
        <v>19.837871206871501</v>
      </c>
    </row>
    <row r="37" spans="1:4">
      <c r="A37" s="9" t="s">
        <v>195</v>
      </c>
      <c r="B37" s="15">
        <v>18.481740793325901</v>
      </c>
      <c r="C37" s="15">
        <v>22.105859987661901</v>
      </c>
      <c r="D37" s="24">
        <v>30.617293022976799</v>
      </c>
    </row>
    <row r="38" spans="1:4">
      <c r="A38" s="9" t="s">
        <v>196</v>
      </c>
      <c r="B38" s="15">
        <v>29.055897654110399</v>
      </c>
      <c r="C38" s="15">
        <v>30.800752075941499</v>
      </c>
      <c r="D38" s="24">
        <v>27.007560009766301</v>
      </c>
    </row>
    <row r="39" spans="1:4">
      <c r="A39" s="9" t="s">
        <v>197</v>
      </c>
      <c r="B39" s="15">
        <v>41.916771746155597</v>
      </c>
      <c r="C39" s="15">
        <v>46.34106516992</v>
      </c>
      <c r="D39" s="24">
        <v>49.380409512666098</v>
      </c>
    </row>
    <row r="40" spans="1:4">
      <c r="A40" s="9" t="s">
        <v>198</v>
      </c>
      <c r="B40" s="15">
        <v>14.9935402615973</v>
      </c>
      <c r="C40" s="15">
        <v>14.244372390684299</v>
      </c>
      <c r="D40" s="24">
        <v>11.8888250998984</v>
      </c>
    </row>
    <row r="41" spans="1:4">
      <c r="A41" s="9" t="s">
        <v>199</v>
      </c>
      <c r="B41" s="15">
        <v>33.705052277973301</v>
      </c>
      <c r="C41" s="15">
        <v>37.940074883376198</v>
      </c>
      <c r="D41" s="24">
        <v>35.537240647283703</v>
      </c>
    </row>
    <row r="42" spans="1:4">
      <c r="A42" s="9" t="s">
        <v>200</v>
      </c>
      <c r="B42" s="15">
        <v>10.5843200223712</v>
      </c>
      <c r="C42" s="15">
        <v>10.2487465419646</v>
      </c>
      <c r="D42" s="24">
        <v>13.077263053992301</v>
      </c>
    </row>
    <row r="43" spans="1:4">
      <c r="A43" s="9" t="s">
        <v>201</v>
      </c>
      <c r="B43" s="15">
        <v>37.692583985749501</v>
      </c>
      <c r="C43" s="15">
        <v>43.9207309877131</v>
      </c>
      <c r="D43" s="24">
        <v>40.129363627649703</v>
      </c>
    </row>
    <row r="44" spans="1:4">
      <c r="A44" s="9" t="s">
        <v>202</v>
      </c>
      <c r="B44" s="15">
        <v>66.899228739536298</v>
      </c>
      <c r="C44" s="15">
        <v>71.3242173029452</v>
      </c>
      <c r="D44" s="24">
        <v>72.198657772879102</v>
      </c>
    </row>
    <row r="45" spans="1:4">
      <c r="A45" s="9" t="s">
        <v>203</v>
      </c>
      <c r="B45" s="15">
        <v>9.2914925888997892</v>
      </c>
      <c r="C45" s="15">
        <v>9.2837086700826106</v>
      </c>
      <c r="D45" s="26" t="s">
        <v>80</v>
      </c>
    </row>
    <row r="46" spans="1:4">
      <c r="A46" s="9" t="s">
        <v>204</v>
      </c>
      <c r="B46" s="15">
        <v>23.488050283756699</v>
      </c>
      <c r="C46" s="15">
        <v>25.290311922895999</v>
      </c>
      <c r="D46" s="24">
        <v>23.7851437555126</v>
      </c>
    </row>
    <row r="47" spans="1:4">
      <c r="A47" s="9" t="s">
        <v>205</v>
      </c>
      <c r="B47" s="15">
        <v>10.284838580417301</v>
      </c>
      <c r="C47" s="15">
        <v>10.115752463839399</v>
      </c>
      <c r="D47" s="26" t="s">
        <v>80</v>
      </c>
    </row>
    <row r="48" spans="1:4">
      <c r="A48" s="9" t="s">
        <v>206</v>
      </c>
      <c r="B48" s="15">
        <v>11.943728709607001</v>
      </c>
      <c r="C48" s="15">
        <v>11.0012130588076</v>
      </c>
      <c r="D48" s="24">
        <v>11.209368088152299</v>
      </c>
    </row>
    <row r="49" spans="1:4">
      <c r="A49" s="9" t="s">
        <v>207</v>
      </c>
      <c r="B49" s="15">
        <v>14.8823283996048</v>
      </c>
      <c r="C49" s="15">
        <v>20.068120603326498</v>
      </c>
      <c r="D49" s="24">
        <v>22.379041918070001</v>
      </c>
    </row>
    <row r="50" spans="1:4">
      <c r="A50" s="9" t="s">
        <v>208</v>
      </c>
      <c r="B50" s="15">
        <v>61.950155751479997</v>
      </c>
      <c r="C50" s="15">
        <v>62.5090407757273</v>
      </c>
      <c r="D50" s="24">
        <v>65.695313746474298</v>
      </c>
    </row>
    <row r="51" spans="1:4">
      <c r="A51" s="9" t="s">
        <v>209</v>
      </c>
      <c r="B51" s="15">
        <v>37.1566301700135</v>
      </c>
      <c r="C51" s="15">
        <v>39.697520488979599</v>
      </c>
      <c r="D51" s="24">
        <v>35.162261191628502</v>
      </c>
    </row>
    <row r="52" spans="1:4">
      <c r="A52" s="9" t="s">
        <v>210</v>
      </c>
      <c r="B52" s="15">
        <v>19.362555273227901</v>
      </c>
      <c r="C52" s="15">
        <v>24.666924733824601</v>
      </c>
      <c r="D52" s="24">
        <v>27.850272744492901</v>
      </c>
    </row>
    <row r="53" spans="1:4">
      <c r="A53" s="9" t="s">
        <v>211</v>
      </c>
      <c r="B53" s="15">
        <v>34.885010281914397</v>
      </c>
      <c r="C53" s="15">
        <v>36.803359105610397</v>
      </c>
      <c r="D53" s="24">
        <v>39.081048772870801</v>
      </c>
    </row>
    <row r="54" spans="1:4">
      <c r="A54" s="9" t="s">
        <v>212</v>
      </c>
      <c r="B54" s="15">
        <v>42.7523964115707</v>
      </c>
      <c r="C54" s="15">
        <v>42.158709140585003</v>
      </c>
      <c r="D54" s="24">
        <v>37.853097495184699</v>
      </c>
    </row>
    <row r="55" spans="1:4">
      <c r="A55" s="9" t="s">
        <v>213</v>
      </c>
      <c r="B55" s="15">
        <v>7.8051678914053202</v>
      </c>
      <c r="C55" s="15">
        <v>8.0783592777772704</v>
      </c>
      <c r="D55" s="26" t="s">
        <v>80</v>
      </c>
    </row>
    <row r="56" spans="1:4">
      <c r="A56" s="9" t="s">
        <v>214</v>
      </c>
      <c r="B56" s="15">
        <v>16.4798607539228</v>
      </c>
      <c r="C56" s="15">
        <v>18.7318305208792</v>
      </c>
      <c r="D56" s="24">
        <v>14.447772786165</v>
      </c>
    </row>
    <row r="57" spans="1:4">
      <c r="A57" s="9" t="s">
        <v>215</v>
      </c>
      <c r="B57" s="15">
        <v>14.0910725341723</v>
      </c>
      <c r="C57" s="15">
        <v>14.0727786538522</v>
      </c>
      <c r="D57" s="24">
        <v>11.878045360984199</v>
      </c>
    </row>
    <row r="58" spans="1:4">
      <c r="A58" s="9" t="s">
        <v>216</v>
      </c>
      <c r="B58" s="15">
        <v>30.835416077812599</v>
      </c>
      <c r="C58" s="15">
        <v>34.505964169147802</v>
      </c>
      <c r="D58" s="24">
        <v>31.741374631657902</v>
      </c>
    </row>
    <row r="59" spans="1:4">
      <c r="A59" s="9" t="s">
        <v>217</v>
      </c>
      <c r="B59" s="15">
        <v>5.5459997402744703</v>
      </c>
      <c r="C59" s="15">
        <v>4.67636608388014</v>
      </c>
      <c r="D59" s="26" t="s">
        <v>80</v>
      </c>
    </row>
    <row r="60" spans="1:4">
      <c r="A60" s="9" t="s">
        <v>218</v>
      </c>
      <c r="B60" s="15">
        <v>4.7141682936723104</v>
      </c>
      <c r="C60" s="15">
        <v>4.65335841177059</v>
      </c>
      <c r="D60" s="26" t="s">
        <v>80</v>
      </c>
    </row>
    <row r="61" spans="1:4">
      <c r="A61" s="9" t="s">
        <v>219</v>
      </c>
      <c r="B61" s="15">
        <v>5.1664520608661801</v>
      </c>
      <c r="C61" s="15">
        <v>5.1232708543595997</v>
      </c>
      <c r="D61" s="26" t="s">
        <v>80</v>
      </c>
    </row>
    <row r="62" spans="1:4">
      <c r="A62" s="9" t="s">
        <v>220</v>
      </c>
      <c r="B62" s="15">
        <v>6.3390205181594101</v>
      </c>
      <c r="C62" s="15">
        <v>7.8051411636765797</v>
      </c>
      <c r="D62" s="26" t="s">
        <v>80</v>
      </c>
    </row>
    <row r="63" spans="1:4">
      <c r="A63" s="9" t="s">
        <v>221</v>
      </c>
      <c r="B63" s="15">
        <v>16.066222937156201</v>
      </c>
      <c r="C63" s="15">
        <v>15.5235288233734</v>
      </c>
      <c r="D63" s="24">
        <v>16.682182140038101</v>
      </c>
    </row>
    <row r="64" spans="1:4">
      <c r="A64" s="11" t="s">
        <v>222</v>
      </c>
      <c r="B64" s="16">
        <v>12.9239069677567</v>
      </c>
      <c r="C64" s="16">
        <v>12.9140279761963</v>
      </c>
      <c r="D64" s="25">
        <v>13.6636930513446</v>
      </c>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zoomScale="70" workbookViewId="0"/>
  </sheetViews>
  <sheetFormatPr defaultColWidth="10.90625" defaultRowHeight="15"/>
  <cols>
    <col min="1" max="1" width="51.6796875" customWidth="1"/>
    <col min="2" max="4" width="15.90625" customWidth="1"/>
  </cols>
  <sheetData>
    <row r="1" spans="1:4" ht="39.9" customHeight="1">
      <c r="A1" s="10" t="s">
        <v>234</v>
      </c>
      <c r="B1" s="12"/>
      <c r="C1" s="12"/>
      <c r="D1" s="12"/>
    </row>
    <row r="2" spans="1:4" ht="45">
      <c r="A2" s="7" t="s">
        <v>2</v>
      </c>
      <c r="B2" s="6" t="s">
        <v>18</v>
      </c>
      <c r="C2" s="6" t="s">
        <v>19</v>
      </c>
      <c r="D2" s="8" t="s">
        <v>20</v>
      </c>
    </row>
    <row r="3" spans="1:4">
      <c r="A3" s="39" t="s">
        <v>235</v>
      </c>
      <c r="B3" s="15"/>
      <c r="C3" s="15"/>
      <c r="D3" s="24"/>
    </row>
    <row r="4" spans="1:4">
      <c r="A4" s="9" t="s">
        <v>236</v>
      </c>
      <c r="B4" s="15">
        <v>3.0726654835390099</v>
      </c>
      <c r="C4" s="15">
        <v>3.1753376077663802</v>
      </c>
      <c r="D4" s="26" t="s">
        <v>80</v>
      </c>
    </row>
    <row r="5" spans="1:4">
      <c r="A5" s="9" t="s">
        <v>237</v>
      </c>
      <c r="B5" s="15">
        <v>2.3520398036315102</v>
      </c>
      <c r="C5" s="20" t="s">
        <v>80</v>
      </c>
      <c r="D5" s="26" t="s">
        <v>80</v>
      </c>
    </row>
    <row r="6" spans="1:4">
      <c r="A6" s="9" t="s">
        <v>238</v>
      </c>
      <c r="B6" s="15">
        <v>2.0830717940939598</v>
      </c>
      <c r="C6" s="20" t="s">
        <v>80</v>
      </c>
      <c r="D6" s="26" t="s">
        <v>80</v>
      </c>
    </row>
    <row r="7" spans="1:4">
      <c r="A7" s="9" t="s">
        <v>239</v>
      </c>
      <c r="B7" s="15">
        <v>4.9875520588788103</v>
      </c>
      <c r="C7" s="15">
        <v>4.6852129187582099</v>
      </c>
      <c r="D7" s="26" t="s">
        <v>80</v>
      </c>
    </row>
    <row r="8" spans="1:4">
      <c r="A8" s="9" t="s">
        <v>240</v>
      </c>
      <c r="B8" s="15">
        <v>51.168416618501702</v>
      </c>
      <c r="C8" s="15">
        <v>52.185386725007497</v>
      </c>
      <c r="D8" s="24">
        <v>52.733708693677201</v>
      </c>
    </row>
    <row r="9" spans="1:4">
      <c r="A9" s="9" t="s">
        <v>241</v>
      </c>
      <c r="B9" s="15">
        <v>10.500622089095501</v>
      </c>
      <c r="C9" s="15">
        <v>9.3243364756163096</v>
      </c>
      <c r="D9" s="26" t="s">
        <v>80</v>
      </c>
    </row>
    <row r="10" spans="1:4">
      <c r="A10" s="9" t="s">
        <v>242</v>
      </c>
      <c r="B10" s="15">
        <v>5.2321415135837501</v>
      </c>
      <c r="C10" s="15">
        <v>6.4045385665487098</v>
      </c>
      <c r="D10" s="26" t="s">
        <v>80</v>
      </c>
    </row>
    <row r="11" spans="1:4">
      <c r="A11" s="9" t="s">
        <v>243</v>
      </c>
      <c r="B11" s="15">
        <v>2.9095558413358802</v>
      </c>
      <c r="C11" s="15">
        <v>2.5567349298813</v>
      </c>
      <c r="D11" s="26" t="s">
        <v>80</v>
      </c>
    </row>
    <row r="12" spans="1:4">
      <c r="A12" s="9" t="s">
        <v>244</v>
      </c>
      <c r="B12" s="15">
        <v>1.9796880964030701</v>
      </c>
      <c r="C12" s="20" t="s">
        <v>80</v>
      </c>
      <c r="D12" s="26" t="s">
        <v>80</v>
      </c>
    </row>
    <row r="13" spans="1:4">
      <c r="A13" s="9" t="s">
        <v>245</v>
      </c>
      <c r="B13" s="15">
        <v>1.4113129705726</v>
      </c>
      <c r="C13" s="20" t="s">
        <v>80</v>
      </c>
      <c r="D13" s="26" t="s">
        <v>80</v>
      </c>
    </row>
    <row r="14" spans="1:4">
      <c r="A14" s="9" t="s">
        <v>246</v>
      </c>
      <c r="B14" s="15">
        <v>1.71848533079045</v>
      </c>
      <c r="C14" s="20" t="s">
        <v>80</v>
      </c>
      <c r="D14" s="26" t="s">
        <v>80</v>
      </c>
    </row>
    <row r="15" spans="1:4">
      <c r="A15" s="9" t="s">
        <v>247</v>
      </c>
      <c r="B15" s="15">
        <v>2.8036844010327902</v>
      </c>
      <c r="C15" s="15">
        <v>3.07818740321391</v>
      </c>
      <c r="D15" s="26" t="s">
        <v>80</v>
      </c>
    </row>
    <row r="16" spans="1:4">
      <c r="A16" s="11" t="s">
        <v>248</v>
      </c>
      <c r="B16" s="16">
        <v>13.9673713467108</v>
      </c>
      <c r="C16" s="16">
        <v>15.6855142447767</v>
      </c>
      <c r="D16" s="25">
        <v>15.4412947644784</v>
      </c>
    </row>
    <row r="17" spans="1:1" ht="30" customHeight="1">
      <c r="A17" t="s">
        <v>155</v>
      </c>
    </row>
    <row r="18" spans="1:1">
      <c r="A18" t="s">
        <v>93</v>
      </c>
    </row>
    <row r="19" spans="1:1">
      <c r="A19" t="s">
        <v>94</v>
      </c>
    </row>
    <row r="20" spans="1:1">
      <c r="A20" t="s">
        <v>95</v>
      </c>
    </row>
    <row r="21" spans="1:1">
      <c r="A21" t="s">
        <v>96</v>
      </c>
    </row>
    <row r="22" spans="1:1">
      <c r="A22" t="s">
        <v>97</v>
      </c>
    </row>
    <row r="23" spans="1:1">
      <c r="A2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0"/>
  <sheetViews>
    <sheetView zoomScale="70" workbookViewId="0"/>
  </sheetViews>
  <sheetFormatPr defaultColWidth="10.90625" defaultRowHeight="15"/>
  <cols>
    <col min="1" max="1" width="51.6796875" customWidth="1"/>
    <col min="2" max="9" width="15.90625" customWidth="1"/>
  </cols>
  <sheetData>
    <row r="1" spans="1:9" ht="39.9" customHeight="1">
      <c r="A1" s="10" t="s">
        <v>249</v>
      </c>
      <c r="B1" s="12"/>
      <c r="C1" s="12"/>
      <c r="D1" s="12"/>
      <c r="E1" s="12"/>
      <c r="F1" s="12"/>
      <c r="G1" s="12"/>
      <c r="H1" s="12"/>
      <c r="I1" s="12"/>
    </row>
    <row r="2" spans="1:9" ht="60">
      <c r="A2" s="7" t="s">
        <v>2</v>
      </c>
      <c r="B2" s="6" t="s">
        <v>250</v>
      </c>
      <c r="C2" s="6" t="s">
        <v>240</v>
      </c>
      <c r="D2" s="6" t="s">
        <v>251</v>
      </c>
      <c r="E2" s="6" t="s">
        <v>252</v>
      </c>
      <c r="F2" s="6" t="s">
        <v>245</v>
      </c>
      <c r="G2" s="6" t="s">
        <v>246</v>
      </c>
      <c r="H2" s="6" t="s">
        <v>247</v>
      </c>
      <c r="I2" s="8" t="s">
        <v>253</v>
      </c>
    </row>
    <row r="3" spans="1:9">
      <c r="A3" s="9" t="s">
        <v>161</v>
      </c>
      <c r="B3" s="20" t="s">
        <v>80</v>
      </c>
      <c r="C3" s="15">
        <v>15.8490767542682</v>
      </c>
      <c r="D3" s="20" t="s">
        <v>80</v>
      </c>
      <c r="E3" s="20" t="s">
        <v>80</v>
      </c>
      <c r="F3" s="20" t="s">
        <v>80</v>
      </c>
      <c r="G3" s="20" t="s">
        <v>80</v>
      </c>
      <c r="H3" s="20" t="s">
        <v>80</v>
      </c>
      <c r="I3" s="26" t="s">
        <v>80</v>
      </c>
    </row>
    <row r="4" spans="1:9">
      <c r="A4" s="9" t="s">
        <v>162</v>
      </c>
      <c r="B4" s="20" t="s">
        <v>80</v>
      </c>
      <c r="C4" s="15">
        <v>12.399104059520401</v>
      </c>
      <c r="D4" s="20" t="s">
        <v>80</v>
      </c>
      <c r="E4" s="20" t="s">
        <v>80</v>
      </c>
      <c r="F4" s="20" t="s">
        <v>80</v>
      </c>
      <c r="G4" s="20" t="s">
        <v>80</v>
      </c>
      <c r="H4" s="20" t="s">
        <v>80</v>
      </c>
      <c r="I4" s="26" t="s">
        <v>80</v>
      </c>
    </row>
    <row r="5" spans="1:9">
      <c r="A5" s="9" t="s">
        <v>163</v>
      </c>
      <c r="B5" s="20" t="s">
        <v>80</v>
      </c>
      <c r="C5" s="15">
        <v>14.771881808901099</v>
      </c>
      <c r="D5" s="20" t="s">
        <v>80</v>
      </c>
      <c r="E5" s="20" t="s">
        <v>80</v>
      </c>
      <c r="F5" s="20" t="s">
        <v>80</v>
      </c>
      <c r="G5" s="20" t="s">
        <v>80</v>
      </c>
      <c r="H5" s="20" t="s">
        <v>80</v>
      </c>
      <c r="I5" s="26" t="s">
        <v>80</v>
      </c>
    </row>
    <row r="6" spans="1:9">
      <c r="A6" s="9" t="s">
        <v>164</v>
      </c>
      <c r="B6" s="20" t="s">
        <v>80</v>
      </c>
      <c r="C6" s="15">
        <v>24.548711955654799</v>
      </c>
      <c r="D6" s="20" t="s">
        <v>80</v>
      </c>
      <c r="E6" s="20" t="s">
        <v>80</v>
      </c>
      <c r="F6" s="20" t="s">
        <v>80</v>
      </c>
      <c r="G6" s="20" t="s">
        <v>80</v>
      </c>
      <c r="H6" s="20" t="s">
        <v>80</v>
      </c>
      <c r="I6" s="26" t="s">
        <v>80</v>
      </c>
    </row>
    <row r="7" spans="1:9">
      <c r="A7" s="9" t="s">
        <v>165</v>
      </c>
      <c r="B7" s="20" t="s">
        <v>80</v>
      </c>
      <c r="C7" s="15">
        <v>12.434823502314099</v>
      </c>
      <c r="D7" s="20" t="s">
        <v>80</v>
      </c>
      <c r="E7" s="20" t="s">
        <v>80</v>
      </c>
      <c r="F7" s="20" t="s">
        <v>80</v>
      </c>
      <c r="G7" s="20" t="s">
        <v>80</v>
      </c>
      <c r="H7" s="20" t="s">
        <v>80</v>
      </c>
      <c r="I7" s="26" t="s">
        <v>80</v>
      </c>
    </row>
    <row r="8" spans="1:9">
      <c r="A8" s="9" t="s">
        <v>166</v>
      </c>
      <c r="B8" s="20" t="s">
        <v>80</v>
      </c>
      <c r="C8" s="20" t="s">
        <v>80</v>
      </c>
      <c r="D8" s="20" t="s">
        <v>80</v>
      </c>
      <c r="E8" s="20" t="s">
        <v>80</v>
      </c>
      <c r="F8" s="20" t="s">
        <v>80</v>
      </c>
      <c r="G8" s="20" t="s">
        <v>80</v>
      </c>
      <c r="H8" s="20" t="s">
        <v>80</v>
      </c>
      <c r="I8" s="26" t="s">
        <v>80</v>
      </c>
    </row>
    <row r="9" spans="1:9">
      <c r="A9" s="9" t="s">
        <v>167</v>
      </c>
      <c r="B9" s="20" t="s">
        <v>80</v>
      </c>
      <c r="C9" s="15">
        <v>11.198001772273001</v>
      </c>
      <c r="D9" s="20" t="s">
        <v>80</v>
      </c>
      <c r="E9" s="20" t="s">
        <v>80</v>
      </c>
      <c r="F9" s="20" t="s">
        <v>80</v>
      </c>
      <c r="G9" s="20" t="s">
        <v>80</v>
      </c>
      <c r="H9" s="20" t="s">
        <v>80</v>
      </c>
      <c r="I9" s="26" t="s">
        <v>80</v>
      </c>
    </row>
    <row r="10" spans="1:9">
      <c r="A10" s="9" t="s">
        <v>168</v>
      </c>
      <c r="B10" s="20" t="s">
        <v>80</v>
      </c>
      <c r="C10" s="15">
        <v>13.0376046723805</v>
      </c>
      <c r="D10" s="20" t="s">
        <v>80</v>
      </c>
      <c r="E10" s="20" t="s">
        <v>80</v>
      </c>
      <c r="F10" s="20" t="s">
        <v>80</v>
      </c>
      <c r="G10" s="20" t="s">
        <v>80</v>
      </c>
      <c r="H10" s="20" t="s">
        <v>80</v>
      </c>
      <c r="I10" s="26" t="s">
        <v>80</v>
      </c>
    </row>
    <row r="11" spans="1:9">
      <c r="A11" s="9" t="s">
        <v>169</v>
      </c>
      <c r="B11" s="20" t="s">
        <v>80</v>
      </c>
      <c r="C11" s="15">
        <v>13.45796981698</v>
      </c>
      <c r="D11" s="20" t="s">
        <v>80</v>
      </c>
      <c r="E11" s="20" t="s">
        <v>80</v>
      </c>
      <c r="F11" s="20" t="s">
        <v>80</v>
      </c>
      <c r="G11" s="20" t="s">
        <v>80</v>
      </c>
      <c r="H11" s="20" t="s">
        <v>80</v>
      </c>
      <c r="I11" s="26" t="s">
        <v>80</v>
      </c>
    </row>
    <row r="12" spans="1:9">
      <c r="A12" s="9" t="s">
        <v>170</v>
      </c>
      <c r="B12" s="20" t="s">
        <v>80</v>
      </c>
      <c r="C12" s="20" t="s">
        <v>80</v>
      </c>
      <c r="D12" s="20" t="s">
        <v>80</v>
      </c>
      <c r="E12" s="20" t="s">
        <v>80</v>
      </c>
      <c r="F12" s="20" t="s">
        <v>80</v>
      </c>
      <c r="G12" s="20" t="s">
        <v>80</v>
      </c>
      <c r="H12" s="20" t="s">
        <v>80</v>
      </c>
      <c r="I12" s="26" t="s">
        <v>80</v>
      </c>
    </row>
    <row r="13" spans="1:9">
      <c r="A13" s="9" t="s">
        <v>171</v>
      </c>
      <c r="B13" s="20" t="s">
        <v>80</v>
      </c>
      <c r="C13" s="20" t="s">
        <v>80</v>
      </c>
      <c r="D13" s="20" t="s">
        <v>80</v>
      </c>
      <c r="E13" s="20" t="s">
        <v>80</v>
      </c>
      <c r="F13" s="20" t="s">
        <v>80</v>
      </c>
      <c r="G13" s="20" t="s">
        <v>80</v>
      </c>
      <c r="H13" s="20" t="s">
        <v>80</v>
      </c>
      <c r="I13" s="26" t="s">
        <v>80</v>
      </c>
    </row>
    <row r="14" spans="1:9">
      <c r="A14" s="9" t="s">
        <v>172</v>
      </c>
      <c r="B14" s="20" t="s">
        <v>80</v>
      </c>
      <c r="C14" s="15">
        <v>16.389605608101402</v>
      </c>
      <c r="D14" s="20" t="s">
        <v>80</v>
      </c>
      <c r="E14" s="20" t="s">
        <v>80</v>
      </c>
      <c r="F14" s="20" t="s">
        <v>80</v>
      </c>
      <c r="G14" s="20" t="s">
        <v>80</v>
      </c>
      <c r="H14" s="20" t="s">
        <v>80</v>
      </c>
      <c r="I14" s="26" t="s">
        <v>80</v>
      </c>
    </row>
    <row r="15" spans="1:9">
      <c r="A15" s="9" t="s">
        <v>173</v>
      </c>
      <c r="B15" s="20" t="s">
        <v>80</v>
      </c>
      <c r="C15" s="15">
        <v>23.192549590544999</v>
      </c>
      <c r="D15" s="20" t="s">
        <v>80</v>
      </c>
      <c r="E15" s="20" t="s">
        <v>80</v>
      </c>
      <c r="F15" s="20" t="s">
        <v>80</v>
      </c>
      <c r="G15" s="20" t="s">
        <v>80</v>
      </c>
      <c r="H15" s="20" t="s">
        <v>80</v>
      </c>
      <c r="I15" s="26" t="s">
        <v>80</v>
      </c>
    </row>
    <row r="16" spans="1:9">
      <c r="A16" s="9" t="s">
        <v>174</v>
      </c>
      <c r="B16" s="20" t="s">
        <v>80</v>
      </c>
      <c r="C16" s="20" t="s">
        <v>80</v>
      </c>
      <c r="D16" s="20" t="s">
        <v>80</v>
      </c>
      <c r="E16" s="20" t="s">
        <v>80</v>
      </c>
      <c r="F16" s="20" t="s">
        <v>80</v>
      </c>
      <c r="G16" s="20" t="s">
        <v>80</v>
      </c>
      <c r="H16" s="20" t="s">
        <v>80</v>
      </c>
      <c r="I16" s="26" t="s">
        <v>80</v>
      </c>
    </row>
    <row r="17" spans="1:9">
      <c r="A17" s="9" t="s">
        <v>175</v>
      </c>
      <c r="B17" s="20" t="s">
        <v>80</v>
      </c>
      <c r="C17" s="15">
        <v>38.322257964334199</v>
      </c>
      <c r="D17" s="20" t="s">
        <v>80</v>
      </c>
      <c r="E17" s="20" t="s">
        <v>80</v>
      </c>
      <c r="F17" s="20" t="s">
        <v>80</v>
      </c>
      <c r="G17" s="20" t="s">
        <v>80</v>
      </c>
      <c r="H17" s="20" t="s">
        <v>80</v>
      </c>
      <c r="I17" s="26" t="s">
        <v>80</v>
      </c>
    </row>
    <row r="18" spans="1:9">
      <c r="A18" s="9" t="s">
        <v>176</v>
      </c>
      <c r="B18" s="20" t="s">
        <v>80</v>
      </c>
      <c r="C18" s="15">
        <v>17.062275690001101</v>
      </c>
      <c r="D18" s="20" t="s">
        <v>80</v>
      </c>
      <c r="E18" s="20" t="s">
        <v>80</v>
      </c>
      <c r="F18" s="20" t="s">
        <v>80</v>
      </c>
      <c r="G18" s="20" t="s">
        <v>80</v>
      </c>
      <c r="H18" s="20" t="s">
        <v>80</v>
      </c>
      <c r="I18" s="26" t="s">
        <v>80</v>
      </c>
    </row>
    <row r="19" spans="1:9">
      <c r="A19" s="9" t="s">
        <v>177</v>
      </c>
      <c r="B19" s="20" t="s">
        <v>80</v>
      </c>
      <c r="C19" s="15">
        <v>23.601619603267299</v>
      </c>
      <c r="D19" s="20" t="s">
        <v>80</v>
      </c>
      <c r="E19" s="20" t="s">
        <v>80</v>
      </c>
      <c r="F19" s="20" t="s">
        <v>80</v>
      </c>
      <c r="G19" s="20" t="s">
        <v>80</v>
      </c>
      <c r="H19" s="20" t="s">
        <v>80</v>
      </c>
      <c r="I19" s="26" t="s">
        <v>80</v>
      </c>
    </row>
    <row r="20" spans="1:9">
      <c r="A20" s="9" t="s">
        <v>178</v>
      </c>
      <c r="B20" s="20" t="s">
        <v>80</v>
      </c>
      <c r="C20" s="20" t="s">
        <v>80</v>
      </c>
      <c r="D20" s="20" t="s">
        <v>80</v>
      </c>
      <c r="E20" s="20" t="s">
        <v>80</v>
      </c>
      <c r="F20" s="20" t="s">
        <v>80</v>
      </c>
      <c r="G20" s="20" t="s">
        <v>80</v>
      </c>
      <c r="H20" s="20" t="s">
        <v>80</v>
      </c>
      <c r="I20" s="26" t="s">
        <v>80</v>
      </c>
    </row>
    <row r="21" spans="1:9">
      <c r="A21" s="9" t="s">
        <v>179</v>
      </c>
      <c r="B21" s="20" t="s">
        <v>80</v>
      </c>
      <c r="C21" s="20" t="s">
        <v>80</v>
      </c>
      <c r="D21" s="20" t="s">
        <v>80</v>
      </c>
      <c r="E21" s="20" t="s">
        <v>80</v>
      </c>
      <c r="F21" s="20" t="s">
        <v>80</v>
      </c>
      <c r="G21" s="20" t="s">
        <v>80</v>
      </c>
      <c r="H21" s="20" t="s">
        <v>80</v>
      </c>
      <c r="I21" s="26" t="s">
        <v>80</v>
      </c>
    </row>
    <row r="22" spans="1:9">
      <c r="A22" s="9" t="s">
        <v>180</v>
      </c>
      <c r="B22" s="20" t="s">
        <v>80</v>
      </c>
      <c r="C22" s="15">
        <v>11.6066492187474</v>
      </c>
      <c r="D22" s="20" t="s">
        <v>80</v>
      </c>
      <c r="E22" s="20" t="s">
        <v>80</v>
      </c>
      <c r="F22" s="20" t="s">
        <v>80</v>
      </c>
      <c r="G22" s="20" t="s">
        <v>80</v>
      </c>
      <c r="H22" s="20" t="s">
        <v>80</v>
      </c>
      <c r="I22" s="26" t="s">
        <v>80</v>
      </c>
    </row>
    <row r="23" spans="1:9">
      <c r="A23" s="9" t="s">
        <v>181</v>
      </c>
      <c r="B23" s="20" t="s">
        <v>80</v>
      </c>
      <c r="C23" s="20" t="s">
        <v>80</v>
      </c>
      <c r="D23" s="20" t="s">
        <v>80</v>
      </c>
      <c r="E23" s="20" t="s">
        <v>80</v>
      </c>
      <c r="F23" s="20" t="s">
        <v>80</v>
      </c>
      <c r="G23" s="20" t="s">
        <v>80</v>
      </c>
      <c r="H23" s="20" t="s">
        <v>80</v>
      </c>
      <c r="I23" s="26" t="s">
        <v>80</v>
      </c>
    </row>
    <row r="24" spans="1:9">
      <c r="A24" s="9" t="s">
        <v>182</v>
      </c>
      <c r="B24" s="20" t="s">
        <v>80</v>
      </c>
      <c r="C24" s="15">
        <v>33.246634409466402</v>
      </c>
      <c r="D24" s="20" t="s">
        <v>80</v>
      </c>
      <c r="E24" s="20" t="s">
        <v>80</v>
      </c>
      <c r="F24" s="20" t="s">
        <v>80</v>
      </c>
      <c r="G24" s="20" t="s">
        <v>80</v>
      </c>
      <c r="H24" s="20" t="s">
        <v>80</v>
      </c>
      <c r="I24" s="26" t="s">
        <v>80</v>
      </c>
    </row>
    <row r="25" spans="1:9">
      <c r="A25" s="9" t="s">
        <v>183</v>
      </c>
      <c r="B25" s="20" t="s">
        <v>80</v>
      </c>
      <c r="C25" s="20" t="s">
        <v>80</v>
      </c>
      <c r="D25" s="20" t="s">
        <v>80</v>
      </c>
      <c r="E25" s="20" t="s">
        <v>80</v>
      </c>
      <c r="F25" s="20" t="s">
        <v>80</v>
      </c>
      <c r="G25" s="20" t="s">
        <v>80</v>
      </c>
      <c r="H25" s="20" t="s">
        <v>80</v>
      </c>
      <c r="I25" s="26" t="s">
        <v>80</v>
      </c>
    </row>
    <row r="26" spans="1:9">
      <c r="A26" s="9" t="s">
        <v>184</v>
      </c>
      <c r="B26" s="20" t="s">
        <v>80</v>
      </c>
      <c r="C26" s="15">
        <v>20.7845372741426</v>
      </c>
      <c r="D26" s="20" t="s">
        <v>80</v>
      </c>
      <c r="E26" s="20" t="s">
        <v>80</v>
      </c>
      <c r="F26" s="20" t="s">
        <v>80</v>
      </c>
      <c r="G26" s="20" t="s">
        <v>80</v>
      </c>
      <c r="H26" s="20" t="s">
        <v>80</v>
      </c>
      <c r="I26" s="26" t="s">
        <v>80</v>
      </c>
    </row>
    <row r="27" spans="1:9">
      <c r="A27" s="9" t="s">
        <v>185</v>
      </c>
      <c r="B27" s="20" t="s">
        <v>80</v>
      </c>
      <c r="C27" s="20" t="s">
        <v>80</v>
      </c>
      <c r="D27" s="20" t="s">
        <v>80</v>
      </c>
      <c r="E27" s="20" t="s">
        <v>80</v>
      </c>
      <c r="F27" s="20" t="s">
        <v>80</v>
      </c>
      <c r="G27" s="20" t="s">
        <v>80</v>
      </c>
      <c r="H27" s="20" t="s">
        <v>80</v>
      </c>
      <c r="I27" s="26" t="s">
        <v>80</v>
      </c>
    </row>
    <row r="28" spans="1:9">
      <c r="A28" s="9" t="s">
        <v>186</v>
      </c>
      <c r="B28" s="20" t="s">
        <v>80</v>
      </c>
      <c r="C28" s="20" t="s">
        <v>80</v>
      </c>
      <c r="D28" s="20" t="s">
        <v>80</v>
      </c>
      <c r="E28" s="20" t="s">
        <v>80</v>
      </c>
      <c r="F28" s="20" t="s">
        <v>80</v>
      </c>
      <c r="G28" s="20" t="s">
        <v>80</v>
      </c>
      <c r="H28" s="20" t="s">
        <v>80</v>
      </c>
      <c r="I28" s="26" t="s">
        <v>80</v>
      </c>
    </row>
    <row r="29" spans="1:9">
      <c r="A29" s="9" t="s">
        <v>187</v>
      </c>
      <c r="B29" s="20" t="s">
        <v>80</v>
      </c>
      <c r="C29" s="20" t="s">
        <v>80</v>
      </c>
      <c r="D29" s="20" t="s">
        <v>80</v>
      </c>
      <c r="E29" s="20" t="s">
        <v>80</v>
      </c>
      <c r="F29" s="20" t="s">
        <v>80</v>
      </c>
      <c r="G29" s="20" t="s">
        <v>80</v>
      </c>
      <c r="H29" s="20" t="s">
        <v>80</v>
      </c>
      <c r="I29" s="26" t="s">
        <v>80</v>
      </c>
    </row>
    <row r="30" spans="1:9">
      <c r="A30" s="9" t="s">
        <v>188</v>
      </c>
      <c r="B30" s="20" t="s">
        <v>80</v>
      </c>
      <c r="C30" s="20" t="s">
        <v>80</v>
      </c>
      <c r="D30" s="20" t="s">
        <v>80</v>
      </c>
      <c r="E30" s="20" t="s">
        <v>80</v>
      </c>
      <c r="F30" s="20" t="s">
        <v>80</v>
      </c>
      <c r="G30" s="20" t="s">
        <v>80</v>
      </c>
      <c r="H30" s="20" t="s">
        <v>80</v>
      </c>
      <c r="I30" s="26" t="s">
        <v>80</v>
      </c>
    </row>
    <row r="31" spans="1:9">
      <c r="A31" s="9" t="s">
        <v>189</v>
      </c>
      <c r="B31" s="20" t="s">
        <v>80</v>
      </c>
      <c r="C31" s="20" t="s">
        <v>80</v>
      </c>
      <c r="D31" s="20" t="s">
        <v>80</v>
      </c>
      <c r="E31" s="20" t="s">
        <v>80</v>
      </c>
      <c r="F31" s="20" t="s">
        <v>80</v>
      </c>
      <c r="G31" s="20" t="s">
        <v>80</v>
      </c>
      <c r="H31" s="20" t="s">
        <v>80</v>
      </c>
      <c r="I31" s="26" t="s">
        <v>80</v>
      </c>
    </row>
    <row r="32" spans="1:9">
      <c r="A32" s="9" t="s">
        <v>190</v>
      </c>
      <c r="B32" s="20" t="s">
        <v>80</v>
      </c>
      <c r="C32" s="20" t="s">
        <v>80</v>
      </c>
      <c r="D32" s="20" t="s">
        <v>80</v>
      </c>
      <c r="E32" s="20" t="s">
        <v>80</v>
      </c>
      <c r="F32" s="20" t="s">
        <v>80</v>
      </c>
      <c r="G32" s="20" t="s">
        <v>80</v>
      </c>
      <c r="H32" s="20" t="s">
        <v>80</v>
      </c>
      <c r="I32" s="26" t="s">
        <v>80</v>
      </c>
    </row>
    <row r="33" spans="1:9">
      <c r="A33" s="9" t="s">
        <v>191</v>
      </c>
      <c r="B33" s="20" t="s">
        <v>80</v>
      </c>
      <c r="C33" s="20" t="s">
        <v>80</v>
      </c>
      <c r="D33" s="20" t="s">
        <v>80</v>
      </c>
      <c r="E33" s="20" t="s">
        <v>80</v>
      </c>
      <c r="F33" s="20" t="s">
        <v>80</v>
      </c>
      <c r="G33" s="20" t="s">
        <v>80</v>
      </c>
      <c r="H33" s="20" t="s">
        <v>80</v>
      </c>
      <c r="I33" s="26" t="s">
        <v>80</v>
      </c>
    </row>
    <row r="34" spans="1:9">
      <c r="A34" s="9" t="s">
        <v>192</v>
      </c>
      <c r="B34" s="20" t="s">
        <v>80</v>
      </c>
      <c r="C34" s="15">
        <v>16.9955985269821</v>
      </c>
      <c r="D34" s="20" t="s">
        <v>80</v>
      </c>
      <c r="E34" s="20" t="s">
        <v>80</v>
      </c>
      <c r="F34" s="20" t="s">
        <v>80</v>
      </c>
      <c r="G34" s="20" t="s">
        <v>80</v>
      </c>
      <c r="H34" s="20" t="s">
        <v>80</v>
      </c>
      <c r="I34" s="26" t="s">
        <v>80</v>
      </c>
    </row>
    <row r="35" spans="1:9">
      <c r="A35" s="9" t="s">
        <v>193</v>
      </c>
      <c r="B35" s="20" t="s">
        <v>80</v>
      </c>
      <c r="C35" s="15">
        <v>14.4831867688308</v>
      </c>
      <c r="D35" s="20" t="s">
        <v>80</v>
      </c>
      <c r="E35" s="20" t="s">
        <v>80</v>
      </c>
      <c r="F35" s="20" t="s">
        <v>80</v>
      </c>
      <c r="G35" s="20" t="s">
        <v>80</v>
      </c>
      <c r="H35" s="20" t="s">
        <v>80</v>
      </c>
      <c r="I35" s="26" t="s">
        <v>80</v>
      </c>
    </row>
    <row r="36" spans="1:9">
      <c r="A36" s="9" t="s">
        <v>194</v>
      </c>
      <c r="B36" s="20" t="s">
        <v>80</v>
      </c>
      <c r="C36" s="15">
        <v>11.6818713173686</v>
      </c>
      <c r="D36" s="20" t="s">
        <v>80</v>
      </c>
      <c r="E36" s="20" t="s">
        <v>80</v>
      </c>
      <c r="F36" s="20" t="s">
        <v>80</v>
      </c>
      <c r="G36" s="20" t="s">
        <v>80</v>
      </c>
      <c r="H36" s="20" t="s">
        <v>80</v>
      </c>
      <c r="I36" s="26" t="s">
        <v>80</v>
      </c>
    </row>
    <row r="37" spans="1:9">
      <c r="A37" s="9" t="s">
        <v>195</v>
      </c>
      <c r="B37" s="20" t="s">
        <v>80</v>
      </c>
      <c r="C37" s="15">
        <v>17.513422408068902</v>
      </c>
      <c r="D37" s="20" t="s">
        <v>80</v>
      </c>
      <c r="E37" s="20" t="s">
        <v>80</v>
      </c>
      <c r="F37" s="20" t="s">
        <v>80</v>
      </c>
      <c r="G37" s="20" t="s">
        <v>80</v>
      </c>
      <c r="H37" s="20" t="s">
        <v>80</v>
      </c>
      <c r="I37" s="26" t="s">
        <v>80</v>
      </c>
    </row>
    <row r="38" spans="1:9">
      <c r="A38" s="9" t="s">
        <v>196</v>
      </c>
      <c r="B38" s="20" t="s">
        <v>80</v>
      </c>
      <c r="C38" s="15">
        <v>14.628057209908301</v>
      </c>
      <c r="D38" s="20" t="s">
        <v>80</v>
      </c>
      <c r="E38" s="20" t="s">
        <v>80</v>
      </c>
      <c r="F38" s="20" t="s">
        <v>80</v>
      </c>
      <c r="G38" s="20" t="s">
        <v>80</v>
      </c>
      <c r="H38" s="20" t="s">
        <v>80</v>
      </c>
      <c r="I38" s="26" t="s">
        <v>80</v>
      </c>
    </row>
    <row r="39" spans="1:9">
      <c r="A39" s="9" t="s">
        <v>197</v>
      </c>
      <c r="B39" s="20" t="s">
        <v>80</v>
      </c>
      <c r="C39" s="15">
        <v>26.290992697771198</v>
      </c>
      <c r="D39" s="20" t="s">
        <v>80</v>
      </c>
      <c r="E39" s="20" t="s">
        <v>80</v>
      </c>
      <c r="F39" s="20" t="s">
        <v>80</v>
      </c>
      <c r="G39" s="20" t="s">
        <v>80</v>
      </c>
      <c r="H39" s="20" t="s">
        <v>80</v>
      </c>
      <c r="I39" s="26" t="s">
        <v>80</v>
      </c>
    </row>
    <row r="40" spans="1:9">
      <c r="A40" s="9" t="s">
        <v>198</v>
      </c>
      <c r="B40" s="20" t="s">
        <v>80</v>
      </c>
      <c r="C40" s="20" t="s">
        <v>80</v>
      </c>
      <c r="D40" s="20" t="s">
        <v>80</v>
      </c>
      <c r="E40" s="20" t="s">
        <v>80</v>
      </c>
      <c r="F40" s="20" t="s">
        <v>80</v>
      </c>
      <c r="G40" s="20" t="s">
        <v>80</v>
      </c>
      <c r="H40" s="20" t="s">
        <v>80</v>
      </c>
      <c r="I40" s="26" t="s">
        <v>80</v>
      </c>
    </row>
    <row r="41" spans="1:9">
      <c r="A41" s="9" t="s">
        <v>199</v>
      </c>
      <c r="B41" s="20" t="s">
        <v>80</v>
      </c>
      <c r="C41" s="15">
        <v>16.144074974016799</v>
      </c>
      <c r="D41" s="20" t="s">
        <v>80</v>
      </c>
      <c r="E41" s="20" t="s">
        <v>80</v>
      </c>
      <c r="F41" s="20" t="s">
        <v>80</v>
      </c>
      <c r="G41" s="20" t="s">
        <v>80</v>
      </c>
      <c r="H41" s="20" t="s">
        <v>80</v>
      </c>
      <c r="I41" s="26" t="s">
        <v>80</v>
      </c>
    </row>
    <row r="42" spans="1:9">
      <c r="A42" s="9" t="s">
        <v>200</v>
      </c>
      <c r="B42" s="20" t="s">
        <v>80</v>
      </c>
      <c r="C42" s="20" t="s">
        <v>80</v>
      </c>
      <c r="D42" s="20" t="s">
        <v>80</v>
      </c>
      <c r="E42" s="20" t="s">
        <v>80</v>
      </c>
      <c r="F42" s="20" t="s">
        <v>80</v>
      </c>
      <c r="G42" s="20" t="s">
        <v>80</v>
      </c>
      <c r="H42" s="20" t="s">
        <v>80</v>
      </c>
      <c r="I42" s="26" t="s">
        <v>80</v>
      </c>
    </row>
    <row r="43" spans="1:9">
      <c r="A43" s="9" t="s">
        <v>201</v>
      </c>
      <c r="B43" s="20" t="s">
        <v>80</v>
      </c>
      <c r="C43" s="15">
        <v>21.666887915758</v>
      </c>
      <c r="D43" s="20" t="s">
        <v>80</v>
      </c>
      <c r="E43" s="20" t="s">
        <v>80</v>
      </c>
      <c r="F43" s="20" t="s">
        <v>80</v>
      </c>
      <c r="G43" s="20" t="s">
        <v>80</v>
      </c>
      <c r="H43" s="20" t="s">
        <v>80</v>
      </c>
      <c r="I43" s="26" t="s">
        <v>80</v>
      </c>
    </row>
    <row r="44" spans="1:9">
      <c r="A44" s="9" t="s">
        <v>202</v>
      </c>
      <c r="B44" s="20" t="s">
        <v>80</v>
      </c>
      <c r="C44" s="15">
        <v>40.214211820994002</v>
      </c>
      <c r="D44" s="20" t="s">
        <v>80</v>
      </c>
      <c r="E44" s="20" t="s">
        <v>80</v>
      </c>
      <c r="F44" s="20" t="s">
        <v>80</v>
      </c>
      <c r="G44" s="20" t="s">
        <v>80</v>
      </c>
      <c r="H44" s="20" t="s">
        <v>80</v>
      </c>
      <c r="I44" s="26" t="s">
        <v>80</v>
      </c>
    </row>
    <row r="45" spans="1:9">
      <c r="A45" s="9" t="s">
        <v>203</v>
      </c>
      <c r="B45" s="20" t="s">
        <v>80</v>
      </c>
      <c r="C45" s="20" t="s">
        <v>80</v>
      </c>
      <c r="D45" s="20" t="s">
        <v>80</v>
      </c>
      <c r="E45" s="20" t="s">
        <v>80</v>
      </c>
      <c r="F45" s="20" t="s">
        <v>80</v>
      </c>
      <c r="G45" s="20" t="s">
        <v>80</v>
      </c>
      <c r="H45" s="20" t="s">
        <v>80</v>
      </c>
      <c r="I45" s="26" t="s">
        <v>80</v>
      </c>
    </row>
    <row r="46" spans="1:9">
      <c r="A46" s="9" t="s">
        <v>204</v>
      </c>
      <c r="B46" s="20" t="s">
        <v>80</v>
      </c>
      <c r="C46" s="15">
        <v>14.386968008469101</v>
      </c>
      <c r="D46" s="20" t="s">
        <v>80</v>
      </c>
      <c r="E46" s="20" t="s">
        <v>80</v>
      </c>
      <c r="F46" s="20" t="s">
        <v>80</v>
      </c>
      <c r="G46" s="20" t="s">
        <v>80</v>
      </c>
      <c r="H46" s="20" t="s">
        <v>80</v>
      </c>
      <c r="I46" s="26" t="s">
        <v>80</v>
      </c>
    </row>
    <row r="47" spans="1:9">
      <c r="A47" s="9" t="s">
        <v>205</v>
      </c>
      <c r="B47" s="20" t="s">
        <v>80</v>
      </c>
      <c r="C47" s="20" t="s">
        <v>80</v>
      </c>
      <c r="D47" s="20" t="s">
        <v>80</v>
      </c>
      <c r="E47" s="20" t="s">
        <v>80</v>
      </c>
      <c r="F47" s="20" t="s">
        <v>80</v>
      </c>
      <c r="G47" s="20" t="s">
        <v>80</v>
      </c>
      <c r="H47" s="20" t="s">
        <v>80</v>
      </c>
      <c r="I47" s="26" t="s">
        <v>80</v>
      </c>
    </row>
    <row r="48" spans="1:9">
      <c r="A48" s="9" t="s">
        <v>206</v>
      </c>
      <c r="B48" s="20" t="s">
        <v>80</v>
      </c>
      <c r="C48" s="20" t="s">
        <v>80</v>
      </c>
      <c r="D48" s="20" t="s">
        <v>80</v>
      </c>
      <c r="E48" s="20" t="s">
        <v>80</v>
      </c>
      <c r="F48" s="20" t="s">
        <v>80</v>
      </c>
      <c r="G48" s="20" t="s">
        <v>80</v>
      </c>
      <c r="H48" s="20" t="s">
        <v>80</v>
      </c>
      <c r="I48" s="26" t="s">
        <v>80</v>
      </c>
    </row>
    <row r="49" spans="1:9">
      <c r="A49" s="9" t="s">
        <v>207</v>
      </c>
      <c r="B49" s="20" t="s">
        <v>80</v>
      </c>
      <c r="C49" s="20" t="s">
        <v>80</v>
      </c>
      <c r="D49" s="20" t="s">
        <v>80</v>
      </c>
      <c r="E49" s="20" t="s">
        <v>80</v>
      </c>
      <c r="F49" s="20" t="s">
        <v>80</v>
      </c>
      <c r="G49" s="20" t="s">
        <v>80</v>
      </c>
      <c r="H49" s="20" t="s">
        <v>80</v>
      </c>
      <c r="I49" s="26" t="s">
        <v>80</v>
      </c>
    </row>
    <row r="50" spans="1:9">
      <c r="A50" s="9" t="s">
        <v>208</v>
      </c>
      <c r="B50" s="20" t="s">
        <v>80</v>
      </c>
      <c r="C50" s="15">
        <v>36.466575463978103</v>
      </c>
      <c r="D50" s="20" t="s">
        <v>80</v>
      </c>
      <c r="E50" s="20" t="s">
        <v>80</v>
      </c>
      <c r="F50" s="20" t="s">
        <v>80</v>
      </c>
      <c r="G50" s="20" t="s">
        <v>80</v>
      </c>
      <c r="H50" s="20" t="s">
        <v>80</v>
      </c>
      <c r="I50" s="26" t="s">
        <v>80</v>
      </c>
    </row>
    <row r="51" spans="1:9">
      <c r="A51" s="9" t="s">
        <v>209</v>
      </c>
      <c r="B51" s="20" t="s">
        <v>80</v>
      </c>
      <c r="C51" s="15">
        <v>16.976442962202601</v>
      </c>
      <c r="D51" s="20" t="s">
        <v>80</v>
      </c>
      <c r="E51" s="20" t="s">
        <v>80</v>
      </c>
      <c r="F51" s="20" t="s">
        <v>80</v>
      </c>
      <c r="G51" s="20" t="s">
        <v>80</v>
      </c>
      <c r="H51" s="20" t="s">
        <v>80</v>
      </c>
      <c r="I51" s="26" t="s">
        <v>80</v>
      </c>
    </row>
    <row r="52" spans="1:9">
      <c r="A52" s="9" t="s">
        <v>210</v>
      </c>
      <c r="B52" s="20" t="s">
        <v>80</v>
      </c>
      <c r="C52" s="15">
        <v>14.410037076215</v>
      </c>
      <c r="D52" s="20" t="s">
        <v>80</v>
      </c>
      <c r="E52" s="20" t="s">
        <v>80</v>
      </c>
      <c r="F52" s="20" t="s">
        <v>80</v>
      </c>
      <c r="G52" s="20" t="s">
        <v>80</v>
      </c>
      <c r="H52" s="20" t="s">
        <v>80</v>
      </c>
      <c r="I52" s="26" t="s">
        <v>80</v>
      </c>
    </row>
    <row r="53" spans="1:9">
      <c r="A53" s="9" t="s">
        <v>211</v>
      </c>
      <c r="B53" s="20" t="s">
        <v>80</v>
      </c>
      <c r="C53" s="15">
        <v>21.389390322162502</v>
      </c>
      <c r="D53" s="20" t="s">
        <v>80</v>
      </c>
      <c r="E53" s="20" t="s">
        <v>80</v>
      </c>
      <c r="F53" s="20" t="s">
        <v>80</v>
      </c>
      <c r="G53" s="20" t="s">
        <v>80</v>
      </c>
      <c r="H53" s="20" t="s">
        <v>80</v>
      </c>
      <c r="I53" s="26" t="s">
        <v>80</v>
      </c>
    </row>
    <row r="54" spans="1:9">
      <c r="A54" s="9" t="s">
        <v>212</v>
      </c>
      <c r="B54" s="20" t="s">
        <v>80</v>
      </c>
      <c r="C54" s="15">
        <v>20.808472891880101</v>
      </c>
      <c r="D54" s="20" t="s">
        <v>80</v>
      </c>
      <c r="E54" s="20" t="s">
        <v>80</v>
      </c>
      <c r="F54" s="20" t="s">
        <v>80</v>
      </c>
      <c r="G54" s="20" t="s">
        <v>80</v>
      </c>
      <c r="H54" s="20" t="s">
        <v>80</v>
      </c>
      <c r="I54" s="26" t="s">
        <v>80</v>
      </c>
    </row>
    <row r="55" spans="1:9">
      <c r="A55" s="9" t="s">
        <v>213</v>
      </c>
      <c r="B55" s="20" t="s">
        <v>80</v>
      </c>
      <c r="C55" s="20" t="s">
        <v>80</v>
      </c>
      <c r="D55" s="20" t="s">
        <v>80</v>
      </c>
      <c r="E55" s="20" t="s">
        <v>80</v>
      </c>
      <c r="F55" s="20" t="s">
        <v>80</v>
      </c>
      <c r="G55" s="20" t="s">
        <v>80</v>
      </c>
      <c r="H55" s="20" t="s">
        <v>80</v>
      </c>
      <c r="I55" s="26" t="s">
        <v>80</v>
      </c>
    </row>
    <row r="56" spans="1:9">
      <c r="A56" s="9" t="s">
        <v>214</v>
      </c>
      <c r="B56" s="20" t="s">
        <v>80</v>
      </c>
      <c r="C56" s="20" t="s">
        <v>80</v>
      </c>
      <c r="D56" s="20" t="s">
        <v>80</v>
      </c>
      <c r="E56" s="20" t="s">
        <v>80</v>
      </c>
      <c r="F56" s="20" t="s">
        <v>80</v>
      </c>
      <c r="G56" s="20" t="s">
        <v>80</v>
      </c>
      <c r="H56" s="20" t="s">
        <v>80</v>
      </c>
      <c r="I56" s="26" t="s">
        <v>80</v>
      </c>
    </row>
    <row r="57" spans="1:9">
      <c r="A57" s="9" t="s">
        <v>215</v>
      </c>
      <c r="B57" s="20" t="s">
        <v>80</v>
      </c>
      <c r="C57" s="20" t="s">
        <v>80</v>
      </c>
      <c r="D57" s="20" t="s">
        <v>80</v>
      </c>
      <c r="E57" s="20" t="s">
        <v>80</v>
      </c>
      <c r="F57" s="20" t="s">
        <v>80</v>
      </c>
      <c r="G57" s="20" t="s">
        <v>80</v>
      </c>
      <c r="H57" s="20" t="s">
        <v>80</v>
      </c>
      <c r="I57" s="26" t="s">
        <v>80</v>
      </c>
    </row>
    <row r="58" spans="1:9">
      <c r="A58" s="9" t="s">
        <v>216</v>
      </c>
      <c r="B58" s="20" t="s">
        <v>80</v>
      </c>
      <c r="C58" s="15">
        <v>15.3357239079936</v>
      </c>
      <c r="D58" s="20" t="s">
        <v>80</v>
      </c>
      <c r="E58" s="20" t="s">
        <v>80</v>
      </c>
      <c r="F58" s="20" t="s">
        <v>80</v>
      </c>
      <c r="G58" s="20" t="s">
        <v>80</v>
      </c>
      <c r="H58" s="20" t="s">
        <v>80</v>
      </c>
      <c r="I58" s="26" t="s">
        <v>80</v>
      </c>
    </row>
    <row r="59" spans="1:9">
      <c r="A59" s="9" t="s">
        <v>217</v>
      </c>
      <c r="B59" s="20" t="s">
        <v>80</v>
      </c>
      <c r="C59" s="20" t="s">
        <v>80</v>
      </c>
      <c r="D59" s="20" t="s">
        <v>80</v>
      </c>
      <c r="E59" s="20" t="s">
        <v>80</v>
      </c>
      <c r="F59" s="20" t="s">
        <v>80</v>
      </c>
      <c r="G59" s="20" t="s">
        <v>80</v>
      </c>
      <c r="H59" s="20" t="s">
        <v>80</v>
      </c>
      <c r="I59" s="26" t="s">
        <v>80</v>
      </c>
    </row>
    <row r="60" spans="1:9">
      <c r="A60" s="9" t="s">
        <v>218</v>
      </c>
      <c r="B60" s="20" t="s">
        <v>80</v>
      </c>
      <c r="C60" s="20" t="s">
        <v>80</v>
      </c>
      <c r="D60" s="20" t="s">
        <v>80</v>
      </c>
      <c r="E60" s="20" t="s">
        <v>80</v>
      </c>
      <c r="F60" s="20" t="s">
        <v>80</v>
      </c>
      <c r="G60" s="20" t="s">
        <v>80</v>
      </c>
      <c r="H60" s="20" t="s">
        <v>80</v>
      </c>
      <c r="I60" s="26" t="s">
        <v>80</v>
      </c>
    </row>
    <row r="61" spans="1:9">
      <c r="A61" s="9" t="s">
        <v>219</v>
      </c>
      <c r="B61" s="20" t="s">
        <v>80</v>
      </c>
      <c r="C61" s="20" t="s">
        <v>80</v>
      </c>
      <c r="D61" s="20" t="s">
        <v>80</v>
      </c>
      <c r="E61" s="20" t="s">
        <v>80</v>
      </c>
      <c r="F61" s="20" t="s">
        <v>80</v>
      </c>
      <c r="G61" s="20" t="s">
        <v>80</v>
      </c>
      <c r="H61" s="20" t="s">
        <v>80</v>
      </c>
      <c r="I61" s="26" t="s">
        <v>80</v>
      </c>
    </row>
    <row r="62" spans="1:9">
      <c r="A62" s="9" t="s">
        <v>220</v>
      </c>
      <c r="B62" s="20" t="s">
        <v>80</v>
      </c>
      <c r="C62" s="20" t="s">
        <v>80</v>
      </c>
      <c r="D62" s="20" t="s">
        <v>80</v>
      </c>
      <c r="E62" s="20" t="s">
        <v>80</v>
      </c>
      <c r="F62" s="20" t="s">
        <v>80</v>
      </c>
      <c r="G62" s="20" t="s">
        <v>80</v>
      </c>
      <c r="H62" s="20" t="s">
        <v>80</v>
      </c>
      <c r="I62" s="26" t="s">
        <v>80</v>
      </c>
    </row>
    <row r="63" spans="1:9">
      <c r="A63" s="9" t="s">
        <v>221</v>
      </c>
      <c r="B63" s="20" t="s">
        <v>80</v>
      </c>
      <c r="C63" s="20" t="s">
        <v>80</v>
      </c>
      <c r="D63" s="20" t="s">
        <v>80</v>
      </c>
      <c r="E63" s="20" t="s">
        <v>80</v>
      </c>
      <c r="F63" s="20" t="s">
        <v>80</v>
      </c>
      <c r="G63" s="20" t="s">
        <v>80</v>
      </c>
      <c r="H63" s="20" t="s">
        <v>80</v>
      </c>
      <c r="I63" s="26" t="s">
        <v>80</v>
      </c>
    </row>
    <row r="64" spans="1:9">
      <c r="A64" s="11" t="s">
        <v>222</v>
      </c>
      <c r="B64" s="28" t="s">
        <v>80</v>
      </c>
      <c r="C64" s="28" t="s">
        <v>80</v>
      </c>
      <c r="D64" s="28" t="s">
        <v>80</v>
      </c>
      <c r="E64" s="28" t="s">
        <v>80</v>
      </c>
      <c r="F64" s="28" t="s">
        <v>80</v>
      </c>
      <c r="G64" s="28" t="s">
        <v>80</v>
      </c>
      <c r="H64" s="28" t="s">
        <v>80</v>
      </c>
      <c r="I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254</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161</v>
      </c>
      <c r="B3" s="15">
        <v>36.868666296885699</v>
      </c>
      <c r="C3" s="15">
        <v>43.503116589940703</v>
      </c>
      <c r="D3" s="24">
        <v>31.064473174001801</v>
      </c>
      <c r="E3" s="15">
        <v>37.051075428753499</v>
      </c>
      <c r="F3" s="15">
        <v>46.969534799623197</v>
      </c>
      <c r="G3" s="24">
        <v>28.322850708899601</v>
      </c>
      <c r="H3" s="15">
        <v>36.129749331549696</v>
      </c>
      <c r="I3" s="15">
        <v>39.667728841879097</v>
      </c>
      <c r="J3" s="24">
        <v>33.006637263787901</v>
      </c>
      <c r="K3" s="15">
        <v>47.6625791047598</v>
      </c>
      <c r="L3" s="20" t="s">
        <v>80</v>
      </c>
      <c r="M3" s="26" t="s">
        <v>80</v>
      </c>
      <c r="N3" s="15">
        <v>43.969309286208301</v>
      </c>
      <c r="O3" s="20" t="s">
        <v>80</v>
      </c>
      <c r="P3" s="26" t="s">
        <v>80</v>
      </c>
    </row>
    <row r="4" spans="1:16">
      <c r="A4" s="9" t="s">
        <v>162</v>
      </c>
      <c r="B4" s="15">
        <v>24.995435162410999</v>
      </c>
      <c r="C4" s="15">
        <v>28.529457496440902</v>
      </c>
      <c r="D4" s="24">
        <v>21.903672134392401</v>
      </c>
      <c r="E4" s="15">
        <v>24.3519435753701</v>
      </c>
      <c r="F4" s="15">
        <v>28.103585477454601</v>
      </c>
      <c r="G4" s="24">
        <v>21.050506087408401</v>
      </c>
      <c r="H4" s="15">
        <v>26.156433191398499</v>
      </c>
      <c r="I4" s="15">
        <v>29.764239390467299</v>
      </c>
      <c r="J4" s="24">
        <v>22.971682390677099</v>
      </c>
      <c r="K4" s="20" t="s">
        <v>80</v>
      </c>
      <c r="L4" s="20" t="s">
        <v>80</v>
      </c>
      <c r="M4" s="26" t="s">
        <v>80</v>
      </c>
      <c r="N4" s="20" t="s">
        <v>80</v>
      </c>
      <c r="O4" s="20" t="s">
        <v>80</v>
      </c>
      <c r="P4" s="26" t="s">
        <v>80</v>
      </c>
    </row>
    <row r="5" spans="1:16">
      <c r="A5" s="9" t="s">
        <v>163</v>
      </c>
      <c r="B5" s="15">
        <v>26.776121790389201</v>
      </c>
      <c r="C5" s="15">
        <v>23.715293405997802</v>
      </c>
      <c r="D5" s="24">
        <v>29.453907933064801</v>
      </c>
      <c r="E5" s="15">
        <v>26.206246694549201</v>
      </c>
      <c r="F5" s="15">
        <v>24.375404604164</v>
      </c>
      <c r="G5" s="24">
        <v>27.8173841297019</v>
      </c>
      <c r="H5" s="15">
        <v>27.476161412521702</v>
      </c>
      <c r="I5" s="15">
        <v>23.118160004052701</v>
      </c>
      <c r="J5" s="24">
        <v>31.323138691608602</v>
      </c>
      <c r="K5" s="20" t="s">
        <v>80</v>
      </c>
      <c r="L5" s="20" t="s">
        <v>80</v>
      </c>
      <c r="M5" s="26" t="s">
        <v>80</v>
      </c>
      <c r="N5" s="20" t="s">
        <v>80</v>
      </c>
      <c r="O5" s="20" t="s">
        <v>80</v>
      </c>
      <c r="P5" s="26" t="s">
        <v>80</v>
      </c>
    </row>
    <row r="6" spans="1:16">
      <c r="A6" s="9" t="s">
        <v>164</v>
      </c>
      <c r="B6" s="15">
        <v>44.232925889987001</v>
      </c>
      <c r="C6" s="15">
        <v>55.2680570119282</v>
      </c>
      <c r="D6" s="24">
        <v>34.578767770038198</v>
      </c>
      <c r="E6" s="15">
        <v>49.157752691097002</v>
      </c>
      <c r="F6" s="15">
        <v>58.324364910231203</v>
      </c>
      <c r="G6" s="24">
        <v>41.091151984605801</v>
      </c>
      <c r="H6" s="15">
        <v>39.904406101443101</v>
      </c>
      <c r="I6" s="15">
        <v>52.6123724983009</v>
      </c>
      <c r="J6" s="24">
        <v>28.6865900867191</v>
      </c>
      <c r="K6" s="20" t="s">
        <v>80</v>
      </c>
      <c r="L6" s="20" t="s">
        <v>80</v>
      </c>
      <c r="M6" s="26" t="s">
        <v>80</v>
      </c>
      <c r="N6" s="15">
        <v>36.334256805510499</v>
      </c>
      <c r="O6" s="20" t="s">
        <v>80</v>
      </c>
      <c r="P6" s="26" t="s">
        <v>80</v>
      </c>
    </row>
    <row r="7" spans="1:16">
      <c r="A7" s="9" t="s">
        <v>165</v>
      </c>
      <c r="B7" s="15">
        <v>22.948866804887</v>
      </c>
      <c r="C7" s="15">
        <v>30.8473532897154</v>
      </c>
      <c r="D7" s="24">
        <v>16.038823182369601</v>
      </c>
      <c r="E7" s="15">
        <v>30.430050328151601</v>
      </c>
      <c r="F7" s="15">
        <v>39.652107597251899</v>
      </c>
      <c r="G7" s="24">
        <v>22.314658086845199</v>
      </c>
      <c r="H7" s="15">
        <v>15.2853856690763</v>
      </c>
      <c r="I7" s="15">
        <v>22.2436176218343</v>
      </c>
      <c r="J7" s="24">
        <v>9.1430837935289393</v>
      </c>
      <c r="K7" s="20" t="s">
        <v>80</v>
      </c>
      <c r="L7" s="20" t="s">
        <v>80</v>
      </c>
      <c r="M7" s="26" t="s">
        <v>80</v>
      </c>
      <c r="N7" s="20" t="s">
        <v>80</v>
      </c>
      <c r="O7" s="20" t="s">
        <v>80</v>
      </c>
      <c r="P7" s="26" t="s">
        <v>80</v>
      </c>
    </row>
    <row r="8" spans="1:16">
      <c r="A8" s="9" t="s">
        <v>166</v>
      </c>
      <c r="B8" s="15">
        <v>3.9104052924806099</v>
      </c>
      <c r="C8" s="15">
        <v>5.7939159439580301</v>
      </c>
      <c r="D8" s="24">
        <v>2.2626034268719399</v>
      </c>
      <c r="E8" s="15">
        <v>4.5022268999464803</v>
      </c>
      <c r="F8" s="15">
        <v>6.9679103929889097</v>
      </c>
      <c r="G8" s="24">
        <v>2.3324302802702999</v>
      </c>
      <c r="H8" s="15">
        <v>3.3128748038476701</v>
      </c>
      <c r="I8" s="15">
        <v>4.6526809036194603</v>
      </c>
      <c r="J8" s="24">
        <v>2.13017586892123</v>
      </c>
      <c r="K8" s="20" t="s">
        <v>80</v>
      </c>
      <c r="L8" s="20" t="s">
        <v>80</v>
      </c>
      <c r="M8" s="26" t="s">
        <v>80</v>
      </c>
      <c r="N8" s="20" t="s">
        <v>80</v>
      </c>
      <c r="O8" s="20" t="s">
        <v>80</v>
      </c>
      <c r="P8" s="26" t="s">
        <v>80</v>
      </c>
    </row>
    <row r="9" spans="1:16">
      <c r="A9" s="9" t="s">
        <v>167</v>
      </c>
      <c r="B9" s="15">
        <v>14.041148504305999</v>
      </c>
      <c r="C9" s="15">
        <v>19.640658425173399</v>
      </c>
      <c r="D9" s="24">
        <v>9.1423798741090501</v>
      </c>
      <c r="E9" s="15">
        <v>15.4317894616087</v>
      </c>
      <c r="F9" s="15">
        <v>22.0389251898861</v>
      </c>
      <c r="G9" s="24">
        <v>9.6175230282195905</v>
      </c>
      <c r="H9" s="15">
        <v>12.8154040323684</v>
      </c>
      <c r="I9" s="15">
        <v>17.386198461245701</v>
      </c>
      <c r="J9" s="24">
        <v>8.7805860809336505</v>
      </c>
      <c r="K9" s="20" t="s">
        <v>80</v>
      </c>
      <c r="L9" s="20" t="s">
        <v>80</v>
      </c>
      <c r="M9" s="26" t="s">
        <v>80</v>
      </c>
      <c r="N9" s="20" t="s">
        <v>80</v>
      </c>
      <c r="O9" s="20" t="s">
        <v>80</v>
      </c>
      <c r="P9" s="26" t="s">
        <v>80</v>
      </c>
    </row>
    <row r="10" spans="1:16">
      <c r="A10" s="9" t="s">
        <v>168</v>
      </c>
      <c r="B10" s="15">
        <v>30.215782721781501</v>
      </c>
      <c r="C10" s="15">
        <v>26.863533833743901</v>
      </c>
      <c r="D10" s="24">
        <v>33.148520037262003</v>
      </c>
      <c r="E10" s="15">
        <v>37.523959791176999</v>
      </c>
      <c r="F10" s="15">
        <v>36.567662517038698</v>
      </c>
      <c r="G10" s="24">
        <v>38.365499509752397</v>
      </c>
      <c r="H10" s="15">
        <v>22.8858607463543</v>
      </c>
      <c r="I10" s="15">
        <v>16.933920844946101</v>
      </c>
      <c r="J10" s="24">
        <v>28.139869504293699</v>
      </c>
      <c r="K10" s="20" t="s">
        <v>80</v>
      </c>
      <c r="L10" s="20" t="s">
        <v>80</v>
      </c>
      <c r="M10" s="26" t="s">
        <v>80</v>
      </c>
      <c r="N10" s="15">
        <v>33.307167855790802</v>
      </c>
      <c r="O10" s="20" t="s">
        <v>80</v>
      </c>
      <c r="P10" s="26" t="s">
        <v>80</v>
      </c>
    </row>
    <row r="11" spans="1:16">
      <c r="A11" s="9" t="s">
        <v>169</v>
      </c>
      <c r="B11" s="15">
        <v>32.020297133351797</v>
      </c>
      <c r="C11" s="15">
        <v>36.017485579666896</v>
      </c>
      <c r="D11" s="24">
        <v>28.523330140433099</v>
      </c>
      <c r="E11" s="15">
        <v>30.395741982967699</v>
      </c>
      <c r="F11" s="15">
        <v>34.677948152216302</v>
      </c>
      <c r="G11" s="24">
        <v>26.6274089844256</v>
      </c>
      <c r="H11" s="15">
        <v>34.041540745996102</v>
      </c>
      <c r="I11" s="15">
        <v>37.513048070879002</v>
      </c>
      <c r="J11" s="24">
        <v>30.977106260716699</v>
      </c>
      <c r="K11" s="20" t="s">
        <v>80</v>
      </c>
      <c r="L11" s="20" t="s">
        <v>80</v>
      </c>
      <c r="M11" s="26" t="s">
        <v>80</v>
      </c>
      <c r="N11" s="20" t="s">
        <v>80</v>
      </c>
      <c r="O11" s="20" t="s">
        <v>80</v>
      </c>
      <c r="P11" s="26" t="s">
        <v>80</v>
      </c>
    </row>
    <row r="12" spans="1:16">
      <c r="A12" s="9" t="s">
        <v>170</v>
      </c>
      <c r="B12" s="15">
        <v>15.749625560443899</v>
      </c>
      <c r="C12" s="15">
        <v>19.792507255567301</v>
      </c>
      <c r="D12" s="24">
        <v>12.2126835238093</v>
      </c>
      <c r="E12" s="15">
        <v>17.719964881924898</v>
      </c>
      <c r="F12" s="15">
        <v>22.565839629453201</v>
      </c>
      <c r="G12" s="24">
        <v>13.455604644193301</v>
      </c>
      <c r="H12" s="15">
        <v>13.487922974945199</v>
      </c>
      <c r="I12" s="15">
        <v>16.6938771047699</v>
      </c>
      <c r="J12" s="24">
        <v>10.6579026194531</v>
      </c>
      <c r="K12" s="20" t="s">
        <v>80</v>
      </c>
      <c r="L12" s="20" t="s">
        <v>80</v>
      </c>
      <c r="M12" s="26" t="s">
        <v>80</v>
      </c>
      <c r="N12" s="20" t="s">
        <v>80</v>
      </c>
      <c r="O12" s="20" t="s">
        <v>80</v>
      </c>
      <c r="P12" s="26" t="s">
        <v>80</v>
      </c>
    </row>
    <row r="13" spans="1:16">
      <c r="A13" s="9" t="s">
        <v>171</v>
      </c>
      <c r="B13" s="15">
        <v>13.4510341307529</v>
      </c>
      <c r="C13" s="15">
        <v>17.7726053385833</v>
      </c>
      <c r="D13" s="24">
        <v>9.6702787137140298</v>
      </c>
      <c r="E13" s="15">
        <v>3.8179002802732298</v>
      </c>
      <c r="F13" s="15">
        <v>5.1106159642561604</v>
      </c>
      <c r="G13" s="24">
        <v>2.6803130233429102</v>
      </c>
      <c r="H13" s="15">
        <v>23.2296188688358</v>
      </c>
      <c r="I13" s="15">
        <v>30.720079932580301</v>
      </c>
      <c r="J13" s="24">
        <v>16.617497664351401</v>
      </c>
      <c r="K13" s="20" t="s">
        <v>80</v>
      </c>
      <c r="L13" s="20" t="s">
        <v>80</v>
      </c>
      <c r="M13" s="26" t="s">
        <v>80</v>
      </c>
      <c r="N13" s="20" t="s">
        <v>80</v>
      </c>
      <c r="O13" s="20" t="s">
        <v>80</v>
      </c>
      <c r="P13" s="26" t="s">
        <v>80</v>
      </c>
    </row>
    <row r="14" spans="1:16">
      <c r="A14" s="9" t="s">
        <v>172</v>
      </c>
      <c r="B14" s="15">
        <v>32.643724590269201</v>
      </c>
      <c r="C14" s="15">
        <v>40.731853312933502</v>
      </c>
      <c r="D14" s="24">
        <v>25.567771190146299</v>
      </c>
      <c r="E14" s="15">
        <v>30.839233782568201</v>
      </c>
      <c r="F14" s="15">
        <v>39.603135771570003</v>
      </c>
      <c r="G14" s="24">
        <v>23.127017285776201</v>
      </c>
      <c r="H14" s="15">
        <v>34.181713635522698</v>
      </c>
      <c r="I14" s="15">
        <v>41.793832211450102</v>
      </c>
      <c r="J14" s="24">
        <v>27.4622006150815</v>
      </c>
      <c r="K14" s="15">
        <v>44.1280660599759</v>
      </c>
      <c r="L14" s="20" t="s">
        <v>80</v>
      </c>
      <c r="M14" s="26" t="s">
        <v>80</v>
      </c>
      <c r="N14" s="15">
        <v>33.078893761226297</v>
      </c>
      <c r="O14" s="20" t="s">
        <v>80</v>
      </c>
      <c r="P14" s="26" t="s">
        <v>80</v>
      </c>
    </row>
    <row r="15" spans="1:16">
      <c r="A15" s="9" t="s">
        <v>173</v>
      </c>
      <c r="B15" s="15">
        <v>32.0015153597531</v>
      </c>
      <c r="C15" s="15">
        <v>39.538886521914897</v>
      </c>
      <c r="D15" s="24">
        <v>25.407395887663501</v>
      </c>
      <c r="E15" s="15">
        <v>37.457658215266498</v>
      </c>
      <c r="F15" s="15">
        <v>47.440138378020897</v>
      </c>
      <c r="G15" s="24">
        <v>28.673095324592001</v>
      </c>
      <c r="H15" s="15">
        <v>27.0283078359599</v>
      </c>
      <c r="I15" s="15">
        <v>32.044244222893198</v>
      </c>
      <c r="J15" s="24">
        <v>22.600545771363201</v>
      </c>
      <c r="K15" s="20" t="s">
        <v>80</v>
      </c>
      <c r="L15" s="20" t="s">
        <v>80</v>
      </c>
      <c r="M15" s="26" t="s">
        <v>80</v>
      </c>
      <c r="N15" s="20" t="s">
        <v>80</v>
      </c>
      <c r="O15" s="20" t="s">
        <v>80</v>
      </c>
      <c r="P15" s="26" t="s">
        <v>80</v>
      </c>
    </row>
    <row r="16" spans="1:16">
      <c r="A16" s="9" t="s">
        <v>174</v>
      </c>
      <c r="B16" s="15">
        <v>8.2788341531065193</v>
      </c>
      <c r="C16" s="15">
        <v>12.1545895621672</v>
      </c>
      <c r="D16" s="24">
        <v>4.8881036633779198</v>
      </c>
      <c r="E16" s="15">
        <v>9.4623116511766199</v>
      </c>
      <c r="F16" s="15">
        <v>14.145266726152199</v>
      </c>
      <c r="G16" s="24">
        <v>5.3413204045508396</v>
      </c>
      <c r="H16" s="15">
        <v>7.0494104189472599</v>
      </c>
      <c r="I16" s="15">
        <v>9.9074960633425295</v>
      </c>
      <c r="J16" s="24">
        <v>4.5264671004098904</v>
      </c>
      <c r="K16" s="20" t="s">
        <v>80</v>
      </c>
      <c r="L16" s="20" t="s">
        <v>80</v>
      </c>
      <c r="M16" s="26" t="s">
        <v>80</v>
      </c>
      <c r="N16" s="20" t="s">
        <v>80</v>
      </c>
      <c r="O16" s="20" t="s">
        <v>80</v>
      </c>
      <c r="P16" s="26" t="s">
        <v>80</v>
      </c>
    </row>
    <row r="17" spans="1:16">
      <c r="A17" s="9" t="s">
        <v>175</v>
      </c>
      <c r="B17" s="15">
        <v>48.693779366606798</v>
      </c>
      <c r="C17" s="15">
        <v>56.860139513131102</v>
      </c>
      <c r="D17" s="24">
        <v>41.549384683136502</v>
      </c>
      <c r="E17" s="15">
        <v>51.920067279584501</v>
      </c>
      <c r="F17" s="15">
        <v>59.067770901227902</v>
      </c>
      <c r="G17" s="24">
        <v>45.630102164251603</v>
      </c>
      <c r="H17" s="15">
        <v>45.978403080441197</v>
      </c>
      <c r="I17" s="15">
        <v>55.0172094949287</v>
      </c>
      <c r="J17" s="24">
        <v>37.999497236348098</v>
      </c>
      <c r="K17" s="20" t="s">
        <v>80</v>
      </c>
      <c r="L17" s="20" t="s">
        <v>80</v>
      </c>
      <c r="M17" s="26" t="s">
        <v>80</v>
      </c>
      <c r="N17" s="15">
        <v>41.354050643369298</v>
      </c>
      <c r="O17" s="20" t="s">
        <v>80</v>
      </c>
      <c r="P17" s="26" t="s">
        <v>80</v>
      </c>
    </row>
    <row r="18" spans="1:16">
      <c r="A18" s="9" t="s">
        <v>176</v>
      </c>
      <c r="B18" s="15">
        <v>23.969081232660798</v>
      </c>
      <c r="C18" s="15">
        <v>32.867781201723403</v>
      </c>
      <c r="D18" s="24">
        <v>16.183994167179598</v>
      </c>
      <c r="E18" s="15">
        <v>10.1938903777693</v>
      </c>
      <c r="F18" s="15">
        <v>16.431469981671501</v>
      </c>
      <c r="G18" s="24">
        <v>4.7048326062838299</v>
      </c>
      <c r="H18" s="15">
        <v>38.210498823673902</v>
      </c>
      <c r="I18" s="15">
        <v>49.954706445542598</v>
      </c>
      <c r="J18" s="24">
        <v>27.843430149852399</v>
      </c>
      <c r="K18" s="20" t="s">
        <v>80</v>
      </c>
      <c r="L18" s="20" t="s">
        <v>80</v>
      </c>
      <c r="M18" s="26" t="s">
        <v>80</v>
      </c>
      <c r="N18" s="20" t="s">
        <v>80</v>
      </c>
      <c r="O18" s="20" t="s">
        <v>80</v>
      </c>
      <c r="P18" s="26" t="s">
        <v>80</v>
      </c>
    </row>
    <row r="19" spans="1:16">
      <c r="A19" s="9" t="s">
        <v>177</v>
      </c>
      <c r="B19" s="15">
        <v>32.1525884213222</v>
      </c>
      <c r="C19" s="15">
        <v>40.823897886108803</v>
      </c>
      <c r="D19" s="24">
        <v>24.5664354563058</v>
      </c>
      <c r="E19" s="15">
        <v>33.8441981639387</v>
      </c>
      <c r="F19" s="15">
        <v>42.899441865121403</v>
      </c>
      <c r="G19" s="24">
        <v>25.875601533993098</v>
      </c>
      <c r="H19" s="15">
        <v>30.528839998805701</v>
      </c>
      <c r="I19" s="15">
        <v>38.755062133976999</v>
      </c>
      <c r="J19" s="24">
        <v>23.267233890733401</v>
      </c>
      <c r="K19" s="20" t="s">
        <v>80</v>
      </c>
      <c r="L19" s="20" t="s">
        <v>80</v>
      </c>
      <c r="M19" s="26" t="s">
        <v>80</v>
      </c>
      <c r="N19" s="15">
        <v>29.845070506109298</v>
      </c>
      <c r="O19" s="20" t="s">
        <v>80</v>
      </c>
      <c r="P19" s="26" t="s">
        <v>80</v>
      </c>
    </row>
    <row r="20" spans="1:16">
      <c r="A20" s="9" t="s">
        <v>178</v>
      </c>
      <c r="B20" s="15">
        <v>13.660001179794801</v>
      </c>
      <c r="C20" s="15">
        <v>16.720424700933101</v>
      </c>
      <c r="D20" s="24">
        <v>10.982569234438699</v>
      </c>
      <c r="E20" s="15">
        <v>14.994164499114101</v>
      </c>
      <c r="F20" s="15">
        <v>19.260786974070498</v>
      </c>
      <c r="G20" s="24">
        <v>11.2395451208696</v>
      </c>
      <c r="H20" s="15">
        <v>11.9279280349425</v>
      </c>
      <c r="I20" s="15">
        <v>13.6541715105049</v>
      </c>
      <c r="J20" s="24">
        <v>10.4041058040098</v>
      </c>
      <c r="K20" s="20" t="s">
        <v>80</v>
      </c>
      <c r="L20" s="20" t="s">
        <v>80</v>
      </c>
      <c r="M20" s="26" t="s">
        <v>80</v>
      </c>
      <c r="N20" s="20" t="s">
        <v>80</v>
      </c>
      <c r="O20" s="20" t="s">
        <v>80</v>
      </c>
      <c r="P20" s="26" t="s">
        <v>80</v>
      </c>
    </row>
    <row r="21" spans="1:16">
      <c r="A21" s="9" t="s">
        <v>179</v>
      </c>
      <c r="B21" s="15">
        <v>12.254293771883599</v>
      </c>
      <c r="C21" s="15">
        <v>14.407665028427401</v>
      </c>
      <c r="D21" s="24">
        <v>10.370402554651699</v>
      </c>
      <c r="E21" s="15">
        <v>9.1946718508476408</v>
      </c>
      <c r="F21" s="15">
        <v>13.9636184278607</v>
      </c>
      <c r="G21" s="24">
        <v>4.9980082517207398</v>
      </c>
      <c r="H21" s="15">
        <v>15.613274052046201</v>
      </c>
      <c r="I21" s="15">
        <v>14.804337898904899</v>
      </c>
      <c r="J21" s="24">
        <v>16.327353445255799</v>
      </c>
      <c r="K21" s="20" t="s">
        <v>80</v>
      </c>
      <c r="L21" s="20" t="s">
        <v>80</v>
      </c>
      <c r="M21" s="26" t="s">
        <v>80</v>
      </c>
      <c r="N21" s="20" t="s">
        <v>80</v>
      </c>
      <c r="O21" s="20" t="s">
        <v>80</v>
      </c>
      <c r="P21" s="26" t="s">
        <v>80</v>
      </c>
    </row>
    <row r="22" spans="1:16">
      <c r="A22" s="9" t="s">
        <v>180</v>
      </c>
      <c r="B22" s="15">
        <v>22.3717255693624</v>
      </c>
      <c r="C22" s="15">
        <v>28.751144175498801</v>
      </c>
      <c r="D22" s="24">
        <v>16.7906486200791</v>
      </c>
      <c r="E22" s="15">
        <v>30.818356841134602</v>
      </c>
      <c r="F22" s="15">
        <v>36.044404267423097</v>
      </c>
      <c r="G22" s="24">
        <v>26.219445394541602</v>
      </c>
      <c r="H22" s="15">
        <v>14.0408033000133</v>
      </c>
      <c r="I22" s="15">
        <v>21.815444936293201</v>
      </c>
      <c r="J22" s="24">
        <v>7.1778248554240003</v>
      </c>
      <c r="K22" s="20" t="s">
        <v>80</v>
      </c>
      <c r="L22" s="20" t="s">
        <v>80</v>
      </c>
      <c r="M22" s="26" t="s">
        <v>80</v>
      </c>
      <c r="N22" s="20" t="s">
        <v>80</v>
      </c>
      <c r="O22" s="20" t="s">
        <v>80</v>
      </c>
      <c r="P22" s="26" t="s">
        <v>80</v>
      </c>
    </row>
    <row r="23" spans="1:16">
      <c r="A23" s="9" t="s">
        <v>181</v>
      </c>
      <c r="B23" s="15">
        <v>17.655342170892101</v>
      </c>
      <c r="C23" s="15">
        <v>20.499054610322499</v>
      </c>
      <c r="D23" s="24">
        <v>15.167501361883399</v>
      </c>
      <c r="E23" s="15">
        <v>10.4626427758707</v>
      </c>
      <c r="F23" s="15">
        <v>13.715674715869399</v>
      </c>
      <c r="G23" s="24">
        <v>7.5999810729291504</v>
      </c>
      <c r="H23" s="15">
        <v>25.377682285370199</v>
      </c>
      <c r="I23" s="15">
        <v>27.717886519179999</v>
      </c>
      <c r="J23" s="24">
        <v>23.311893022797999</v>
      </c>
      <c r="K23" s="20" t="s">
        <v>80</v>
      </c>
      <c r="L23" s="20" t="s">
        <v>80</v>
      </c>
      <c r="M23" s="26" t="s">
        <v>80</v>
      </c>
      <c r="N23" s="20" t="s">
        <v>80</v>
      </c>
      <c r="O23" s="20" t="s">
        <v>80</v>
      </c>
      <c r="P23" s="26" t="s">
        <v>80</v>
      </c>
    </row>
    <row r="24" spans="1:16">
      <c r="A24" s="9" t="s">
        <v>182</v>
      </c>
      <c r="B24" s="15">
        <v>43.5246896315683</v>
      </c>
      <c r="C24" s="15">
        <v>53.145335973003199</v>
      </c>
      <c r="D24" s="24">
        <v>35.108002963328403</v>
      </c>
      <c r="E24" s="15">
        <v>54.889487300251901</v>
      </c>
      <c r="F24" s="15">
        <v>64.719054732461501</v>
      </c>
      <c r="G24" s="24">
        <v>46.239487311417001</v>
      </c>
      <c r="H24" s="15">
        <v>32.725626069043003</v>
      </c>
      <c r="I24" s="15">
        <v>41.996516563600402</v>
      </c>
      <c r="J24" s="24">
        <v>24.541850584216998</v>
      </c>
      <c r="K24" s="20" t="s">
        <v>80</v>
      </c>
      <c r="L24" s="20" t="s">
        <v>80</v>
      </c>
      <c r="M24" s="26" t="s">
        <v>80</v>
      </c>
      <c r="N24" s="15">
        <v>34.603320839015403</v>
      </c>
      <c r="O24" s="20" t="s">
        <v>80</v>
      </c>
      <c r="P24" s="26" t="s">
        <v>80</v>
      </c>
    </row>
    <row r="25" spans="1:16">
      <c r="A25" s="9" t="s">
        <v>183</v>
      </c>
      <c r="B25" s="15">
        <v>4.2277426280278601</v>
      </c>
      <c r="C25" s="15">
        <v>6.1291448570515001</v>
      </c>
      <c r="D25" s="24">
        <v>2.5642881963791799</v>
      </c>
      <c r="E25" s="15">
        <v>5.1864475395358198</v>
      </c>
      <c r="F25" s="15">
        <v>7.3209584554783396</v>
      </c>
      <c r="G25" s="24">
        <v>3.3080821357267398</v>
      </c>
      <c r="H25" s="15">
        <v>3.1102902320674399</v>
      </c>
      <c r="I25" s="15">
        <v>4.7434681681409998</v>
      </c>
      <c r="J25" s="26" t="s">
        <v>80</v>
      </c>
      <c r="K25" s="20" t="s">
        <v>80</v>
      </c>
      <c r="L25" s="20" t="s">
        <v>80</v>
      </c>
      <c r="M25" s="26" t="s">
        <v>80</v>
      </c>
      <c r="N25" s="20" t="s">
        <v>80</v>
      </c>
      <c r="O25" s="20" t="s">
        <v>80</v>
      </c>
      <c r="P25" s="26" t="s">
        <v>80</v>
      </c>
    </row>
    <row r="26" spans="1:16">
      <c r="A26" s="9" t="s">
        <v>184</v>
      </c>
      <c r="B26" s="15">
        <v>30.170777243018598</v>
      </c>
      <c r="C26" s="15">
        <v>39.654812161353703</v>
      </c>
      <c r="D26" s="24">
        <v>21.8736059901393</v>
      </c>
      <c r="E26" s="15">
        <v>37.4387642393704</v>
      </c>
      <c r="F26" s="15">
        <v>46.820792696067102</v>
      </c>
      <c r="G26" s="24">
        <v>29.182597667914902</v>
      </c>
      <c r="H26" s="15">
        <v>23.577931650282</v>
      </c>
      <c r="I26" s="15">
        <v>33.030425998186999</v>
      </c>
      <c r="J26" s="24">
        <v>15.2338473834841</v>
      </c>
      <c r="K26" s="20" t="s">
        <v>80</v>
      </c>
      <c r="L26" s="20" t="s">
        <v>80</v>
      </c>
      <c r="M26" s="26" t="s">
        <v>80</v>
      </c>
      <c r="N26" s="20" t="s">
        <v>80</v>
      </c>
      <c r="O26" s="20" t="s">
        <v>80</v>
      </c>
      <c r="P26" s="26" t="s">
        <v>80</v>
      </c>
    </row>
    <row r="27" spans="1:16">
      <c r="A27" s="9" t="s">
        <v>185</v>
      </c>
      <c r="B27" s="15">
        <v>20.4136177804833</v>
      </c>
      <c r="C27" s="15">
        <v>29.183088847339199</v>
      </c>
      <c r="D27" s="24">
        <v>12.741587482681901</v>
      </c>
      <c r="E27" s="15">
        <v>5.8353717408603201</v>
      </c>
      <c r="F27" s="15">
        <v>8.4041712166768505</v>
      </c>
      <c r="G27" s="24">
        <v>3.5748332593477801</v>
      </c>
      <c r="H27" s="15">
        <v>35.391941008086803</v>
      </c>
      <c r="I27" s="15">
        <v>50.3902933577833</v>
      </c>
      <c r="J27" s="24">
        <v>22.152312264301401</v>
      </c>
      <c r="K27" s="20" t="s">
        <v>80</v>
      </c>
      <c r="L27" s="20" t="s">
        <v>80</v>
      </c>
      <c r="M27" s="26" t="s">
        <v>80</v>
      </c>
      <c r="N27" s="20" t="s">
        <v>80</v>
      </c>
      <c r="O27" s="20" t="s">
        <v>80</v>
      </c>
      <c r="P27" s="26" t="s">
        <v>80</v>
      </c>
    </row>
    <row r="28" spans="1:16">
      <c r="A28" s="9" t="s">
        <v>186</v>
      </c>
      <c r="B28" s="15">
        <v>28.4614237612731</v>
      </c>
      <c r="C28" s="15">
        <v>37.825139166093699</v>
      </c>
      <c r="D28" s="24">
        <v>20.2695148379076</v>
      </c>
      <c r="E28" s="15">
        <v>13.6469909179173</v>
      </c>
      <c r="F28" s="15">
        <v>19.672015465149599</v>
      </c>
      <c r="G28" s="24">
        <v>8.3449811778432395</v>
      </c>
      <c r="H28" s="15">
        <v>43.467059515413503</v>
      </c>
      <c r="I28" s="15">
        <v>56.210922548244902</v>
      </c>
      <c r="J28" s="24">
        <v>32.2175561444813</v>
      </c>
      <c r="K28" s="20" t="s">
        <v>80</v>
      </c>
      <c r="L28" s="20" t="s">
        <v>80</v>
      </c>
      <c r="M28" s="26" t="s">
        <v>80</v>
      </c>
      <c r="N28" s="20" t="s">
        <v>80</v>
      </c>
      <c r="O28" s="20" t="s">
        <v>80</v>
      </c>
      <c r="P28" s="26" t="s">
        <v>80</v>
      </c>
    </row>
    <row r="29" spans="1:16">
      <c r="A29" s="9" t="s">
        <v>187</v>
      </c>
      <c r="B29" s="15">
        <v>9.5277339850778109</v>
      </c>
      <c r="C29" s="15">
        <v>12.356756810085599</v>
      </c>
      <c r="D29" s="24">
        <v>7.0527444832978903</v>
      </c>
      <c r="E29" s="15">
        <v>10.0456004220356</v>
      </c>
      <c r="F29" s="15">
        <v>14.075149944364099</v>
      </c>
      <c r="G29" s="24">
        <v>6.49960477537718</v>
      </c>
      <c r="H29" s="15">
        <v>8.9244742876504901</v>
      </c>
      <c r="I29" s="15">
        <v>10.2721950924829</v>
      </c>
      <c r="J29" s="24">
        <v>7.7347887348492099</v>
      </c>
      <c r="K29" s="20" t="s">
        <v>80</v>
      </c>
      <c r="L29" s="20" t="s">
        <v>80</v>
      </c>
      <c r="M29" s="26" t="s">
        <v>80</v>
      </c>
      <c r="N29" s="20" t="s">
        <v>80</v>
      </c>
      <c r="O29" s="20" t="s">
        <v>80</v>
      </c>
      <c r="P29" s="26" t="s">
        <v>80</v>
      </c>
    </row>
    <row r="30" spans="1:16">
      <c r="A30" s="9" t="s">
        <v>188</v>
      </c>
      <c r="B30" s="15">
        <v>12.63093951564</v>
      </c>
      <c r="C30" s="15">
        <v>13.168307195816199</v>
      </c>
      <c r="D30" s="24">
        <v>12.160819813785601</v>
      </c>
      <c r="E30" s="15">
        <v>14.9901561291734</v>
      </c>
      <c r="F30" s="15">
        <v>16.845010490584599</v>
      </c>
      <c r="G30" s="24">
        <v>13.3578879427908</v>
      </c>
      <c r="H30" s="15">
        <v>9.9358936375492899</v>
      </c>
      <c r="I30" s="15">
        <v>9.1876211070704699</v>
      </c>
      <c r="J30" s="24">
        <v>10.5964228924786</v>
      </c>
      <c r="K30" s="20" t="s">
        <v>80</v>
      </c>
      <c r="L30" s="20" t="s">
        <v>80</v>
      </c>
      <c r="M30" s="26" t="s">
        <v>80</v>
      </c>
      <c r="N30" s="20" t="s">
        <v>80</v>
      </c>
      <c r="O30" s="20" t="s">
        <v>80</v>
      </c>
      <c r="P30" s="26" t="s">
        <v>80</v>
      </c>
    </row>
    <row r="31" spans="1:16">
      <c r="A31" s="9" t="s">
        <v>189</v>
      </c>
      <c r="B31" s="15">
        <v>20.2161620457568</v>
      </c>
      <c r="C31" s="15">
        <v>25.646247236926602</v>
      </c>
      <c r="D31" s="24">
        <v>15.465615771221501</v>
      </c>
      <c r="E31" s="15">
        <v>21.3701976218696</v>
      </c>
      <c r="F31" s="15">
        <v>28.867614861184801</v>
      </c>
      <c r="G31" s="24">
        <v>14.772485211468201</v>
      </c>
      <c r="H31" s="15">
        <v>18.5587836037625</v>
      </c>
      <c r="I31" s="15">
        <v>22.033519902378401</v>
      </c>
      <c r="J31" s="24">
        <v>15.4914987778289</v>
      </c>
      <c r="K31" s="20" t="s">
        <v>80</v>
      </c>
      <c r="L31" s="20" t="s">
        <v>80</v>
      </c>
      <c r="M31" s="26" t="s">
        <v>80</v>
      </c>
      <c r="N31" s="15">
        <v>28.407115297739399</v>
      </c>
      <c r="O31" s="20" t="s">
        <v>80</v>
      </c>
      <c r="P31" s="26" t="s">
        <v>80</v>
      </c>
    </row>
    <row r="32" spans="1:16">
      <c r="A32" s="9" t="s">
        <v>190</v>
      </c>
      <c r="B32" s="15">
        <v>5.2010504104211304</v>
      </c>
      <c r="C32" s="15">
        <v>6.0372525837883897</v>
      </c>
      <c r="D32" s="24">
        <v>4.46949335752113</v>
      </c>
      <c r="E32" s="15">
        <v>4.3264142381079198</v>
      </c>
      <c r="F32" s="15">
        <v>6.0980200736244701</v>
      </c>
      <c r="G32" s="24">
        <v>2.7674045906209899</v>
      </c>
      <c r="H32" s="15">
        <v>5.95361119391759</v>
      </c>
      <c r="I32" s="15">
        <v>5.8686750132515604</v>
      </c>
      <c r="J32" s="24">
        <v>6.0285876628465997</v>
      </c>
      <c r="K32" s="20" t="s">
        <v>80</v>
      </c>
      <c r="L32" s="20" t="s">
        <v>80</v>
      </c>
      <c r="M32" s="26" t="s">
        <v>80</v>
      </c>
      <c r="N32" s="20" t="s">
        <v>80</v>
      </c>
      <c r="O32" s="20" t="s">
        <v>80</v>
      </c>
      <c r="P32" s="26" t="s">
        <v>80</v>
      </c>
    </row>
    <row r="33" spans="1:16">
      <c r="A33" s="9" t="s">
        <v>191</v>
      </c>
      <c r="B33" s="15">
        <v>16.083935835680698</v>
      </c>
      <c r="C33" s="15">
        <v>19.837647539505902</v>
      </c>
      <c r="D33" s="24">
        <v>12.799976096101499</v>
      </c>
      <c r="E33" s="15">
        <v>14.517011492568001</v>
      </c>
      <c r="F33" s="15">
        <v>19.748295740149299</v>
      </c>
      <c r="G33" s="24">
        <v>9.9134916535470907</v>
      </c>
      <c r="H33" s="15">
        <v>17.8424935982795</v>
      </c>
      <c r="I33" s="15">
        <v>20.027989949852198</v>
      </c>
      <c r="J33" s="24">
        <v>15.913270998284601</v>
      </c>
      <c r="K33" s="20" t="s">
        <v>80</v>
      </c>
      <c r="L33" s="20" t="s">
        <v>80</v>
      </c>
      <c r="M33" s="26" t="s">
        <v>80</v>
      </c>
      <c r="N33" s="20" t="s">
        <v>80</v>
      </c>
      <c r="O33" s="20" t="s">
        <v>80</v>
      </c>
      <c r="P33" s="26" t="s">
        <v>80</v>
      </c>
    </row>
    <row r="34" spans="1:16">
      <c r="A34" s="9" t="s">
        <v>192</v>
      </c>
      <c r="B34" s="15">
        <v>36.780423689060001</v>
      </c>
      <c r="C34" s="15">
        <v>38.1402715359227</v>
      </c>
      <c r="D34" s="24">
        <v>35.5907517234428</v>
      </c>
      <c r="E34" s="15">
        <v>48.761162032815598</v>
      </c>
      <c r="F34" s="15">
        <v>49.637654289706397</v>
      </c>
      <c r="G34" s="24">
        <v>47.989850572305599</v>
      </c>
      <c r="H34" s="15">
        <v>25.0839128138051</v>
      </c>
      <c r="I34" s="15">
        <v>26.799428311682501</v>
      </c>
      <c r="J34" s="24">
        <v>23.5695605858707</v>
      </c>
      <c r="K34" s="20" t="s">
        <v>80</v>
      </c>
      <c r="L34" s="20" t="s">
        <v>80</v>
      </c>
      <c r="M34" s="26" t="s">
        <v>80</v>
      </c>
      <c r="N34" s="15">
        <v>27.5485718013454</v>
      </c>
      <c r="O34" s="20" t="s">
        <v>80</v>
      </c>
      <c r="P34" s="26" t="s">
        <v>80</v>
      </c>
    </row>
    <row r="35" spans="1:16">
      <c r="A35" s="9" t="s">
        <v>193</v>
      </c>
      <c r="B35" s="15">
        <v>25.5555532066663</v>
      </c>
      <c r="C35" s="15">
        <v>29.616657977920099</v>
      </c>
      <c r="D35" s="24">
        <v>22.002668590242699</v>
      </c>
      <c r="E35" s="15">
        <v>32.615278079202803</v>
      </c>
      <c r="F35" s="15">
        <v>35.707099391477897</v>
      </c>
      <c r="G35" s="24">
        <v>29.894481411282101</v>
      </c>
      <c r="H35" s="15">
        <v>18.7058002405637</v>
      </c>
      <c r="I35" s="15">
        <v>23.929403484040101</v>
      </c>
      <c r="J35" s="24">
        <v>14.0947225677644</v>
      </c>
      <c r="K35" s="20" t="s">
        <v>80</v>
      </c>
      <c r="L35" s="20" t="s">
        <v>80</v>
      </c>
      <c r="M35" s="26" t="s">
        <v>80</v>
      </c>
      <c r="N35" s="20" t="s">
        <v>80</v>
      </c>
      <c r="O35" s="20" t="s">
        <v>80</v>
      </c>
      <c r="P35" s="26" t="s">
        <v>80</v>
      </c>
    </row>
    <row r="36" spans="1:16">
      <c r="A36" s="9" t="s">
        <v>194</v>
      </c>
      <c r="B36" s="15">
        <v>21.788587917409401</v>
      </c>
      <c r="C36" s="15">
        <v>27.702391649934398</v>
      </c>
      <c r="D36" s="24">
        <v>16.614857248217501</v>
      </c>
      <c r="E36" s="15">
        <v>10.389355346367999</v>
      </c>
      <c r="F36" s="15">
        <v>18.004340763197899</v>
      </c>
      <c r="G36" s="24">
        <v>3.6881831712105599</v>
      </c>
      <c r="H36" s="15">
        <v>33.588951273475601</v>
      </c>
      <c r="I36" s="15">
        <v>37.810978257876499</v>
      </c>
      <c r="J36" s="24">
        <v>29.8620039050973</v>
      </c>
      <c r="K36" s="20" t="s">
        <v>80</v>
      </c>
      <c r="L36" s="20" t="s">
        <v>80</v>
      </c>
      <c r="M36" s="26" t="s">
        <v>80</v>
      </c>
      <c r="N36" s="20" t="s">
        <v>80</v>
      </c>
      <c r="O36" s="20" t="s">
        <v>80</v>
      </c>
      <c r="P36" s="26" t="s">
        <v>80</v>
      </c>
    </row>
    <row r="37" spans="1:16">
      <c r="A37" s="9" t="s">
        <v>195</v>
      </c>
      <c r="B37" s="15">
        <v>32.787170953145299</v>
      </c>
      <c r="C37" s="15">
        <v>34.620396218430599</v>
      </c>
      <c r="D37" s="24">
        <v>31.183361593294599</v>
      </c>
      <c r="E37" s="15">
        <v>27.524197760877001</v>
      </c>
      <c r="F37" s="15">
        <v>32.4979684684074</v>
      </c>
      <c r="G37" s="24">
        <v>23.147289330132899</v>
      </c>
      <c r="H37" s="15">
        <v>38.412848973341802</v>
      </c>
      <c r="I37" s="15">
        <v>37.077667911263198</v>
      </c>
      <c r="J37" s="24">
        <v>39.591465207678503</v>
      </c>
      <c r="K37" s="20" t="s">
        <v>80</v>
      </c>
      <c r="L37" s="20" t="s">
        <v>80</v>
      </c>
      <c r="M37" s="26" t="s">
        <v>80</v>
      </c>
      <c r="N37" s="20" t="s">
        <v>80</v>
      </c>
      <c r="O37" s="20" t="s">
        <v>80</v>
      </c>
      <c r="P37" s="26" t="s">
        <v>80</v>
      </c>
    </row>
    <row r="38" spans="1:16">
      <c r="A38" s="9" t="s">
        <v>196</v>
      </c>
      <c r="B38" s="15">
        <v>30.3225533658253</v>
      </c>
      <c r="C38" s="15">
        <v>41.089240692037798</v>
      </c>
      <c r="D38" s="24">
        <v>20.9032450923936</v>
      </c>
      <c r="E38" s="15">
        <v>34.516858183903203</v>
      </c>
      <c r="F38" s="15">
        <v>45.994506780596097</v>
      </c>
      <c r="G38" s="24">
        <v>24.416550014906999</v>
      </c>
      <c r="H38" s="15">
        <v>25.644603642939501</v>
      </c>
      <c r="I38" s="15">
        <v>36.118599733846203</v>
      </c>
      <c r="J38" s="24">
        <v>16.398800072371198</v>
      </c>
      <c r="K38" s="20" t="s">
        <v>80</v>
      </c>
      <c r="L38" s="20" t="s">
        <v>80</v>
      </c>
      <c r="M38" s="26" t="s">
        <v>80</v>
      </c>
      <c r="N38" s="15">
        <v>39.515767802641903</v>
      </c>
      <c r="O38" s="20" t="s">
        <v>80</v>
      </c>
      <c r="P38" s="26" t="s">
        <v>80</v>
      </c>
    </row>
    <row r="39" spans="1:16">
      <c r="A39" s="9" t="s">
        <v>197</v>
      </c>
      <c r="B39" s="15">
        <v>33.138918595985203</v>
      </c>
      <c r="C39" s="15">
        <v>35.973514668152902</v>
      </c>
      <c r="D39" s="24">
        <v>30.6590533017269</v>
      </c>
      <c r="E39" s="15">
        <v>42.721451185878301</v>
      </c>
      <c r="F39" s="15">
        <v>45.231728496074503</v>
      </c>
      <c r="G39" s="24">
        <v>40.512412094898799</v>
      </c>
      <c r="H39" s="15">
        <v>24.039402082829302</v>
      </c>
      <c r="I39" s="15">
        <v>27.2295463358255</v>
      </c>
      <c r="J39" s="24">
        <v>21.223337720289901</v>
      </c>
      <c r="K39" s="20" t="s">
        <v>80</v>
      </c>
      <c r="L39" s="20" t="s">
        <v>80</v>
      </c>
      <c r="M39" s="26" t="s">
        <v>80</v>
      </c>
      <c r="N39" s="15">
        <v>29.8878701499276</v>
      </c>
      <c r="O39" s="20" t="s">
        <v>80</v>
      </c>
      <c r="P39" s="26" t="s">
        <v>80</v>
      </c>
    </row>
    <row r="40" spans="1:16">
      <c r="A40" s="9" t="s">
        <v>198</v>
      </c>
      <c r="B40" s="15">
        <v>19.882953716285801</v>
      </c>
      <c r="C40" s="15">
        <v>25.539699555395501</v>
      </c>
      <c r="D40" s="24">
        <v>14.9341118609729</v>
      </c>
      <c r="E40" s="15">
        <v>11.5862975675541</v>
      </c>
      <c r="F40" s="15">
        <v>16.774910268254501</v>
      </c>
      <c r="G40" s="24">
        <v>7.02032860578064</v>
      </c>
      <c r="H40" s="15">
        <v>27.556390717523399</v>
      </c>
      <c r="I40" s="15">
        <v>34.247127994473502</v>
      </c>
      <c r="J40" s="24">
        <v>21.650216792304299</v>
      </c>
      <c r="K40" s="20" t="s">
        <v>80</v>
      </c>
      <c r="L40" s="20" t="s">
        <v>80</v>
      </c>
      <c r="M40" s="26" t="s">
        <v>80</v>
      </c>
      <c r="N40" s="15">
        <v>30.169794822188202</v>
      </c>
      <c r="O40" s="20" t="s">
        <v>80</v>
      </c>
      <c r="P40" s="26" t="s">
        <v>80</v>
      </c>
    </row>
    <row r="41" spans="1:16">
      <c r="A41" s="9" t="s">
        <v>199</v>
      </c>
      <c r="B41" s="15">
        <v>24.7256604314545</v>
      </c>
      <c r="C41" s="15">
        <v>28.364116086685399</v>
      </c>
      <c r="D41" s="24">
        <v>21.542533215305699</v>
      </c>
      <c r="E41" s="15">
        <v>26.806700700468198</v>
      </c>
      <c r="F41" s="15">
        <v>32.810916423130202</v>
      </c>
      <c r="G41" s="24">
        <v>21.5230026850497</v>
      </c>
      <c r="H41" s="15">
        <v>22.7065274258694</v>
      </c>
      <c r="I41" s="15">
        <v>24.085415821580199</v>
      </c>
      <c r="J41" s="24">
        <v>21.4893290288272</v>
      </c>
      <c r="K41" s="20" t="s">
        <v>80</v>
      </c>
      <c r="L41" s="20" t="s">
        <v>80</v>
      </c>
      <c r="M41" s="26" t="s">
        <v>80</v>
      </c>
      <c r="N41" s="20" t="s">
        <v>80</v>
      </c>
      <c r="O41" s="20" t="s">
        <v>80</v>
      </c>
      <c r="P41" s="26" t="s">
        <v>80</v>
      </c>
    </row>
    <row r="42" spans="1:16">
      <c r="A42" s="9" t="s">
        <v>200</v>
      </c>
      <c r="B42" s="15">
        <v>14.433542995432401</v>
      </c>
      <c r="C42" s="15">
        <v>18.886146960789102</v>
      </c>
      <c r="D42" s="24">
        <v>10.538152695846801</v>
      </c>
      <c r="E42" s="15">
        <v>13.5934806961732</v>
      </c>
      <c r="F42" s="15">
        <v>18.470191775964199</v>
      </c>
      <c r="G42" s="24">
        <v>9.3019845467581792</v>
      </c>
      <c r="H42" s="15">
        <v>15.202715384445799</v>
      </c>
      <c r="I42" s="15">
        <v>19.409137534968998</v>
      </c>
      <c r="J42" s="24">
        <v>11.4895430096356</v>
      </c>
      <c r="K42" s="20" t="s">
        <v>80</v>
      </c>
      <c r="L42" s="20" t="s">
        <v>80</v>
      </c>
      <c r="M42" s="26" t="s">
        <v>80</v>
      </c>
      <c r="N42" s="20" t="s">
        <v>80</v>
      </c>
      <c r="O42" s="20" t="s">
        <v>80</v>
      </c>
      <c r="P42" s="26" t="s">
        <v>80</v>
      </c>
    </row>
    <row r="43" spans="1:16">
      <c r="A43" s="9" t="s">
        <v>201</v>
      </c>
      <c r="B43" s="15">
        <v>26.253214974095801</v>
      </c>
      <c r="C43" s="15">
        <v>29.755793905846101</v>
      </c>
      <c r="D43" s="24">
        <v>23.188960416441699</v>
      </c>
      <c r="E43" s="15">
        <v>34.871412153535402</v>
      </c>
      <c r="F43" s="15">
        <v>39.802732220016303</v>
      </c>
      <c r="G43" s="24">
        <v>30.531860203341999</v>
      </c>
      <c r="H43" s="15">
        <v>18.059990977502601</v>
      </c>
      <c r="I43" s="15">
        <v>19.9913535063768</v>
      </c>
      <c r="J43" s="24">
        <v>16.355102183336399</v>
      </c>
      <c r="K43" s="20" t="s">
        <v>80</v>
      </c>
      <c r="L43" s="20" t="s">
        <v>80</v>
      </c>
      <c r="M43" s="26" t="s">
        <v>80</v>
      </c>
      <c r="N43" s="20" t="s">
        <v>80</v>
      </c>
      <c r="O43" s="20" t="s">
        <v>80</v>
      </c>
      <c r="P43" s="26" t="s">
        <v>80</v>
      </c>
    </row>
    <row r="44" spans="1:16">
      <c r="A44" s="9" t="s">
        <v>202</v>
      </c>
      <c r="B44" s="15">
        <v>39.778351433589499</v>
      </c>
      <c r="C44" s="15">
        <v>48.383073946789203</v>
      </c>
      <c r="D44" s="24">
        <v>32.250452507627301</v>
      </c>
      <c r="E44" s="15">
        <v>42.919288682918598</v>
      </c>
      <c r="F44" s="15">
        <v>52.656902330845099</v>
      </c>
      <c r="G44" s="24">
        <v>34.350207843222996</v>
      </c>
      <c r="H44" s="15">
        <v>37.108965715685002</v>
      </c>
      <c r="I44" s="15">
        <v>44.551120127682502</v>
      </c>
      <c r="J44" s="24">
        <v>30.5394866708241</v>
      </c>
      <c r="K44" s="20" t="s">
        <v>80</v>
      </c>
      <c r="L44" s="20" t="s">
        <v>80</v>
      </c>
      <c r="M44" s="26" t="s">
        <v>80</v>
      </c>
      <c r="N44" s="15">
        <v>30.540541231102701</v>
      </c>
      <c r="O44" s="20" t="s">
        <v>80</v>
      </c>
      <c r="P44" s="26" t="s">
        <v>80</v>
      </c>
    </row>
    <row r="45" spans="1:16">
      <c r="A45" s="9" t="s">
        <v>203</v>
      </c>
      <c r="B45" s="15">
        <v>16.2014513818879</v>
      </c>
      <c r="C45" s="15">
        <v>20.8386716483353</v>
      </c>
      <c r="D45" s="24">
        <v>12.144548279005701</v>
      </c>
      <c r="E45" s="15">
        <v>17.8545851005209</v>
      </c>
      <c r="F45" s="15">
        <v>23.101151819757</v>
      </c>
      <c r="G45" s="24">
        <v>13.2376167165304</v>
      </c>
      <c r="H45" s="15">
        <v>14.690925626811101</v>
      </c>
      <c r="I45" s="15">
        <v>18.664406811221099</v>
      </c>
      <c r="J45" s="24">
        <v>11.1833792993593</v>
      </c>
      <c r="K45" s="20" t="s">
        <v>80</v>
      </c>
      <c r="L45" s="20" t="s">
        <v>80</v>
      </c>
      <c r="M45" s="26" t="s">
        <v>80</v>
      </c>
      <c r="N45" s="20" t="s">
        <v>80</v>
      </c>
      <c r="O45" s="20" t="s">
        <v>80</v>
      </c>
      <c r="P45" s="26" t="s">
        <v>80</v>
      </c>
    </row>
    <row r="46" spans="1:16">
      <c r="A46" s="9" t="s">
        <v>204</v>
      </c>
      <c r="B46" s="15">
        <v>25.9429405596279</v>
      </c>
      <c r="C46" s="15">
        <v>32.653014497779203</v>
      </c>
      <c r="D46" s="24">
        <v>20.0725875860544</v>
      </c>
      <c r="E46" s="15">
        <v>23.011653295787799</v>
      </c>
      <c r="F46" s="15">
        <v>30.568987803582498</v>
      </c>
      <c r="G46" s="24">
        <v>16.3612138070838</v>
      </c>
      <c r="H46" s="15">
        <v>28.031701447021302</v>
      </c>
      <c r="I46" s="15">
        <v>34.567237461232303</v>
      </c>
      <c r="J46" s="24">
        <v>22.262529710530899</v>
      </c>
      <c r="K46" s="20" t="s">
        <v>80</v>
      </c>
      <c r="L46" s="20" t="s">
        <v>80</v>
      </c>
      <c r="M46" s="26" t="s">
        <v>80</v>
      </c>
      <c r="N46" s="15">
        <v>38.364401837062999</v>
      </c>
      <c r="O46" s="20" t="s">
        <v>80</v>
      </c>
      <c r="P46" s="26" t="s">
        <v>80</v>
      </c>
    </row>
    <row r="47" spans="1:16">
      <c r="A47" s="9" t="s">
        <v>205</v>
      </c>
      <c r="B47" s="15">
        <v>21.805144204054599</v>
      </c>
      <c r="C47" s="15">
        <v>24.416508545405499</v>
      </c>
      <c r="D47" s="24">
        <v>19.520574679541099</v>
      </c>
      <c r="E47" s="15">
        <v>22.604071690957198</v>
      </c>
      <c r="F47" s="15">
        <v>25.053688441234701</v>
      </c>
      <c r="G47" s="24">
        <v>20.448413773283502</v>
      </c>
      <c r="H47" s="15">
        <v>21.266772531662301</v>
      </c>
      <c r="I47" s="15">
        <v>23.801326061255399</v>
      </c>
      <c r="J47" s="24">
        <v>19.0294235895472</v>
      </c>
      <c r="K47" s="20" t="s">
        <v>80</v>
      </c>
      <c r="L47" s="20" t="s">
        <v>80</v>
      </c>
      <c r="M47" s="26" t="s">
        <v>80</v>
      </c>
      <c r="N47" s="20" t="s">
        <v>80</v>
      </c>
      <c r="O47" s="20" t="s">
        <v>80</v>
      </c>
      <c r="P47" s="26" t="s">
        <v>80</v>
      </c>
    </row>
    <row r="48" spans="1:16">
      <c r="A48" s="9" t="s">
        <v>206</v>
      </c>
      <c r="B48" s="15">
        <v>13.213404188017</v>
      </c>
      <c r="C48" s="15">
        <v>14.630731612880201</v>
      </c>
      <c r="D48" s="24">
        <v>11.973445829918001</v>
      </c>
      <c r="E48" s="15">
        <v>15.058606296714199</v>
      </c>
      <c r="F48" s="15">
        <v>16.3690767775865</v>
      </c>
      <c r="G48" s="24">
        <v>13.9053948534751</v>
      </c>
      <c r="H48" s="15">
        <v>11.373022637776</v>
      </c>
      <c r="I48" s="15">
        <v>12.818061774916901</v>
      </c>
      <c r="J48" s="24">
        <v>10.0974304093822</v>
      </c>
      <c r="K48" s="20" t="s">
        <v>80</v>
      </c>
      <c r="L48" s="20" t="s">
        <v>80</v>
      </c>
      <c r="M48" s="26" t="s">
        <v>80</v>
      </c>
      <c r="N48" s="20" t="s">
        <v>80</v>
      </c>
      <c r="O48" s="20" t="s">
        <v>80</v>
      </c>
      <c r="P48" s="26" t="s">
        <v>80</v>
      </c>
    </row>
    <row r="49" spans="1:16">
      <c r="A49" s="9" t="s">
        <v>207</v>
      </c>
      <c r="B49" s="15">
        <v>34.569655003886503</v>
      </c>
      <c r="C49" s="15">
        <v>37.996813515963296</v>
      </c>
      <c r="D49" s="24">
        <v>31.571382503804202</v>
      </c>
      <c r="E49" s="15">
        <v>30.359234726977199</v>
      </c>
      <c r="F49" s="15">
        <v>37.804972446741203</v>
      </c>
      <c r="G49" s="24">
        <v>23.807000192039201</v>
      </c>
      <c r="H49" s="15">
        <v>39.121018957148301</v>
      </c>
      <c r="I49" s="15">
        <v>38.365756518576603</v>
      </c>
      <c r="J49" s="24">
        <v>39.787718475713604</v>
      </c>
      <c r="K49" s="20" t="s">
        <v>80</v>
      </c>
      <c r="L49" s="20" t="s">
        <v>80</v>
      </c>
      <c r="M49" s="26" t="s">
        <v>80</v>
      </c>
      <c r="N49" s="15">
        <v>30.856986854408699</v>
      </c>
      <c r="O49" s="20" t="s">
        <v>80</v>
      </c>
      <c r="P49" s="26" t="s">
        <v>80</v>
      </c>
    </row>
    <row r="50" spans="1:16">
      <c r="A50" s="9" t="s">
        <v>208</v>
      </c>
      <c r="B50" s="15">
        <v>49.293668497873099</v>
      </c>
      <c r="C50" s="15">
        <v>62.696539131573701</v>
      </c>
      <c r="D50" s="24">
        <v>37.568077661739601</v>
      </c>
      <c r="E50" s="15">
        <v>48.055012256976397</v>
      </c>
      <c r="F50" s="15">
        <v>60.3839441044436</v>
      </c>
      <c r="G50" s="24">
        <v>37.205576503223703</v>
      </c>
      <c r="H50" s="15">
        <v>51.136472912781599</v>
      </c>
      <c r="I50" s="15">
        <v>65.426464431984897</v>
      </c>
      <c r="J50" s="24">
        <v>38.522141814611302</v>
      </c>
      <c r="K50" s="20" t="s">
        <v>80</v>
      </c>
      <c r="L50" s="20" t="s">
        <v>80</v>
      </c>
      <c r="M50" s="26" t="s">
        <v>80</v>
      </c>
      <c r="N50" s="15">
        <v>39.034645292361901</v>
      </c>
      <c r="O50" s="20" t="s">
        <v>80</v>
      </c>
      <c r="P50" s="26" t="s">
        <v>80</v>
      </c>
    </row>
    <row r="51" spans="1:16">
      <c r="A51" s="9" t="s">
        <v>209</v>
      </c>
      <c r="B51" s="15">
        <v>31.4602099754931</v>
      </c>
      <c r="C51" s="15">
        <v>36.293538605958297</v>
      </c>
      <c r="D51" s="24">
        <v>27.231740161354701</v>
      </c>
      <c r="E51" s="15">
        <v>35.429565344588603</v>
      </c>
      <c r="F51" s="15">
        <v>40.352670166339202</v>
      </c>
      <c r="G51" s="24">
        <v>31.097242793584599</v>
      </c>
      <c r="H51" s="15">
        <v>27.823077625933099</v>
      </c>
      <c r="I51" s="15">
        <v>32.291239212261701</v>
      </c>
      <c r="J51" s="24">
        <v>23.8788576749043</v>
      </c>
      <c r="K51" s="20" t="s">
        <v>80</v>
      </c>
      <c r="L51" s="20" t="s">
        <v>80</v>
      </c>
      <c r="M51" s="26" t="s">
        <v>80</v>
      </c>
      <c r="N51" s="15">
        <v>26.931147155349301</v>
      </c>
      <c r="O51" s="20" t="s">
        <v>80</v>
      </c>
      <c r="P51" s="26" t="s">
        <v>80</v>
      </c>
    </row>
    <row r="52" spans="1:16">
      <c r="A52" s="9" t="s">
        <v>210</v>
      </c>
      <c r="B52" s="15">
        <v>28.6717763913793</v>
      </c>
      <c r="C52" s="15">
        <v>31.562851121697101</v>
      </c>
      <c r="D52" s="24">
        <v>26.142500366051301</v>
      </c>
      <c r="E52" s="15">
        <v>32.781344382303203</v>
      </c>
      <c r="F52" s="15">
        <v>37.963480486086702</v>
      </c>
      <c r="G52" s="24">
        <v>28.221074813066199</v>
      </c>
      <c r="H52" s="15">
        <v>24.0513165986698</v>
      </c>
      <c r="I52" s="15">
        <v>24.8264696185067</v>
      </c>
      <c r="J52" s="24">
        <v>23.367058890690899</v>
      </c>
      <c r="K52" s="20" t="s">
        <v>80</v>
      </c>
      <c r="L52" s="20" t="s">
        <v>80</v>
      </c>
      <c r="M52" s="26" t="s">
        <v>80</v>
      </c>
      <c r="N52" s="15">
        <v>33.919175562852402</v>
      </c>
      <c r="O52" s="20" t="s">
        <v>80</v>
      </c>
      <c r="P52" s="26" t="s">
        <v>80</v>
      </c>
    </row>
    <row r="53" spans="1:16">
      <c r="A53" s="9" t="s">
        <v>211</v>
      </c>
      <c r="B53" s="15">
        <v>39.033572289690902</v>
      </c>
      <c r="C53" s="15">
        <v>41.667671840998601</v>
      </c>
      <c r="D53" s="24">
        <v>36.729112714992503</v>
      </c>
      <c r="E53" s="15">
        <v>42.007096052216703</v>
      </c>
      <c r="F53" s="15">
        <v>44.484903893947603</v>
      </c>
      <c r="G53" s="24">
        <v>39.826630029563901</v>
      </c>
      <c r="H53" s="15">
        <v>36.564392167209199</v>
      </c>
      <c r="I53" s="15">
        <v>39.066429840966499</v>
      </c>
      <c r="J53" s="24">
        <v>34.355746235232402</v>
      </c>
      <c r="K53" s="20" t="s">
        <v>80</v>
      </c>
      <c r="L53" s="20" t="s">
        <v>80</v>
      </c>
      <c r="M53" s="26" t="s">
        <v>80</v>
      </c>
      <c r="N53" s="15">
        <v>31.518900346644202</v>
      </c>
      <c r="O53" s="20" t="s">
        <v>80</v>
      </c>
      <c r="P53" s="26" t="s">
        <v>80</v>
      </c>
    </row>
    <row r="54" spans="1:16">
      <c r="A54" s="9" t="s">
        <v>212</v>
      </c>
      <c r="B54" s="15">
        <v>40.239805288525403</v>
      </c>
      <c r="C54" s="15">
        <v>52.689153780119703</v>
      </c>
      <c r="D54" s="24">
        <v>29.348409663037302</v>
      </c>
      <c r="E54" s="15">
        <v>35.626344033137599</v>
      </c>
      <c r="F54" s="15">
        <v>48.9277413168302</v>
      </c>
      <c r="G54" s="24">
        <v>23.921140610003199</v>
      </c>
      <c r="H54" s="15">
        <v>45.427263138886303</v>
      </c>
      <c r="I54" s="15">
        <v>56.893284623599101</v>
      </c>
      <c r="J54" s="24">
        <v>35.305760184000903</v>
      </c>
      <c r="K54" s="20" t="s">
        <v>80</v>
      </c>
      <c r="L54" s="20" t="s">
        <v>80</v>
      </c>
      <c r="M54" s="26" t="s">
        <v>80</v>
      </c>
      <c r="N54" s="15">
        <v>28.667930215588999</v>
      </c>
      <c r="O54" s="20" t="s">
        <v>80</v>
      </c>
      <c r="P54" s="26" t="s">
        <v>80</v>
      </c>
    </row>
    <row r="55" spans="1:16">
      <c r="A55" s="9" t="s">
        <v>213</v>
      </c>
      <c r="B55" s="15">
        <v>12.0051521184861</v>
      </c>
      <c r="C55" s="15">
        <v>14.650459775055699</v>
      </c>
      <c r="D55" s="24">
        <v>9.6908870580867195</v>
      </c>
      <c r="E55" s="15">
        <v>12.6453810894561</v>
      </c>
      <c r="F55" s="15">
        <v>15.7878275836913</v>
      </c>
      <c r="G55" s="24">
        <v>9.8800343610763406</v>
      </c>
      <c r="H55" s="15">
        <v>11.4493784521914</v>
      </c>
      <c r="I55" s="15">
        <v>13.680856228798801</v>
      </c>
      <c r="J55" s="24">
        <v>9.4795662605950692</v>
      </c>
      <c r="K55" s="20" t="s">
        <v>80</v>
      </c>
      <c r="L55" s="20" t="s">
        <v>80</v>
      </c>
      <c r="M55" s="26" t="s">
        <v>80</v>
      </c>
      <c r="N55" s="20" t="s">
        <v>80</v>
      </c>
      <c r="O55" s="20" t="s">
        <v>80</v>
      </c>
      <c r="P55" s="26" t="s">
        <v>80</v>
      </c>
    </row>
    <row r="56" spans="1:16">
      <c r="A56" s="9" t="s">
        <v>214</v>
      </c>
      <c r="B56" s="15">
        <v>16.6432548372231</v>
      </c>
      <c r="C56" s="15">
        <v>19.859125217989</v>
      </c>
      <c r="D56" s="24">
        <v>13.829829169136101</v>
      </c>
      <c r="E56" s="15">
        <v>14.784397466991299</v>
      </c>
      <c r="F56" s="15">
        <v>20.6558719293397</v>
      </c>
      <c r="G56" s="24">
        <v>9.6175114993204698</v>
      </c>
      <c r="H56" s="15">
        <v>18.663326858623499</v>
      </c>
      <c r="I56" s="15">
        <v>19.306098542293402</v>
      </c>
      <c r="J56" s="24">
        <v>18.095927302966299</v>
      </c>
      <c r="K56" s="20" t="s">
        <v>80</v>
      </c>
      <c r="L56" s="20" t="s">
        <v>80</v>
      </c>
      <c r="M56" s="26" t="s">
        <v>80</v>
      </c>
      <c r="N56" s="20" t="s">
        <v>80</v>
      </c>
      <c r="O56" s="20" t="s">
        <v>80</v>
      </c>
      <c r="P56" s="26" t="s">
        <v>80</v>
      </c>
    </row>
    <row r="57" spans="1:16">
      <c r="A57" s="9" t="s">
        <v>215</v>
      </c>
      <c r="B57" s="15">
        <v>14.490401125849299</v>
      </c>
      <c r="C57" s="15">
        <v>21.347248150870801</v>
      </c>
      <c r="D57" s="24">
        <v>8.4916427375382408</v>
      </c>
      <c r="E57" s="15">
        <v>13.593717544464999</v>
      </c>
      <c r="F57" s="15">
        <v>20.331633123942801</v>
      </c>
      <c r="G57" s="24">
        <v>7.6643650994863703</v>
      </c>
      <c r="H57" s="15">
        <v>15.791220614024599</v>
      </c>
      <c r="I57" s="15">
        <v>22.585497836374401</v>
      </c>
      <c r="J57" s="24">
        <v>9.7936479534457295</v>
      </c>
      <c r="K57" s="20" t="s">
        <v>80</v>
      </c>
      <c r="L57" s="20" t="s">
        <v>80</v>
      </c>
      <c r="M57" s="26" t="s">
        <v>80</v>
      </c>
      <c r="N57" s="20" t="s">
        <v>80</v>
      </c>
      <c r="O57" s="20" t="s">
        <v>80</v>
      </c>
      <c r="P57" s="26" t="s">
        <v>80</v>
      </c>
    </row>
    <row r="58" spans="1:16">
      <c r="A58" s="9" t="s">
        <v>216</v>
      </c>
      <c r="B58" s="15">
        <v>30.463964667773801</v>
      </c>
      <c r="C58" s="15">
        <v>28.0641905570325</v>
      </c>
      <c r="D58" s="24">
        <v>32.563423066704097</v>
      </c>
      <c r="E58" s="15">
        <v>40.6258398579578</v>
      </c>
      <c r="F58" s="15">
        <v>37.976635503564601</v>
      </c>
      <c r="G58" s="24">
        <v>42.957134474324299</v>
      </c>
      <c r="H58" s="15">
        <v>20.2765502299969</v>
      </c>
      <c r="I58" s="15">
        <v>18.180530629185</v>
      </c>
      <c r="J58" s="24">
        <v>22.126788223306001</v>
      </c>
      <c r="K58" s="20" t="s">
        <v>80</v>
      </c>
      <c r="L58" s="20" t="s">
        <v>80</v>
      </c>
      <c r="M58" s="26" t="s">
        <v>80</v>
      </c>
      <c r="N58" s="15">
        <v>28.453322184401799</v>
      </c>
      <c r="O58" s="20" t="s">
        <v>80</v>
      </c>
      <c r="P58" s="26" t="s">
        <v>80</v>
      </c>
    </row>
    <row r="59" spans="1:16">
      <c r="A59" s="9" t="s">
        <v>217</v>
      </c>
      <c r="B59" s="15">
        <v>4.98697073820514</v>
      </c>
      <c r="C59" s="15">
        <v>5.6273452975880103</v>
      </c>
      <c r="D59" s="24">
        <v>4.4267347805206301</v>
      </c>
      <c r="E59" s="15">
        <v>4.94273876926776</v>
      </c>
      <c r="F59" s="15">
        <v>6.1024014384159404</v>
      </c>
      <c r="G59" s="24">
        <v>3.9222379034499899</v>
      </c>
      <c r="H59" s="15">
        <v>4.8725307278551497</v>
      </c>
      <c r="I59" s="15">
        <v>5.2180356627386999</v>
      </c>
      <c r="J59" s="24">
        <v>4.5675400888602899</v>
      </c>
      <c r="K59" s="20" t="s">
        <v>80</v>
      </c>
      <c r="L59" s="20" t="s">
        <v>80</v>
      </c>
      <c r="M59" s="26" t="s">
        <v>80</v>
      </c>
      <c r="N59" s="20" t="s">
        <v>80</v>
      </c>
      <c r="O59" s="20" t="s">
        <v>80</v>
      </c>
      <c r="P59" s="26" t="s">
        <v>80</v>
      </c>
    </row>
    <row r="60" spans="1:16">
      <c r="A60" s="9" t="s">
        <v>218</v>
      </c>
      <c r="B60" s="15">
        <v>4.82152858043324</v>
      </c>
      <c r="C60" s="15">
        <v>4.9159000837873403</v>
      </c>
      <c r="D60" s="24">
        <v>4.7389670408076396</v>
      </c>
      <c r="E60" s="15">
        <v>5.7090277870879902</v>
      </c>
      <c r="F60" s="15">
        <v>6.0939083438558903</v>
      </c>
      <c r="G60" s="24">
        <v>5.3703336548481504</v>
      </c>
      <c r="H60" s="15">
        <v>3.8776823834468099</v>
      </c>
      <c r="I60" s="15">
        <v>3.9443787781983302</v>
      </c>
      <c r="J60" s="24">
        <v>3.81880688269377</v>
      </c>
      <c r="K60" s="20" t="s">
        <v>80</v>
      </c>
      <c r="L60" s="20" t="s">
        <v>80</v>
      </c>
      <c r="M60" s="26" t="s">
        <v>80</v>
      </c>
      <c r="N60" s="20" t="s">
        <v>80</v>
      </c>
      <c r="O60" s="20" t="s">
        <v>80</v>
      </c>
      <c r="P60" s="26" t="s">
        <v>80</v>
      </c>
    </row>
    <row r="61" spans="1:16">
      <c r="A61" s="9" t="s">
        <v>219</v>
      </c>
      <c r="B61" s="15">
        <v>6.51354655835478</v>
      </c>
      <c r="C61" s="15">
        <v>7.3309362950677404</v>
      </c>
      <c r="D61" s="24">
        <v>5.7984476912321004</v>
      </c>
      <c r="E61" s="15">
        <v>6.01640186740023</v>
      </c>
      <c r="F61" s="15">
        <v>7.0618486071525597</v>
      </c>
      <c r="G61" s="24">
        <v>5.0964107945934503</v>
      </c>
      <c r="H61" s="15">
        <v>7.0161110667814199</v>
      </c>
      <c r="I61" s="15">
        <v>7.5931948225547599</v>
      </c>
      <c r="J61" s="24">
        <v>6.5066967989759901</v>
      </c>
      <c r="K61" s="20" t="s">
        <v>80</v>
      </c>
      <c r="L61" s="20" t="s">
        <v>80</v>
      </c>
      <c r="M61" s="26" t="s">
        <v>80</v>
      </c>
      <c r="N61" s="20" t="s">
        <v>80</v>
      </c>
      <c r="O61" s="20" t="s">
        <v>80</v>
      </c>
      <c r="P61" s="26" t="s">
        <v>80</v>
      </c>
    </row>
    <row r="62" spans="1:16">
      <c r="A62" s="9" t="s">
        <v>220</v>
      </c>
      <c r="B62" s="15">
        <v>14.004343086104599</v>
      </c>
      <c r="C62" s="15">
        <v>16.627740076803502</v>
      </c>
      <c r="D62" s="24">
        <v>11.7092467179928</v>
      </c>
      <c r="E62" s="15">
        <v>13.769436037753801</v>
      </c>
      <c r="F62" s="15">
        <v>16.895765820994502</v>
      </c>
      <c r="G62" s="24">
        <v>11.018271983320099</v>
      </c>
      <c r="H62" s="15">
        <v>14.4550068375406</v>
      </c>
      <c r="I62" s="15">
        <v>16.517815701729798</v>
      </c>
      <c r="J62" s="24">
        <v>12.634085252656799</v>
      </c>
      <c r="K62" s="20" t="s">
        <v>80</v>
      </c>
      <c r="L62" s="20" t="s">
        <v>80</v>
      </c>
      <c r="M62" s="26" t="s">
        <v>80</v>
      </c>
      <c r="N62" s="20" t="s">
        <v>80</v>
      </c>
      <c r="O62" s="20" t="s">
        <v>80</v>
      </c>
      <c r="P62" s="26" t="s">
        <v>80</v>
      </c>
    </row>
    <row r="63" spans="1:16">
      <c r="A63" s="9" t="s">
        <v>221</v>
      </c>
      <c r="B63" s="15">
        <v>18.295699338726202</v>
      </c>
      <c r="C63" s="15">
        <v>21.816885054337501</v>
      </c>
      <c r="D63" s="24">
        <v>15.215166512013599</v>
      </c>
      <c r="E63" s="15">
        <v>23.993241031159201</v>
      </c>
      <c r="F63" s="15">
        <v>29.921410117994402</v>
      </c>
      <c r="G63" s="24">
        <v>18.776463905554898</v>
      </c>
      <c r="H63" s="15">
        <v>12.1729544597878</v>
      </c>
      <c r="I63" s="15">
        <v>13.202010716405599</v>
      </c>
      <c r="J63" s="24">
        <v>11.2645664931346</v>
      </c>
      <c r="K63" s="20" t="s">
        <v>80</v>
      </c>
      <c r="L63" s="20" t="s">
        <v>80</v>
      </c>
      <c r="M63" s="26" t="s">
        <v>80</v>
      </c>
      <c r="N63" s="20" t="s">
        <v>80</v>
      </c>
      <c r="O63" s="20" t="s">
        <v>80</v>
      </c>
      <c r="P63" s="26" t="s">
        <v>80</v>
      </c>
    </row>
    <row r="64" spans="1:16">
      <c r="A64" s="11" t="s">
        <v>222</v>
      </c>
      <c r="B64" s="16">
        <v>4.3088317615640896</v>
      </c>
      <c r="C64" s="16">
        <v>5.9866456252651297</v>
      </c>
      <c r="D64" s="25">
        <v>2.8409851037381602</v>
      </c>
      <c r="E64" s="16">
        <v>4.1635533034351502</v>
      </c>
      <c r="F64" s="16">
        <v>5.8552574032818603</v>
      </c>
      <c r="G64" s="25">
        <v>2.6748570260348199</v>
      </c>
      <c r="H64" s="16">
        <v>4.2893968331751999</v>
      </c>
      <c r="I64" s="16">
        <v>5.8230935071239198</v>
      </c>
      <c r="J64" s="25">
        <v>2.9355431501024398</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71"/>
  <sheetViews>
    <sheetView zoomScale="55" workbookViewId="0"/>
  </sheetViews>
  <sheetFormatPr defaultColWidth="10.90625" defaultRowHeight="15"/>
  <cols>
    <col min="1" max="1" width="51.6796875" customWidth="1"/>
    <col min="2" max="44" width="13.6796875" customWidth="1"/>
  </cols>
  <sheetData>
    <row r="1" spans="1:45" ht="39.9" customHeight="1">
      <c r="A1" s="10"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c r="A3" s="9" t="s">
        <v>161</v>
      </c>
      <c r="B3" s="36">
        <v>34.828357577601501</v>
      </c>
      <c r="C3" s="32">
        <v>34.203328019150398</v>
      </c>
      <c r="D3" s="32">
        <v>36.868666296885699</v>
      </c>
      <c r="E3" s="32">
        <v>43.503116589940703</v>
      </c>
      <c r="F3" s="15">
        <v>49.019607843137301</v>
      </c>
      <c r="G3" s="20" t="s">
        <v>80</v>
      </c>
      <c r="H3" s="15">
        <v>50.837988826815597</v>
      </c>
      <c r="I3" s="15">
        <v>39.603960396039597</v>
      </c>
      <c r="J3" s="15">
        <v>32.857142857142897</v>
      </c>
      <c r="K3" s="15">
        <v>43.243243243243199</v>
      </c>
      <c r="L3" s="15">
        <v>38.317757009345797</v>
      </c>
      <c r="M3" s="15">
        <v>45.238095238095198</v>
      </c>
      <c r="N3" s="15">
        <v>34.7222222222222</v>
      </c>
      <c r="O3" s="15">
        <v>43.548387096774199</v>
      </c>
      <c r="P3" s="15">
        <v>54.545454545454497</v>
      </c>
      <c r="Q3" s="15">
        <v>44.117647058823501</v>
      </c>
      <c r="R3" s="15">
        <v>40.425531914893597</v>
      </c>
      <c r="S3" s="15">
        <v>30.434782608695699</v>
      </c>
      <c r="T3" s="15">
        <v>65.116279069767401</v>
      </c>
      <c r="U3" s="15">
        <v>46.428571428571402</v>
      </c>
      <c r="V3" s="15">
        <v>39.473684210526301</v>
      </c>
      <c r="W3" s="15">
        <v>45.652173913043498</v>
      </c>
      <c r="X3" s="15">
        <v>31.531531531531499</v>
      </c>
      <c r="Y3" s="15">
        <v>37.121212121212103</v>
      </c>
      <c r="Z3" s="15">
        <v>37.931034482758598</v>
      </c>
      <c r="AA3" s="15">
        <v>39.130434782608702</v>
      </c>
      <c r="AB3" s="15">
        <v>36.363636363636402</v>
      </c>
      <c r="AC3" s="15">
        <v>38.095238095238102</v>
      </c>
      <c r="AD3" s="15">
        <v>63.043478260869598</v>
      </c>
      <c r="AE3" s="15">
        <v>42.424242424242401</v>
      </c>
      <c r="AF3" s="15">
        <v>56.818181818181799</v>
      </c>
      <c r="AG3" s="15">
        <v>40</v>
      </c>
      <c r="AH3" s="15">
        <v>36.559139784946197</v>
      </c>
      <c r="AI3" s="15">
        <v>26.785714285714299</v>
      </c>
      <c r="AJ3" s="32">
        <v>31.064473174001801</v>
      </c>
      <c r="AK3" s="15">
        <v>31.065088757396399</v>
      </c>
      <c r="AL3" s="15">
        <v>27.6688453159041</v>
      </c>
      <c r="AM3" s="15">
        <v>31.818181818181799</v>
      </c>
      <c r="AN3" s="15">
        <v>51.824817518248203</v>
      </c>
      <c r="AO3" s="15">
        <v>33.233532934131702</v>
      </c>
      <c r="AP3" s="15">
        <v>33.262260127931803</v>
      </c>
      <c r="AQ3" s="15">
        <v>32.352941176470601</v>
      </c>
      <c r="AR3" s="24">
        <v>30</v>
      </c>
      <c r="AS3" s="38"/>
    </row>
    <row r="4" spans="1:45">
      <c r="A4" s="9" t="s">
        <v>162</v>
      </c>
      <c r="B4" s="36">
        <v>22.326511545589302</v>
      </c>
      <c r="C4" s="32">
        <v>22.5986150405306</v>
      </c>
      <c r="D4" s="32">
        <v>24.995435162410999</v>
      </c>
      <c r="E4" s="32">
        <v>28.529457496440902</v>
      </c>
      <c r="F4" s="15">
        <v>27.4509803921569</v>
      </c>
      <c r="G4" s="20" t="s">
        <v>80</v>
      </c>
      <c r="H4" s="15">
        <v>32.960893854748598</v>
      </c>
      <c r="I4" s="15">
        <v>30.693069306930699</v>
      </c>
      <c r="J4" s="15">
        <v>18.571428571428601</v>
      </c>
      <c r="K4" s="20" t="s">
        <v>80</v>
      </c>
      <c r="L4" s="15">
        <v>41.121495327102799</v>
      </c>
      <c r="M4" s="15">
        <v>29.761904761904798</v>
      </c>
      <c r="N4" s="15">
        <v>27.7777777777778</v>
      </c>
      <c r="O4" s="15">
        <v>19.354838709677399</v>
      </c>
      <c r="P4" s="15">
        <v>37.190082644628099</v>
      </c>
      <c r="Q4" s="15">
        <v>23.529411764705898</v>
      </c>
      <c r="R4" s="15">
        <v>31.914893617021299</v>
      </c>
      <c r="S4" s="15">
        <v>15.2173913043478</v>
      </c>
      <c r="T4" s="15">
        <v>25.581395348837201</v>
      </c>
      <c r="U4" s="15">
        <v>37.5</v>
      </c>
      <c r="V4" s="15">
        <v>36.842105263157897</v>
      </c>
      <c r="W4" s="15">
        <v>26.086956521739101</v>
      </c>
      <c r="X4" s="15">
        <v>34.234234234234201</v>
      </c>
      <c r="Y4" s="15">
        <v>26.515151515151501</v>
      </c>
      <c r="Z4" s="15">
        <v>27.586206896551701</v>
      </c>
      <c r="AA4" s="15">
        <v>30.434782608695699</v>
      </c>
      <c r="AB4" s="20" t="s">
        <v>80</v>
      </c>
      <c r="AC4" s="15">
        <v>16.6666666666667</v>
      </c>
      <c r="AD4" s="15">
        <v>28.260869565217401</v>
      </c>
      <c r="AE4" s="20" t="s">
        <v>80</v>
      </c>
      <c r="AF4" s="15">
        <v>34.090909090909101</v>
      </c>
      <c r="AG4" s="20" t="s">
        <v>80</v>
      </c>
      <c r="AH4" s="15">
        <v>25.806451612903199</v>
      </c>
      <c r="AI4" s="15">
        <v>14.285714285714301</v>
      </c>
      <c r="AJ4" s="32">
        <v>21.903672134392401</v>
      </c>
      <c r="AK4" s="15">
        <v>15.088757396449701</v>
      </c>
      <c r="AL4" s="15">
        <v>15.2505446623094</v>
      </c>
      <c r="AM4" s="15">
        <v>23.2323232323232</v>
      </c>
      <c r="AN4" s="15">
        <v>41.605839416058402</v>
      </c>
      <c r="AO4" s="15">
        <v>24.850299401197599</v>
      </c>
      <c r="AP4" s="15">
        <v>19.189765458422201</v>
      </c>
      <c r="AQ4" s="15">
        <v>36.029411764705898</v>
      </c>
      <c r="AR4" s="24">
        <v>31.515151515151501</v>
      </c>
      <c r="AS4" s="38"/>
    </row>
    <row r="5" spans="1:45">
      <c r="A5" s="9" t="s">
        <v>163</v>
      </c>
      <c r="B5" s="36">
        <v>27.130291813127599</v>
      </c>
      <c r="C5" s="32">
        <v>26.8245205866098</v>
      </c>
      <c r="D5" s="32">
        <v>26.776121790389201</v>
      </c>
      <c r="E5" s="32">
        <v>23.715293405997802</v>
      </c>
      <c r="F5" s="15">
        <v>29.411764705882401</v>
      </c>
      <c r="G5" s="20" t="s">
        <v>80</v>
      </c>
      <c r="H5" s="15">
        <v>22.905027932960898</v>
      </c>
      <c r="I5" s="15">
        <v>20.7920792079208</v>
      </c>
      <c r="J5" s="15">
        <v>20</v>
      </c>
      <c r="K5" s="20" t="s">
        <v>80</v>
      </c>
      <c r="L5" s="15">
        <v>24.299065420560702</v>
      </c>
      <c r="M5" s="15">
        <v>40.476190476190503</v>
      </c>
      <c r="N5" s="15">
        <v>21.5277777777778</v>
      </c>
      <c r="O5" s="15">
        <v>15.322580645161301</v>
      </c>
      <c r="P5" s="15">
        <v>32.2314049586777</v>
      </c>
      <c r="Q5" s="15">
        <v>20.588235294117599</v>
      </c>
      <c r="R5" s="15">
        <v>25.531914893617</v>
      </c>
      <c r="S5" s="15">
        <v>23.913043478260899</v>
      </c>
      <c r="T5" s="15">
        <v>20.930232558139501</v>
      </c>
      <c r="U5" s="15">
        <v>14.285714285714301</v>
      </c>
      <c r="V5" s="15">
        <v>36.842105263157897</v>
      </c>
      <c r="W5" s="20" t="s">
        <v>80</v>
      </c>
      <c r="X5" s="15">
        <v>29.729729729729701</v>
      </c>
      <c r="Y5" s="15">
        <v>24.2424242424242</v>
      </c>
      <c r="Z5" s="15">
        <v>17.241379310344801</v>
      </c>
      <c r="AA5" s="20" t="s">
        <v>80</v>
      </c>
      <c r="AB5" s="20" t="s">
        <v>80</v>
      </c>
      <c r="AC5" s="15">
        <v>16.6666666666667</v>
      </c>
      <c r="AD5" s="15">
        <v>21.739130434782599</v>
      </c>
      <c r="AE5" s="15">
        <v>33.3333333333333</v>
      </c>
      <c r="AF5" s="15">
        <v>29.545454545454501</v>
      </c>
      <c r="AG5" s="20" t="s">
        <v>80</v>
      </c>
      <c r="AH5" s="15">
        <v>23.655913978494599</v>
      </c>
      <c r="AI5" s="15">
        <v>16.071428571428601</v>
      </c>
      <c r="AJ5" s="32">
        <v>29.453907933064801</v>
      </c>
      <c r="AK5" s="15">
        <v>28.1065088757396</v>
      </c>
      <c r="AL5" s="15">
        <v>13.071895424836599</v>
      </c>
      <c r="AM5" s="15">
        <v>21.2121212121212</v>
      </c>
      <c r="AN5" s="15">
        <v>56.9343065693431</v>
      </c>
      <c r="AO5" s="15">
        <v>25.149700598802401</v>
      </c>
      <c r="AP5" s="15">
        <v>40.298507462686601</v>
      </c>
      <c r="AQ5" s="15">
        <v>25.735294117647101</v>
      </c>
      <c r="AR5" s="24">
        <v>35.7575757575758</v>
      </c>
      <c r="AS5" s="38"/>
    </row>
    <row r="6" spans="1:45">
      <c r="A6" s="9" t="s">
        <v>164</v>
      </c>
      <c r="B6" s="36">
        <v>46.087348451858396</v>
      </c>
      <c r="C6" s="32">
        <v>44.554265255603802</v>
      </c>
      <c r="D6" s="32">
        <v>44.232925889987001</v>
      </c>
      <c r="E6" s="32">
        <v>55.2680570119282</v>
      </c>
      <c r="F6" s="15">
        <v>56.862745098039198</v>
      </c>
      <c r="G6" s="15">
        <v>40.909090909090899</v>
      </c>
      <c r="H6" s="15">
        <v>54.189944134078203</v>
      </c>
      <c r="I6" s="15">
        <v>52.475247524752497</v>
      </c>
      <c r="J6" s="15">
        <v>60</v>
      </c>
      <c r="K6" s="15">
        <v>40.540540540540498</v>
      </c>
      <c r="L6" s="15">
        <v>57.943925233644897</v>
      </c>
      <c r="M6" s="15">
        <v>55.952380952380999</v>
      </c>
      <c r="N6" s="15">
        <v>62.5</v>
      </c>
      <c r="O6" s="15">
        <v>41.935483870967701</v>
      </c>
      <c r="P6" s="15">
        <v>50.413223140495901</v>
      </c>
      <c r="Q6" s="15">
        <v>67.647058823529406</v>
      </c>
      <c r="R6" s="15">
        <v>53.191489361702097</v>
      </c>
      <c r="S6" s="15">
        <v>41.304347826087003</v>
      </c>
      <c r="T6" s="15">
        <v>53.488372093023301</v>
      </c>
      <c r="U6" s="15">
        <v>62.5</v>
      </c>
      <c r="V6" s="15">
        <v>73.684210526315795</v>
      </c>
      <c r="W6" s="15">
        <v>54.347826086956502</v>
      </c>
      <c r="X6" s="15">
        <v>54.9549549549549</v>
      </c>
      <c r="Y6" s="15">
        <v>56.060606060606098</v>
      </c>
      <c r="Z6" s="15">
        <v>51.724137931034498</v>
      </c>
      <c r="AA6" s="15">
        <v>54.347826086956502</v>
      </c>
      <c r="AB6" s="15">
        <v>31.818181818181799</v>
      </c>
      <c r="AC6" s="15">
        <v>38.095238095238102</v>
      </c>
      <c r="AD6" s="15">
        <v>43.478260869565197</v>
      </c>
      <c r="AE6" s="15">
        <v>66.6666666666667</v>
      </c>
      <c r="AF6" s="15">
        <v>56.818181818181799</v>
      </c>
      <c r="AG6" s="15">
        <v>60</v>
      </c>
      <c r="AH6" s="15">
        <v>60.215053763440899</v>
      </c>
      <c r="AI6" s="15">
        <v>48.214285714285701</v>
      </c>
      <c r="AJ6" s="32">
        <v>34.578767770038198</v>
      </c>
      <c r="AK6" s="15">
        <v>28.9940828402367</v>
      </c>
      <c r="AL6" s="15">
        <v>32.026143790849702</v>
      </c>
      <c r="AM6" s="15">
        <v>42.929292929292899</v>
      </c>
      <c r="AN6" s="15">
        <v>54.7445255474452</v>
      </c>
      <c r="AO6" s="15">
        <v>37.125748502994</v>
      </c>
      <c r="AP6" s="15">
        <v>37.100213219616201</v>
      </c>
      <c r="AQ6" s="15">
        <v>45.588235294117602</v>
      </c>
      <c r="AR6" s="24">
        <v>46.969696969696997</v>
      </c>
      <c r="AS6" s="38"/>
    </row>
    <row r="7" spans="1:45">
      <c r="A7" s="9" t="s">
        <v>165</v>
      </c>
      <c r="B7" s="36">
        <v>24.199306116889499</v>
      </c>
      <c r="C7" s="32">
        <v>23.590412781819101</v>
      </c>
      <c r="D7" s="32">
        <v>22.948866804887</v>
      </c>
      <c r="E7" s="32">
        <v>30.8473532897154</v>
      </c>
      <c r="F7" s="15">
        <v>9.8039215686274499</v>
      </c>
      <c r="G7" s="20" t="s">
        <v>80</v>
      </c>
      <c r="H7" s="15">
        <v>30.167597765363102</v>
      </c>
      <c r="I7" s="15">
        <v>25.742574257425701</v>
      </c>
      <c r="J7" s="15">
        <v>30</v>
      </c>
      <c r="K7" s="15">
        <v>21.6216216216216</v>
      </c>
      <c r="L7" s="15">
        <v>39.252336448598101</v>
      </c>
      <c r="M7" s="15">
        <v>27.380952380952401</v>
      </c>
      <c r="N7" s="15">
        <v>42.3611111111111</v>
      </c>
      <c r="O7" s="15">
        <v>32.258064516128997</v>
      </c>
      <c r="P7" s="15">
        <v>30.578512396694201</v>
      </c>
      <c r="Q7" s="15">
        <v>41.176470588235297</v>
      </c>
      <c r="R7" s="15">
        <v>25.531914893617</v>
      </c>
      <c r="S7" s="15">
        <v>30.434782608695699</v>
      </c>
      <c r="T7" s="15">
        <v>30.232558139534898</v>
      </c>
      <c r="U7" s="15">
        <v>41.071428571428598</v>
      </c>
      <c r="V7" s="15">
        <v>44.7368421052632</v>
      </c>
      <c r="W7" s="15">
        <v>30.434782608695699</v>
      </c>
      <c r="X7" s="15">
        <v>24.324324324324301</v>
      </c>
      <c r="Y7" s="15">
        <v>25.7575757575758</v>
      </c>
      <c r="Z7" s="15">
        <v>37.931034482758598</v>
      </c>
      <c r="AA7" s="15">
        <v>36.956521739130402</v>
      </c>
      <c r="AB7" s="20" t="s">
        <v>80</v>
      </c>
      <c r="AC7" s="15">
        <v>28.571428571428601</v>
      </c>
      <c r="AD7" s="15">
        <v>36.956521739130402</v>
      </c>
      <c r="AE7" s="15">
        <v>30.303030303030301</v>
      </c>
      <c r="AF7" s="15">
        <v>38.636363636363598</v>
      </c>
      <c r="AG7" s="15">
        <v>40</v>
      </c>
      <c r="AH7" s="15">
        <v>20.430107526881699</v>
      </c>
      <c r="AI7" s="15">
        <v>25</v>
      </c>
      <c r="AJ7" s="32">
        <v>16.038823182369601</v>
      </c>
      <c r="AK7" s="15">
        <v>13.165680473372801</v>
      </c>
      <c r="AL7" s="15">
        <v>15.4684095860566</v>
      </c>
      <c r="AM7" s="15">
        <v>16.161616161616202</v>
      </c>
      <c r="AN7" s="15">
        <v>23.3576642335766</v>
      </c>
      <c r="AO7" s="15">
        <v>20.958083832335301</v>
      </c>
      <c r="AP7" s="15">
        <v>17.910447761194</v>
      </c>
      <c r="AQ7" s="15">
        <v>18.382352941176499</v>
      </c>
      <c r="AR7" s="24">
        <v>25.151515151515198</v>
      </c>
      <c r="AS7" s="38"/>
    </row>
    <row r="8" spans="1:45">
      <c r="A8" s="9" t="s">
        <v>166</v>
      </c>
      <c r="B8" s="36">
        <v>3.2585078492217199</v>
      </c>
      <c r="C8" s="32">
        <v>2.94022370563119</v>
      </c>
      <c r="D8" s="32">
        <v>3.9104052924806099</v>
      </c>
      <c r="E8" s="32">
        <v>5.7939159439580301</v>
      </c>
      <c r="F8" s="20" t="s">
        <v>80</v>
      </c>
      <c r="G8" s="20" t="s">
        <v>80</v>
      </c>
      <c r="H8" s="15">
        <v>3.91061452513966</v>
      </c>
      <c r="I8" s="20" t="s">
        <v>80</v>
      </c>
      <c r="J8" s="15">
        <v>12.8571428571429</v>
      </c>
      <c r="K8" s="20" t="s">
        <v>80</v>
      </c>
      <c r="L8" s="15">
        <v>8.4112149532710294</v>
      </c>
      <c r="M8" s="15">
        <v>8.3333333333333304</v>
      </c>
      <c r="N8" s="20" t="s">
        <v>80</v>
      </c>
      <c r="O8" s="20" t="s">
        <v>80</v>
      </c>
      <c r="P8" s="15">
        <v>12.396694214876</v>
      </c>
      <c r="Q8" s="15">
        <v>14.705882352941201</v>
      </c>
      <c r="R8" s="15">
        <v>12.7659574468085</v>
      </c>
      <c r="S8" s="20" t="s">
        <v>80</v>
      </c>
      <c r="T8" s="20" t="s">
        <v>80</v>
      </c>
      <c r="U8" s="15">
        <v>10.714285714285699</v>
      </c>
      <c r="V8" s="20" t="s">
        <v>80</v>
      </c>
      <c r="W8" s="20" t="s">
        <v>80</v>
      </c>
      <c r="X8" s="20" t="s">
        <v>80</v>
      </c>
      <c r="Y8" s="15">
        <v>9.8484848484848495</v>
      </c>
      <c r="Z8" s="20" t="s">
        <v>80</v>
      </c>
      <c r="AA8" s="20" t="s">
        <v>80</v>
      </c>
      <c r="AB8" s="20" t="s">
        <v>80</v>
      </c>
      <c r="AC8" s="20" t="s">
        <v>80</v>
      </c>
      <c r="AD8" s="20" t="s">
        <v>80</v>
      </c>
      <c r="AE8" s="20" t="s">
        <v>80</v>
      </c>
      <c r="AF8" s="15">
        <v>15.909090909090899</v>
      </c>
      <c r="AG8" s="20" t="s">
        <v>80</v>
      </c>
      <c r="AH8" s="20" t="s">
        <v>80</v>
      </c>
      <c r="AI8" s="20" t="s">
        <v>80</v>
      </c>
      <c r="AJ8" s="32">
        <v>2.2626034268719399</v>
      </c>
      <c r="AK8" s="15">
        <v>1.92307692307692</v>
      </c>
      <c r="AL8" s="15">
        <v>1.3071895424836599</v>
      </c>
      <c r="AM8" s="15">
        <v>3.5353535353535399</v>
      </c>
      <c r="AN8" s="15">
        <v>4.3795620437956204</v>
      </c>
      <c r="AO8" s="15">
        <v>2.0958083832335301</v>
      </c>
      <c r="AP8" s="15">
        <v>2.7718550106609801</v>
      </c>
      <c r="AQ8" s="15">
        <v>3.6764705882352899</v>
      </c>
      <c r="AR8" s="24">
        <v>2.7272727272727302</v>
      </c>
      <c r="AS8" s="38"/>
    </row>
    <row r="9" spans="1:45">
      <c r="A9" s="9" t="s">
        <v>167</v>
      </c>
      <c r="B9" s="36">
        <v>13.4211726164566</v>
      </c>
      <c r="C9" s="32">
        <v>13.316606782085</v>
      </c>
      <c r="D9" s="32">
        <v>14.041148504305999</v>
      </c>
      <c r="E9" s="32">
        <v>19.640658425173399</v>
      </c>
      <c r="F9" s="15">
        <v>17.647058823529399</v>
      </c>
      <c r="G9" s="20" t="s">
        <v>80</v>
      </c>
      <c r="H9" s="15">
        <v>17.318435754189899</v>
      </c>
      <c r="I9" s="15">
        <v>23.762376237623801</v>
      </c>
      <c r="J9" s="15">
        <v>27.1428571428571</v>
      </c>
      <c r="K9" s="15">
        <v>29.729729729729701</v>
      </c>
      <c r="L9" s="15">
        <v>16.822429906542101</v>
      </c>
      <c r="M9" s="15">
        <v>11.9047619047619</v>
      </c>
      <c r="N9" s="15">
        <v>21.5277777777778</v>
      </c>
      <c r="O9" s="15">
        <v>19.354838709677399</v>
      </c>
      <c r="P9" s="15">
        <v>16.528925619834698</v>
      </c>
      <c r="Q9" s="15">
        <v>17.647058823529399</v>
      </c>
      <c r="R9" s="15">
        <v>17.021276595744698</v>
      </c>
      <c r="S9" s="15">
        <v>15.2173913043478</v>
      </c>
      <c r="T9" s="15">
        <v>16.2790697674419</v>
      </c>
      <c r="U9" s="15">
        <v>26.785714285714299</v>
      </c>
      <c r="V9" s="15">
        <v>18.421052631578899</v>
      </c>
      <c r="W9" s="15">
        <v>15.2173913043478</v>
      </c>
      <c r="X9" s="15">
        <v>21.6216216216216</v>
      </c>
      <c r="Y9" s="15">
        <v>22.727272727272702</v>
      </c>
      <c r="Z9" s="20" t="s">
        <v>80</v>
      </c>
      <c r="AA9" s="15">
        <v>15.2173913043478</v>
      </c>
      <c r="AB9" s="20" t="s">
        <v>80</v>
      </c>
      <c r="AC9" s="15">
        <v>16.6666666666667</v>
      </c>
      <c r="AD9" s="15">
        <v>21.739130434782599</v>
      </c>
      <c r="AE9" s="15">
        <v>18.181818181818201</v>
      </c>
      <c r="AF9" s="15">
        <v>18.181818181818201</v>
      </c>
      <c r="AG9" s="15">
        <v>46.6666666666667</v>
      </c>
      <c r="AH9" s="15">
        <v>17.204301075268798</v>
      </c>
      <c r="AI9" s="15">
        <v>17.8571428571429</v>
      </c>
      <c r="AJ9" s="32">
        <v>9.1423798741090501</v>
      </c>
      <c r="AK9" s="15">
        <v>8.57988165680473</v>
      </c>
      <c r="AL9" s="15">
        <v>7.8431372549019596</v>
      </c>
      <c r="AM9" s="15">
        <v>10.6060606060606</v>
      </c>
      <c r="AN9" s="15">
        <v>11.6788321167883</v>
      </c>
      <c r="AO9" s="15">
        <v>11.976047904191599</v>
      </c>
      <c r="AP9" s="15">
        <v>7.6759061833688698</v>
      </c>
      <c r="AQ9" s="15">
        <v>9.5588235294117592</v>
      </c>
      <c r="AR9" s="24">
        <v>10.909090909090899</v>
      </c>
      <c r="AS9" s="38"/>
    </row>
    <row r="10" spans="1:45">
      <c r="A10" s="9" t="s">
        <v>168</v>
      </c>
      <c r="B10" s="36">
        <v>29.959504091290501</v>
      </c>
      <c r="C10" s="32">
        <v>29.4594205633868</v>
      </c>
      <c r="D10" s="32">
        <v>30.215782721781501</v>
      </c>
      <c r="E10" s="32">
        <v>26.863533833743901</v>
      </c>
      <c r="F10" s="15">
        <v>23.529411764705898</v>
      </c>
      <c r="G10" s="15">
        <v>27.272727272727298</v>
      </c>
      <c r="H10" s="15">
        <v>29.608938547486002</v>
      </c>
      <c r="I10" s="15">
        <v>29.702970297029701</v>
      </c>
      <c r="J10" s="15">
        <v>21.428571428571399</v>
      </c>
      <c r="K10" s="15">
        <v>24.324324324324301</v>
      </c>
      <c r="L10" s="15">
        <v>27.1028037383178</v>
      </c>
      <c r="M10" s="15">
        <v>30.952380952380999</v>
      </c>
      <c r="N10" s="15">
        <v>25</v>
      </c>
      <c r="O10" s="15">
        <v>22.580645161290299</v>
      </c>
      <c r="P10" s="15">
        <v>32.2314049586777</v>
      </c>
      <c r="Q10" s="15">
        <v>20.588235294117599</v>
      </c>
      <c r="R10" s="15">
        <v>17.021276595744698</v>
      </c>
      <c r="S10" s="15">
        <v>10.869565217391299</v>
      </c>
      <c r="T10" s="15">
        <v>18.604651162790699</v>
      </c>
      <c r="U10" s="15">
        <v>30.3571428571429</v>
      </c>
      <c r="V10" s="15">
        <v>31.578947368421101</v>
      </c>
      <c r="W10" s="15">
        <v>19.565217391304301</v>
      </c>
      <c r="X10" s="15">
        <v>19.819819819819799</v>
      </c>
      <c r="Y10" s="15">
        <v>30.303030303030301</v>
      </c>
      <c r="Z10" s="15">
        <v>31.034482758620701</v>
      </c>
      <c r="AA10" s="15">
        <v>26.086956521739101</v>
      </c>
      <c r="AB10" s="15">
        <v>22.727272727272702</v>
      </c>
      <c r="AC10" s="15">
        <v>16.6666666666667</v>
      </c>
      <c r="AD10" s="15">
        <v>30.434782608695699</v>
      </c>
      <c r="AE10" s="15">
        <v>27.272727272727298</v>
      </c>
      <c r="AF10" s="15">
        <v>20.454545454545499</v>
      </c>
      <c r="AG10" s="20" t="s">
        <v>80</v>
      </c>
      <c r="AH10" s="15">
        <v>11.8279569892473</v>
      </c>
      <c r="AI10" s="15">
        <v>21.428571428571399</v>
      </c>
      <c r="AJ10" s="32">
        <v>33.148520037262003</v>
      </c>
      <c r="AK10" s="15">
        <v>30.769230769230798</v>
      </c>
      <c r="AL10" s="15">
        <v>28.976034858387798</v>
      </c>
      <c r="AM10" s="15">
        <v>31.818181818181799</v>
      </c>
      <c r="AN10" s="15">
        <v>43.0656934306569</v>
      </c>
      <c r="AO10" s="15">
        <v>34.131736526946099</v>
      </c>
      <c r="AP10" s="15">
        <v>29.8507462686567</v>
      </c>
      <c r="AQ10" s="15">
        <v>40.441176470588204</v>
      </c>
      <c r="AR10" s="24">
        <v>36.363636363636402</v>
      </c>
      <c r="AS10" s="38"/>
    </row>
    <row r="11" spans="1:45">
      <c r="A11" s="9" t="s">
        <v>169</v>
      </c>
      <c r="B11" s="36">
        <v>26.393896573835601</v>
      </c>
      <c r="C11" s="32">
        <v>26.397942793968301</v>
      </c>
      <c r="D11" s="32">
        <v>32.020297133351797</v>
      </c>
      <c r="E11" s="32">
        <v>36.017485579666896</v>
      </c>
      <c r="F11" s="15">
        <v>41.176470588235297</v>
      </c>
      <c r="G11" s="15">
        <v>22.727272727272702</v>
      </c>
      <c r="H11" s="15">
        <v>44.692737430167597</v>
      </c>
      <c r="I11" s="15">
        <v>35.643564356435597</v>
      </c>
      <c r="J11" s="15">
        <v>40</v>
      </c>
      <c r="K11" s="15">
        <v>27.027027027027</v>
      </c>
      <c r="L11" s="15">
        <v>23.364485981308398</v>
      </c>
      <c r="M11" s="15">
        <v>30.952380952380999</v>
      </c>
      <c r="N11" s="15">
        <v>33.3333333333333</v>
      </c>
      <c r="O11" s="15">
        <v>33.870967741935502</v>
      </c>
      <c r="P11" s="15">
        <v>38.842975206611598</v>
      </c>
      <c r="Q11" s="15">
        <v>38.235294117647101</v>
      </c>
      <c r="R11" s="15">
        <v>40.425531914893597</v>
      </c>
      <c r="S11" s="15">
        <v>30.434782608695699</v>
      </c>
      <c r="T11" s="15">
        <v>32.558139534883701</v>
      </c>
      <c r="U11" s="15">
        <v>42.857142857142897</v>
      </c>
      <c r="V11" s="15">
        <v>39.473684210526301</v>
      </c>
      <c r="W11" s="15">
        <v>26.086956521739101</v>
      </c>
      <c r="X11" s="15">
        <v>27.9279279279279</v>
      </c>
      <c r="Y11" s="15">
        <v>30.303030303030301</v>
      </c>
      <c r="Z11" s="15">
        <v>24.137931034482801</v>
      </c>
      <c r="AA11" s="15">
        <v>45.652173913043498</v>
      </c>
      <c r="AB11" s="20" t="s">
        <v>80</v>
      </c>
      <c r="AC11" s="15">
        <v>35.714285714285701</v>
      </c>
      <c r="AD11" s="15">
        <v>43.478260869565197</v>
      </c>
      <c r="AE11" s="15">
        <v>39.393939393939398</v>
      </c>
      <c r="AF11" s="15">
        <v>47.727272727272698</v>
      </c>
      <c r="AG11" s="15">
        <v>60</v>
      </c>
      <c r="AH11" s="15">
        <v>30.1075268817204</v>
      </c>
      <c r="AI11" s="15">
        <v>28.571428571428601</v>
      </c>
      <c r="AJ11" s="32">
        <v>28.523330140433099</v>
      </c>
      <c r="AK11" s="15">
        <v>20.710059171597599</v>
      </c>
      <c r="AL11" s="15">
        <v>24.400871459695001</v>
      </c>
      <c r="AM11" s="15">
        <v>34.848484848484901</v>
      </c>
      <c r="AN11" s="15">
        <v>40.875912408759099</v>
      </c>
      <c r="AO11" s="15">
        <v>32.335329341317397</v>
      </c>
      <c r="AP11" s="15">
        <v>24.946695095948801</v>
      </c>
      <c r="AQ11" s="15">
        <v>41.911764705882298</v>
      </c>
      <c r="AR11" s="24">
        <v>37.575757575757599</v>
      </c>
      <c r="AS11" s="38"/>
    </row>
    <row r="12" spans="1:45">
      <c r="A12" s="9" t="s">
        <v>170</v>
      </c>
      <c r="B12" s="36">
        <v>17.820153761404001</v>
      </c>
      <c r="C12" s="32">
        <v>15.7179305674542</v>
      </c>
      <c r="D12" s="32">
        <v>15.749625560443899</v>
      </c>
      <c r="E12" s="32">
        <v>19.792507255567301</v>
      </c>
      <c r="F12" s="15">
        <v>17.647058823529399</v>
      </c>
      <c r="G12" s="20" t="s">
        <v>80</v>
      </c>
      <c r="H12" s="15">
        <v>22.346368715083798</v>
      </c>
      <c r="I12" s="15">
        <v>25.742574257425701</v>
      </c>
      <c r="J12" s="15">
        <v>18.571428571428601</v>
      </c>
      <c r="K12" s="15">
        <v>18.918918918918902</v>
      </c>
      <c r="L12" s="15">
        <v>15.887850467289701</v>
      </c>
      <c r="M12" s="15">
        <v>19.047619047619001</v>
      </c>
      <c r="N12" s="15">
        <v>18.75</v>
      </c>
      <c r="O12" s="15">
        <v>17.741935483871</v>
      </c>
      <c r="P12" s="15">
        <v>40.495867768594998</v>
      </c>
      <c r="Q12" s="15">
        <v>17.647058823529399</v>
      </c>
      <c r="R12" s="15">
        <v>19.148936170212799</v>
      </c>
      <c r="S12" s="15">
        <v>13.0434782608696</v>
      </c>
      <c r="T12" s="15">
        <v>16.2790697674419</v>
      </c>
      <c r="U12" s="15">
        <v>19.6428571428571</v>
      </c>
      <c r="V12" s="15">
        <v>18.421052631578899</v>
      </c>
      <c r="W12" s="15">
        <v>21.739130434782599</v>
      </c>
      <c r="X12" s="15">
        <v>14.4144144144144</v>
      </c>
      <c r="Y12" s="15">
        <v>25.7575757575758</v>
      </c>
      <c r="Z12" s="20" t="s">
        <v>80</v>
      </c>
      <c r="AA12" s="15">
        <v>19.565217391304301</v>
      </c>
      <c r="AB12" s="20" t="s">
        <v>80</v>
      </c>
      <c r="AC12" s="15">
        <v>23.8095238095238</v>
      </c>
      <c r="AD12" s="15">
        <v>19.565217391304301</v>
      </c>
      <c r="AE12" s="20" t="s">
        <v>80</v>
      </c>
      <c r="AF12" s="15">
        <v>25</v>
      </c>
      <c r="AG12" s="20" t="s">
        <v>80</v>
      </c>
      <c r="AH12" s="15">
        <v>20.430107526881699</v>
      </c>
      <c r="AI12" s="20" t="s">
        <v>80</v>
      </c>
      <c r="AJ12" s="32">
        <v>12.2126835238093</v>
      </c>
      <c r="AK12" s="15">
        <v>13.165680473372801</v>
      </c>
      <c r="AL12" s="15">
        <v>11.982570806100201</v>
      </c>
      <c r="AM12" s="15">
        <v>14.646464646464599</v>
      </c>
      <c r="AN12" s="15">
        <v>21.167883211678799</v>
      </c>
      <c r="AO12" s="15">
        <v>12.5748502994012</v>
      </c>
      <c r="AP12" s="15">
        <v>11.9402985074627</v>
      </c>
      <c r="AQ12" s="15">
        <v>17.647058823529399</v>
      </c>
      <c r="AR12" s="24">
        <v>12.7272727272727</v>
      </c>
      <c r="AS12" s="38"/>
    </row>
    <row r="13" spans="1:45">
      <c r="A13" s="9" t="s">
        <v>171</v>
      </c>
      <c r="B13" s="36">
        <v>13.810141970615</v>
      </c>
      <c r="C13" s="32">
        <v>12.9644772038895</v>
      </c>
      <c r="D13" s="32">
        <v>13.4510341307529</v>
      </c>
      <c r="E13" s="32">
        <v>17.7726053385833</v>
      </c>
      <c r="F13" s="15">
        <v>21.568627450980401</v>
      </c>
      <c r="G13" s="20" t="s">
        <v>80</v>
      </c>
      <c r="H13" s="15">
        <v>16.759776536312799</v>
      </c>
      <c r="I13" s="15">
        <v>15.841584158415801</v>
      </c>
      <c r="J13" s="15">
        <v>18.571428571428601</v>
      </c>
      <c r="K13" s="15">
        <v>13.5135135135135</v>
      </c>
      <c r="L13" s="15">
        <v>17.757009345794401</v>
      </c>
      <c r="M13" s="15">
        <v>14.285714285714301</v>
      </c>
      <c r="N13" s="15">
        <v>22.9166666666667</v>
      </c>
      <c r="O13" s="15">
        <v>12.9032258064516</v>
      </c>
      <c r="P13" s="15">
        <v>22.3140495867769</v>
      </c>
      <c r="Q13" s="15">
        <v>20.588235294117599</v>
      </c>
      <c r="R13" s="15">
        <v>14.893617021276601</v>
      </c>
      <c r="S13" s="15">
        <v>13.0434782608696</v>
      </c>
      <c r="T13" s="20" t="s">
        <v>80</v>
      </c>
      <c r="U13" s="15">
        <v>32.142857142857103</v>
      </c>
      <c r="V13" s="15">
        <v>18.421052631578899</v>
      </c>
      <c r="W13" s="15">
        <v>13.0434782608696</v>
      </c>
      <c r="X13" s="15">
        <v>17.1171171171171</v>
      </c>
      <c r="Y13" s="15">
        <v>18.939393939393899</v>
      </c>
      <c r="Z13" s="15">
        <v>17.241379310344801</v>
      </c>
      <c r="AA13" s="15">
        <v>13.0434782608696</v>
      </c>
      <c r="AB13" s="15">
        <v>22.727272727272702</v>
      </c>
      <c r="AC13" s="15">
        <v>19.047619047619001</v>
      </c>
      <c r="AD13" s="20" t="s">
        <v>80</v>
      </c>
      <c r="AE13" s="15">
        <v>15.1515151515152</v>
      </c>
      <c r="AF13" s="15">
        <v>15.909090909090899</v>
      </c>
      <c r="AG13" s="20" t="s">
        <v>80</v>
      </c>
      <c r="AH13" s="15">
        <v>11.8279569892473</v>
      </c>
      <c r="AI13" s="15">
        <v>12.5</v>
      </c>
      <c r="AJ13" s="32">
        <v>9.6702787137140298</v>
      </c>
      <c r="AK13" s="15">
        <v>8.8757396449704107</v>
      </c>
      <c r="AL13" s="15">
        <v>6.7538126361655797</v>
      </c>
      <c r="AM13" s="15">
        <v>12.1212121212121</v>
      </c>
      <c r="AN13" s="15">
        <v>10.9489051094891</v>
      </c>
      <c r="AO13" s="15">
        <v>10.4790419161677</v>
      </c>
      <c r="AP13" s="15">
        <v>8.7420042643923193</v>
      </c>
      <c r="AQ13" s="15">
        <v>14.705882352941201</v>
      </c>
      <c r="AR13" s="24">
        <v>10.909090909090899</v>
      </c>
      <c r="AS13" s="38"/>
    </row>
    <row r="14" spans="1:45">
      <c r="A14" s="9" t="s">
        <v>172</v>
      </c>
      <c r="B14" s="36">
        <v>30.905186975040099</v>
      </c>
      <c r="C14" s="32">
        <v>30.276779315585401</v>
      </c>
      <c r="D14" s="32">
        <v>32.643724590269201</v>
      </c>
      <c r="E14" s="32">
        <v>40.731853312933502</v>
      </c>
      <c r="F14" s="15">
        <v>52.941176470588204</v>
      </c>
      <c r="G14" s="15">
        <v>36.363636363636402</v>
      </c>
      <c r="H14" s="15">
        <v>42.458100558659197</v>
      </c>
      <c r="I14" s="15">
        <v>51.485148514851502</v>
      </c>
      <c r="J14" s="15">
        <v>42.857142857142897</v>
      </c>
      <c r="K14" s="15">
        <v>35.135135135135101</v>
      </c>
      <c r="L14" s="15">
        <v>26.1682242990654</v>
      </c>
      <c r="M14" s="15">
        <v>36.904761904761898</v>
      </c>
      <c r="N14" s="15">
        <v>34.7222222222222</v>
      </c>
      <c r="O14" s="15">
        <v>36.290322580645203</v>
      </c>
      <c r="P14" s="15">
        <v>48.760330578512402</v>
      </c>
      <c r="Q14" s="15">
        <v>47.058823529411796</v>
      </c>
      <c r="R14" s="15">
        <v>53.191489361702097</v>
      </c>
      <c r="S14" s="15">
        <v>50</v>
      </c>
      <c r="T14" s="15">
        <v>46.511627906976699</v>
      </c>
      <c r="U14" s="15">
        <v>51.785714285714299</v>
      </c>
      <c r="V14" s="15">
        <v>42.105263157894697</v>
      </c>
      <c r="W14" s="15">
        <v>36.956521739130402</v>
      </c>
      <c r="X14" s="15">
        <v>35.135135135135101</v>
      </c>
      <c r="Y14" s="15">
        <v>34.090909090909101</v>
      </c>
      <c r="Z14" s="15">
        <v>31.034482758620701</v>
      </c>
      <c r="AA14" s="15">
        <v>52.173913043478301</v>
      </c>
      <c r="AB14" s="15">
        <v>27.272727272727298</v>
      </c>
      <c r="AC14" s="15">
        <v>28.571428571428601</v>
      </c>
      <c r="AD14" s="15">
        <v>43.478260869565197</v>
      </c>
      <c r="AE14" s="15">
        <v>30.303030303030301</v>
      </c>
      <c r="AF14" s="15">
        <v>59.090909090909101</v>
      </c>
      <c r="AG14" s="15">
        <v>53.3333333333333</v>
      </c>
      <c r="AH14" s="15">
        <v>38.709677419354797</v>
      </c>
      <c r="AI14" s="15">
        <v>25</v>
      </c>
      <c r="AJ14" s="32">
        <v>25.567771190146299</v>
      </c>
      <c r="AK14" s="15">
        <v>23.964497041420099</v>
      </c>
      <c r="AL14" s="15">
        <v>22.4400871459695</v>
      </c>
      <c r="AM14" s="15">
        <v>28.282828282828302</v>
      </c>
      <c r="AN14" s="15">
        <v>38.686131386861298</v>
      </c>
      <c r="AO14" s="15">
        <v>28.143712574850301</v>
      </c>
      <c r="AP14" s="15">
        <v>26.865671641791</v>
      </c>
      <c r="AQ14" s="15">
        <v>36.029411764705898</v>
      </c>
      <c r="AR14" s="24">
        <v>27.272727272727298</v>
      </c>
      <c r="AS14" s="38"/>
    </row>
    <row r="15" spans="1:45">
      <c r="A15" s="9" t="s">
        <v>173</v>
      </c>
      <c r="B15" s="36">
        <v>24.819026304510398</v>
      </c>
      <c r="C15" s="32">
        <v>26.828003859420001</v>
      </c>
      <c r="D15" s="32">
        <v>32.0015153597531</v>
      </c>
      <c r="E15" s="32">
        <v>39.538886521914897</v>
      </c>
      <c r="F15" s="15">
        <v>60.7843137254902</v>
      </c>
      <c r="G15" s="15">
        <v>27.272727272727298</v>
      </c>
      <c r="H15" s="15">
        <v>50.837988826815597</v>
      </c>
      <c r="I15" s="15">
        <v>39.603960396039597</v>
      </c>
      <c r="J15" s="15">
        <v>51.428571428571402</v>
      </c>
      <c r="K15" s="15">
        <v>54.054054054054099</v>
      </c>
      <c r="L15" s="15">
        <v>27.1028037383178</v>
      </c>
      <c r="M15" s="15">
        <v>42.857142857142897</v>
      </c>
      <c r="N15" s="15">
        <v>34.7222222222222</v>
      </c>
      <c r="O15" s="15">
        <v>28.2258064516129</v>
      </c>
      <c r="P15" s="15">
        <v>37.190082644628099</v>
      </c>
      <c r="Q15" s="15">
        <v>52.941176470588204</v>
      </c>
      <c r="R15" s="15">
        <v>36.170212765957501</v>
      </c>
      <c r="S15" s="15">
        <v>52.173913043478301</v>
      </c>
      <c r="T15" s="15">
        <v>27.906976744186</v>
      </c>
      <c r="U15" s="15">
        <v>48.214285714285701</v>
      </c>
      <c r="V15" s="15">
        <v>52.631578947368403</v>
      </c>
      <c r="W15" s="15">
        <v>26.086956521739101</v>
      </c>
      <c r="X15" s="15">
        <v>56.756756756756801</v>
      </c>
      <c r="Y15" s="15">
        <v>25</v>
      </c>
      <c r="Z15" s="15">
        <v>31.034482758620701</v>
      </c>
      <c r="AA15" s="15">
        <v>30.434782608695699</v>
      </c>
      <c r="AB15" s="15">
        <v>22.727272727272702</v>
      </c>
      <c r="AC15" s="15">
        <v>50</v>
      </c>
      <c r="AD15" s="15">
        <v>32.6086956521739</v>
      </c>
      <c r="AE15" s="15">
        <v>30.303030303030301</v>
      </c>
      <c r="AF15" s="15">
        <v>47.727272727272698</v>
      </c>
      <c r="AG15" s="15">
        <v>40</v>
      </c>
      <c r="AH15" s="15">
        <v>27.9569892473118</v>
      </c>
      <c r="AI15" s="15">
        <v>23.214285714285701</v>
      </c>
      <c r="AJ15" s="32">
        <v>25.407395887663501</v>
      </c>
      <c r="AK15" s="15">
        <v>15.384615384615399</v>
      </c>
      <c r="AL15" s="15">
        <v>23.093681917211299</v>
      </c>
      <c r="AM15" s="15">
        <v>23.2323232323232</v>
      </c>
      <c r="AN15" s="15">
        <v>40.875912408759099</v>
      </c>
      <c r="AO15" s="15">
        <v>38.622754491018</v>
      </c>
      <c r="AP15" s="15">
        <v>27.2921108742004</v>
      </c>
      <c r="AQ15" s="15">
        <v>30.147058823529399</v>
      </c>
      <c r="AR15" s="24">
        <v>35.151515151515198</v>
      </c>
      <c r="AS15" s="38"/>
    </row>
    <row r="16" spans="1:45">
      <c r="A16" s="9" t="s">
        <v>174</v>
      </c>
      <c r="B16" s="36">
        <v>6.6477960277303003</v>
      </c>
      <c r="C16" s="32">
        <v>6.8346599774847698</v>
      </c>
      <c r="D16" s="32">
        <v>8.2788341531065193</v>
      </c>
      <c r="E16" s="32">
        <v>12.1545895621672</v>
      </c>
      <c r="F16" s="15">
        <v>15.6862745098039</v>
      </c>
      <c r="G16" s="20" t="s">
        <v>80</v>
      </c>
      <c r="H16" s="15">
        <v>10.055865921787699</v>
      </c>
      <c r="I16" s="15">
        <v>8.9108910891089099</v>
      </c>
      <c r="J16" s="20" t="s">
        <v>80</v>
      </c>
      <c r="K16" s="20" t="s">
        <v>80</v>
      </c>
      <c r="L16" s="15">
        <v>13.0841121495327</v>
      </c>
      <c r="M16" s="15">
        <v>5.9523809523809499</v>
      </c>
      <c r="N16" s="15">
        <v>10.4166666666667</v>
      </c>
      <c r="O16" s="15">
        <v>10.4838709677419</v>
      </c>
      <c r="P16" s="15">
        <v>17.355371900826398</v>
      </c>
      <c r="Q16" s="15">
        <v>20.588235294117599</v>
      </c>
      <c r="R16" s="15">
        <v>10.6382978723404</v>
      </c>
      <c r="S16" s="20" t="s">
        <v>80</v>
      </c>
      <c r="T16" s="15">
        <v>11.6279069767442</v>
      </c>
      <c r="U16" s="15">
        <v>14.285714285714301</v>
      </c>
      <c r="V16" s="15">
        <v>13.157894736842101</v>
      </c>
      <c r="W16" s="20" t="s">
        <v>80</v>
      </c>
      <c r="X16" s="15">
        <v>17.1171171171171</v>
      </c>
      <c r="Y16" s="15">
        <v>17.424242424242401</v>
      </c>
      <c r="Z16" s="20" t="s">
        <v>80</v>
      </c>
      <c r="AA16" s="15">
        <v>15.2173913043478</v>
      </c>
      <c r="AB16" s="20" t="s">
        <v>80</v>
      </c>
      <c r="AC16" s="15">
        <v>11.9047619047619</v>
      </c>
      <c r="AD16" s="15">
        <v>17.3913043478261</v>
      </c>
      <c r="AE16" s="20" t="s">
        <v>80</v>
      </c>
      <c r="AF16" s="15">
        <v>11.363636363636401</v>
      </c>
      <c r="AG16" s="20" t="s">
        <v>80</v>
      </c>
      <c r="AH16" s="15">
        <v>9.67741935483871</v>
      </c>
      <c r="AI16" s="15">
        <v>10.714285714285699</v>
      </c>
      <c r="AJ16" s="32">
        <v>4.8881036633779198</v>
      </c>
      <c r="AK16" s="15">
        <v>4.2899408284023703</v>
      </c>
      <c r="AL16" s="15">
        <v>2.8322440087145999</v>
      </c>
      <c r="AM16" s="15">
        <v>5.0505050505050502</v>
      </c>
      <c r="AN16" s="15">
        <v>11.6788321167883</v>
      </c>
      <c r="AO16" s="15">
        <v>5.3892215568862296</v>
      </c>
      <c r="AP16" s="15">
        <v>4.9040511727078897</v>
      </c>
      <c r="AQ16" s="15">
        <v>11.0294117647059</v>
      </c>
      <c r="AR16" s="24">
        <v>6.0606060606060597</v>
      </c>
      <c r="AS16" s="38"/>
    </row>
    <row r="17" spans="1:45">
      <c r="A17" s="9" t="s">
        <v>175</v>
      </c>
      <c r="B17" s="36">
        <v>44.407973507112999</v>
      </c>
      <c r="C17" s="32">
        <v>45.534619711583701</v>
      </c>
      <c r="D17" s="32">
        <v>48.693779366606798</v>
      </c>
      <c r="E17" s="32">
        <v>56.860139513131102</v>
      </c>
      <c r="F17" s="15">
        <v>72.549019607843107</v>
      </c>
      <c r="G17" s="15">
        <v>36.363636363636402</v>
      </c>
      <c r="H17" s="15">
        <v>51.955307262569796</v>
      </c>
      <c r="I17" s="15">
        <v>48.514851485148498</v>
      </c>
      <c r="J17" s="15">
        <v>61.428571428571402</v>
      </c>
      <c r="K17" s="15">
        <v>59.459459459459502</v>
      </c>
      <c r="L17" s="15">
        <v>57.009345794392502</v>
      </c>
      <c r="M17" s="15">
        <v>50</v>
      </c>
      <c r="N17" s="15">
        <v>59.0277777777778</v>
      </c>
      <c r="O17" s="15">
        <v>54.0322580645161</v>
      </c>
      <c r="P17" s="15">
        <v>50.413223140495901</v>
      </c>
      <c r="Q17" s="15">
        <v>64.705882352941202</v>
      </c>
      <c r="R17" s="15">
        <v>46.808510638297903</v>
      </c>
      <c r="S17" s="15">
        <v>47.826086956521699</v>
      </c>
      <c r="T17" s="15">
        <v>51.162790697674403</v>
      </c>
      <c r="U17" s="15">
        <v>57.142857142857103</v>
      </c>
      <c r="V17" s="15">
        <v>81.578947368421098</v>
      </c>
      <c r="W17" s="15">
        <v>56.521739130434803</v>
      </c>
      <c r="X17" s="15">
        <v>56.756756756756801</v>
      </c>
      <c r="Y17" s="15">
        <v>48.484848484848499</v>
      </c>
      <c r="Z17" s="15">
        <v>75.862068965517295</v>
      </c>
      <c r="AA17" s="15">
        <v>65.2173913043478</v>
      </c>
      <c r="AB17" s="15">
        <v>40.909090909090899</v>
      </c>
      <c r="AC17" s="15">
        <v>47.619047619047599</v>
      </c>
      <c r="AD17" s="15">
        <v>67.391304347826093</v>
      </c>
      <c r="AE17" s="15">
        <v>69.696969696969703</v>
      </c>
      <c r="AF17" s="15">
        <v>68.181818181818201</v>
      </c>
      <c r="AG17" s="15">
        <v>86.6666666666667</v>
      </c>
      <c r="AH17" s="15">
        <v>59.139784946236603</v>
      </c>
      <c r="AI17" s="15">
        <v>60.714285714285701</v>
      </c>
      <c r="AJ17" s="32">
        <v>41.549384683136502</v>
      </c>
      <c r="AK17" s="15">
        <v>33.431952662721898</v>
      </c>
      <c r="AL17" s="15">
        <v>36.383442265795203</v>
      </c>
      <c r="AM17" s="15">
        <v>42.929292929292899</v>
      </c>
      <c r="AN17" s="15">
        <v>58.394160583941598</v>
      </c>
      <c r="AO17" s="15">
        <v>44.011976047904199</v>
      </c>
      <c r="AP17" s="15">
        <v>39.232409381663103</v>
      </c>
      <c r="AQ17" s="15">
        <v>57.352941176470601</v>
      </c>
      <c r="AR17" s="24">
        <v>57.272727272727302</v>
      </c>
      <c r="AS17" s="38"/>
    </row>
    <row r="18" spans="1:45">
      <c r="A18" s="9" t="s">
        <v>176</v>
      </c>
      <c r="B18" s="36">
        <v>24.769274471083701</v>
      </c>
      <c r="C18" s="32">
        <v>24.092400643990899</v>
      </c>
      <c r="D18" s="32">
        <v>23.969081232660798</v>
      </c>
      <c r="E18" s="32">
        <v>32.867781201723403</v>
      </c>
      <c r="F18" s="15">
        <v>49.019607843137301</v>
      </c>
      <c r="G18" s="15">
        <v>36.363636363636402</v>
      </c>
      <c r="H18" s="15">
        <v>28.491620111731802</v>
      </c>
      <c r="I18" s="15">
        <v>27.722772277227701</v>
      </c>
      <c r="J18" s="15">
        <v>54.285714285714299</v>
      </c>
      <c r="K18" s="15">
        <v>35.135135135135101</v>
      </c>
      <c r="L18" s="15">
        <v>34.5794392523364</v>
      </c>
      <c r="M18" s="15">
        <v>30.952380952380999</v>
      </c>
      <c r="N18" s="15">
        <v>38.8888888888889</v>
      </c>
      <c r="O18" s="15">
        <v>25</v>
      </c>
      <c r="P18" s="15">
        <v>37.190082644628099</v>
      </c>
      <c r="Q18" s="15">
        <v>41.176470588235297</v>
      </c>
      <c r="R18" s="15">
        <v>31.914893617021299</v>
      </c>
      <c r="S18" s="15">
        <v>26.086956521739101</v>
      </c>
      <c r="T18" s="15">
        <v>18.604651162790699</v>
      </c>
      <c r="U18" s="15">
        <v>37.5</v>
      </c>
      <c r="V18" s="15">
        <v>50</v>
      </c>
      <c r="W18" s="15">
        <v>23.913043478260899</v>
      </c>
      <c r="X18" s="15">
        <v>32.4324324324324</v>
      </c>
      <c r="Y18" s="15">
        <v>31.060606060606101</v>
      </c>
      <c r="Z18" s="15">
        <v>37.931034482758598</v>
      </c>
      <c r="AA18" s="15">
        <v>28.260869565217401</v>
      </c>
      <c r="AB18" s="20" t="s">
        <v>80</v>
      </c>
      <c r="AC18" s="15">
        <v>35.714285714285701</v>
      </c>
      <c r="AD18" s="15">
        <v>19.565217391304301</v>
      </c>
      <c r="AE18" s="15">
        <v>33.3333333333333</v>
      </c>
      <c r="AF18" s="15">
        <v>20.454545454545499</v>
      </c>
      <c r="AG18" s="15">
        <v>33.3333333333333</v>
      </c>
      <c r="AH18" s="15">
        <v>20.430107526881699</v>
      </c>
      <c r="AI18" s="15">
        <v>33.928571428571402</v>
      </c>
      <c r="AJ18" s="32">
        <v>16.183994167179598</v>
      </c>
      <c r="AK18" s="15">
        <v>11.982248520710099</v>
      </c>
      <c r="AL18" s="15">
        <v>10.6753812636166</v>
      </c>
      <c r="AM18" s="15">
        <v>27.272727272727298</v>
      </c>
      <c r="AN18" s="15">
        <v>19.7080291970803</v>
      </c>
      <c r="AO18" s="15">
        <v>19.461077844311401</v>
      </c>
      <c r="AP18" s="15">
        <v>14.9253731343284</v>
      </c>
      <c r="AQ18" s="15">
        <v>17.647058823529399</v>
      </c>
      <c r="AR18" s="24">
        <v>18.484848484848499</v>
      </c>
      <c r="AS18" s="38"/>
    </row>
    <row r="19" spans="1:45">
      <c r="A19" s="9" t="s">
        <v>177</v>
      </c>
      <c r="B19" s="36">
        <v>32.355219979005803</v>
      </c>
      <c r="C19" s="32">
        <v>31.546658372975799</v>
      </c>
      <c r="D19" s="32">
        <v>32.1525884213222</v>
      </c>
      <c r="E19" s="32">
        <v>40.823897886108803</v>
      </c>
      <c r="F19" s="15">
        <v>33.3333333333333</v>
      </c>
      <c r="G19" s="15">
        <v>36.363636363636402</v>
      </c>
      <c r="H19" s="15">
        <v>45.251396648044697</v>
      </c>
      <c r="I19" s="15">
        <v>39.603960396039597</v>
      </c>
      <c r="J19" s="15">
        <v>35.714285714285701</v>
      </c>
      <c r="K19" s="15">
        <v>27.027027027027</v>
      </c>
      <c r="L19" s="15">
        <v>44.859813084112098</v>
      </c>
      <c r="M19" s="15">
        <v>53.571428571428598</v>
      </c>
      <c r="N19" s="15">
        <v>41.6666666666667</v>
      </c>
      <c r="O19" s="15">
        <v>29.0322580645161</v>
      </c>
      <c r="P19" s="15">
        <v>48.760330578512402</v>
      </c>
      <c r="Q19" s="15">
        <v>67.647058823529406</v>
      </c>
      <c r="R19" s="15">
        <v>40.425531914893597</v>
      </c>
      <c r="S19" s="15">
        <v>26.086956521739101</v>
      </c>
      <c r="T19" s="15">
        <v>27.906976744186</v>
      </c>
      <c r="U19" s="15">
        <v>48.214285714285701</v>
      </c>
      <c r="V19" s="15">
        <v>55.2631578947368</v>
      </c>
      <c r="W19" s="15">
        <v>30.434782608695699</v>
      </c>
      <c r="X19" s="15">
        <v>40.540540540540498</v>
      </c>
      <c r="Y19" s="15">
        <v>53.787878787878803</v>
      </c>
      <c r="Z19" s="15">
        <v>37.931034482758598</v>
      </c>
      <c r="AA19" s="15">
        <v>56.521739130434803</v>
      </c>
      <c r="AB19" s="15">
        <v>27.272727272727298</v>
      </c>
      <c r="AC19" s="15">
        <v>35.714285714285701</v>
      </c>
      <c r="AD19" s="20" t="s">
        <v>80</v>
      </c>
      <c r="AE19" s="15">
        <v>33.3333333333333</v>
      </c>
      <c r="AF19" s="15">
        <v>43.181818181818201</v>
      </c>
      <c r="AG19" s="15">
        <v>33.3333333333333</v>
      </c>
      <c r="AH19" s="15">
        <v>34.408602150537597</v>
      </c>
      <c r="AI19" s="15">
        <v>28.571428571428601</v>
      </c>
      <c r="AJ19" s="32">
        <v>24.5664354563058</v>
      </c>
      <c r="AK19" s="15">
        <v>21.7455621301775</v>
      </c>
      <c r="AL19" s="15">
        <v>26.143790849673199</v>
      </c>
      <c r="AM19" s="15">
        <v>22.727272727272702</v>
      </c>
      <c r="AN19" s="15">
        <v>30.656934306569301</v>
      </c>
      <c r="AO19" s="15">
        <v>29.3413173652695</v>
      </c>
      <c r="AP19" s="15">
        <v>29.637526652451999</v>
      </c>
      <c r="AQ19" s="15">
        <v>32.352941176470601</v>
      </c>
      <c r="AR19" s="24">
        <v>32.727272727272698</v>
      </c>
      <c r="AS19" s="38"/>
    </row>
    <row r="20" spans="1:45">
      <c r="A20" s="9" t="s">
        <v>178</v>
      </c>
      <c r="B20" s="36">
        <v>14.478615034573499</v>
      </c>
      <c r="C20" s="32">
        <v>13.452205782947701</v>
      </c>
      <c r="D20" s="32">
        <v>13.660001179794801</v>
      </c>
      <c r="E20" s="32">
        <v>16.720424700933101</v>
      </c>
      <c r="F20" s="15">
        <v>9.8039215686274499</v>
      </c>
      <c r="G20" s="20" t="s">
        <v>80</v>
      </c>
      <c r="H20" s="15">
        <v>13.966480446927401</v>
      </c>
      <c r="I20" s="15">
        <v>15.841584158415801</v>
      </c>
      <c r="J20" s="15">
        <v>10</v>
      </c>
      <c r="K20" s="15">
        <v>21.6216216216216</v>
      </c>
      <c r="L20" s="15">
        <v>10.2803738317757</v>
      </c>
      <c r="M20" s="15">
        <v>22.619047619047599</v>
      </c>
      <c r="N20" s="15">
        <v>15.9722222222222</v>
      </c>
      <c r="O20" s="15">
        <v>15.322580645161301</v>
      </c>
      <c r="P20" s="15">
        <v>33.8842975206612</v>
      </c>
      <c r="Q20" s="20" t="s">
        <v>80</v>
      </c>
      <c r="R20" s="15">
        <v>14.893617021276601</v>
      </c>
      <c r="S20" s="20" t="s">
        <v>80</v>
      </c>
      <c r="T20" s="15">
        <v>18.604651162790699</v>
      </c>
      <c r="U20" s="15">
        <v>19.6428571428571</v>
      </c>
      <c r="V20" s="15">
        <v>26.315789473684202</v>
      </c>
      <c r="W20" s="20" t="s">
        <v>80</v>
      </c>
      <c r="X20" s="15">
        <v>9.0090090090090094</v>
      </c>
      <c r="Y20" s="15">
        <v>19.696969696969699</v>
      </c>
      <c r="Z20" s="15">
        <v>17.241379310344801</v>
      </c>
      <c r="AA20" s="15">
        <v>15.2173913043478</v>
      </c>
      <c r="AB20" s="20" t="s">
        <v>80</v>
      </c>
      <c r="AC20" s="15">
        <v>14.285714285714301</v>
      </c>
      <c r="AD20" s="15">
        <v>26.086956521739101</v>
      </c>
      <c r="AE20" s="20" t="s">
        <v>80</v>
      </c>
      <c r="AF20" s="15">
        <v>15.909090909090899</v>
      </c>
      <c r="AG20" s="20" t="s">
        <v>80</v>
      </c>
      <c r="AH20" s="15">
        <v>17.204301075268798</v>
      </c>
      <c r="AI20" s="15">
        <v>8.9285714285714306</v>
      </c>
      <c r="AJ20" s="32">
        <v>10.982569234438699</v>
      </c>
      <c r="AK20" s="15">
        <v>11.390532544378701</v>
      </c>
      <c r="AL20" s="15">
        <v>10.6753812636166</v>
      </c>
      <c r="AM20" s="15">
        <v>12.1212121212121</v>
      </c>
      <c r="AN20" s="15">
        <v>19.7080291970803</v>
      </c>
      <c r="AO20" s="15">
        <v>11.976047904191599</v>
      </c>
      <c r="AP20" s="15">
        <v>12.5799573560768</v>
      </c>
      <c r="AQ20" s="15">
        <v>18.382352941176499</v>
      </c>
      <c r="AR20" s="24">
        <v>7.5757575757575797</v>
      </c>
      <c r="AS20" s="38"/>
    </row>
    <row r="21" spans="1:45">
      <c r="A21" s="9" t="s">
        <v>179</v>
      </c>
      <c r="B21" s="36">
        <v>10.4819656850404</v>
      </c>
      <c r="C21" s="32">
        <v>10.0906072660303</v>
      </c>
      <c r="D21" s="32">
        <v>12.254293771883599</v>
      </c>
      <c r="E21" s="32">
        <v>14.407665028427401</v>
      </c>
      <c r="F21" s="15">
        <v>29.411764705882401</v>
      </c>
      <c r="G21" s="20" t="s">
        <v>80</v>
      </c>
      <c r="H21" s="15">
        <v>13.966480446927401</v>
      </c>
      <c r="I21" s="15">
        <v>11.881188118811901</v>
      </c>
      <c r="J21" s="15">
        <v>8.5714285714285694</v>
      </c>
      <c r="K21" s="20" t="s">
        <v>80</v>
      </c>
      <c r="L21" s="15">
        <v>12.1495327102804</v>
      </c>
      <c r="M21" s="15">
        <v>13.0952380952381</v>
      </c>
      <c r="N21" s="15">
        <v>14.5833333333333</v>
      </c>
      <c r="O21" s="15">
        <v>8.8709677419354804</v>
      </c>
      <c r="P21" s="15">
        <v>20.6611570247934</v>
      </c>
      <c r="Q21" s="15">
        <v>14.705882352941201</v>
      </c>
      <c r="R21" s="15">
        <v>12.7659574468085</v>
      </c>
      <c r="S21" s="20" t="s">
        <v>80</v>
      </c>
      <c r="T21" s="20" t="s">
        <v>80</v>
      </c>
      <c r="U21" s="15">
        <v>16.071428571428601</v>
      </c>
      <c r="V21" s="20" t="s">
        <v>80</v>
      </c>
      <c r="W21" s="20" t="s">
        <v>80</v>
      </c>
      <c r="X21" s="15">
        <v>12.612612612612599</v>
      </c>
      <c r="Y21" s="15">
        <v>15.1515151515152</v>
      </c>
      <c r="Z21" s="15">
        <v>27.586206896551701</v>
      </c>
      <c r="AA21" s="15">
        <v>15.2173913043478</v>
      </c>
      <c r="AB21" s="20" t="s">
        <v>80</v>
      </c>
      <c r="AC21" s="20" t="s">
        <v>80</v>
      </c>
      <c r="AD21" s="15">
        <v>10.869565217391299</v>
      </c>
      <c r="AE21" s="20" t="s">
        <v>80</v>
      </c>
      <c r="AF21" s="15">
        <v>18.181818181818201</v>
      </c>
      <c r="AG21" s="20" t="s">
        <v>80</v>
      </c>
      <c r="AH21" s="15">
        <v>12.9032258064516</v>
      </c>
      <c r="AI21" s="15">
        <v>21.428571428571399</v>
      </c>
      <c r="AJ21" s="32">
        <v>10.370402554651699</v>
      </c>
      <c r="AK21" s="15">
        <v>9.4674556213017809</v>
      </c>
      <c r="AL21" s="15">
        <v>7.8431372549019596</v>
      </c>
      <c r="AM21" s="15">
        <v>10.6060606060606</v>
      </c>
      <c r="AN21" s="15">
        <v>18.978102189781001</v>
      </c>
      <c r="AO21" s="15">
        <v>9.5808383233532908</v>
      </c>
      <c r="AP21" s="15">
        <v>8.7420042643923193</v>
      </c>
      <c r="AQ21" s="15">
        <v>13.235294117647101</v>
      </c>
      <c r="AR21" s="24">
        <v>13.030303030302999</v>
      </c>
      <c r="AS21" s="38"/>
    </row>
    <row r="22" spans="1:45">
      <c r="A22" s="9" t="s">
        <v>180</v>
      </c>
      <c r="B22" s="36">
        <v>18.5121454220392</v>
      </c>
      <c r="C22" s="32">
        <v>18.773043344847501</v>
      </c>
      <c r="D22" s="32">
        <v>22.3717255693624</v>
      </c>
      <c r="E22" s="32">
        <v>28.751144175498801</v>
      </c>
      <c r="F22" s="15">
        <v>35.294117647058798</v>
      </c>
      <c r="G22" s="20" t="s">
        <v>80</v>
      </c>
      <c r="H22" s="15">
        <v>27.374301675977701</v>
      </c>
      <c r="I22" s="15">
        <v>29.702970297029701</v>
      </c>
      <c r="J22" s="15">
        <v>27.1428571428571</v>
      </c>
      <c r="K22" s="15">
        <v>21.6216216216216</v>
      </c>
      <c r="L22" s="15">
        <v>28.971962616822399</v>
      </c>
      <c r="M22" s="15">
        <v>27.380952380952401</v>
      </c>
      <c r="N22" s="15">
        <v>31.25</v>
      </c>
      <c r="O22" s="15">
        <v>25</v>
      </c>
      <c r="P22" s="15">
        <v>26.446280991735499</v>
      </c>
      <c r="Q22" s="15">
        <v>44.117647058823501</v>
      </c>
      <c r="R22" s="15">
        <v>17.021276595744698</v>
      </c>
      <c r="S22" s="15">
        <v>30.434782608695699</v>
      </c>
      <c r="T22" s="15">
        <v>25.581395348837201</v>
      </c>
      <c r="U22" s="15">
        <v>30.3571428571429</v>
      </c>
      <c r="V22" s="15">
        <v>26.315789473684202</v>
      </c>
      <c r="W22" s="15">
        <v>19.565217391304301</v>
      </c>
      <c r="X22" s="15">
        <v>25.225225225225198</v>
      </c>
      <c r="Y22" s="15">
        <v>28.030303030302999</v>
      </c>
      <c r="Z22" s="15">
        <v>34.482758620689701</v>
      </c>
      <c r="AA22" s="15">
        <v>39.130434782608702</v>
      </c>
      <c r="AB22" s="20" t="s">
        <v>80</v>
      </c>
      <c r="AC22" s="15">
        <v>42.857142857142897</v>
      </c>
      <c r="AD22" s="15">
        <v>39.130434782608702</v>
      </c>
      <c r="AE22" s="20" t="s">
        <v>80</v>
      </c>
      <c r="AF22" s="15">
        <v>38.636363636363598</v>
      </c>
      <c r="AG22" s="15">
        <v>40</v>
      </c>
      <c r="AH22" s="15">
        <v>16.129032258064498</v>
      </c>
      <c r="AI22" s="15">
        <v>23.214285714285701</v>
      </c>
      <c r="AJ22" s="32">
        <v>16.7906486200791</v>
      </c>
      <c r="AK22" s="15">
        <v>15.680473372781099</v>
      </c>
      <c r="AL22" s="15">
        <v>17.211328976034899</v>
      </c>
      <c r="AM22" s="15">
        <v>21.717171717171698</v>
      </c>
      <c r="AN22" s="15">
        <v>27.007299270072998</v>
      </c>
      <c r="AO22" s="15">
        <v>18.562874251497</v>
      </c>
      <c r="AP22" s="15">
        <v>18.763326226012801</v>
      </c>
      <c r="AQ22" s="15">
        <v>23.529411764705898</v>
      </c>
      <c r="AR22" s="24">
        <v>18.181818181818201</v>
      </c>
      <c r="AS22" s="38"/>
    </row>
    <row r="23" spans="1:45">
      <c r="A23" s="9" t="s">
        <v>181</v>
      </c>
      <c r="B23" s="36">
        <v>17.871181014412201</v>
      </c>
      <c r="C23" s="32">
        <v>18.443625914676101</v>
      </c>
      <c r="D23" s="32">
        <v>17.655342170892101</v>
      </c>
      <c r="E23" s="32">
        <v>20.499054610322499</v>
      </c>
      <c r="F23" s="15">
        <v>33.3333333333333</v>
      </c>
      <c r="G23" s="15">
        <v>22.727272727272702</v>
      </c>
      <c r="H23" s="15">
        <v>22.346368715083798</v>
      </c>
      <c r="I23" s="15">
        <v>15.841584158415801</v>
      </c>
      <c r="J23" s="15">
        <v>25.714285714285701</v>
      </c>
      <c r="K23" s="15">
        <v>27.027027027027</v>
      </c>
      <c r="L23" s="15">
        <v>14.018691588785</v>
      </c>
      <c r="M23" s="15">
        <v>21.428571428571399</v>
      </c>
      <c r="N23" s="15">
        <v>22.2222222222222</v>
      </c>
      <c r="O23" s="15">
        <v>15.322580645161301</v>
      </c>
      <c r="P23" s="15">
        <v>28.099173553719002</v>
      </c>
      <c r="Q23" s="15">
        <v>20.588235294117599</v>
      </c>
      <c r="R23" s="15">
        <v>10.6382978723404</v>
      </c>
      <c r="S23" s="15">
        <v>15.2173913043478</v>
      </c>
      <c r="T23" s="20" t="s">
        <v>80</v>
      </c>
      <c r="U23" s="15">
        <v>16.071428571428601</v>
      </c>
      <c r="V23" s="15">
        <v>23.684210526315798</v>
      </c>
      <c r="W23" s="15">
        <v>13.0434782608696</v>
      </c>
      <c r="X23" s="15">
        <v>24.324324324324301</v>
      </c>
      <c r="Y23" s="15">
        <v>24.2424242424242</v>
      </c>
      <c r="Z23" s="15">
        <v>27.586206896551701</v>
      </c>
      <c r="AA23" s="15">
        <v>15.2173913043478</v>
      </c>
      <c r="AB23" s="20" t="s">
        <v>80</v>
      </c>
      <c r="AC23" s="15">
        <v>19.047619047619001</v>
      </c>
      <c r="AD23" s="20" t="s">
        <v>80</v>
      </c>
      <c r="AE23" s="20" t="s">
        <v>80</v>
      </c>
      <c r="AF23" s="15">
        <v>11.363636363636401</v>
      </c>
      <c r="AG23" s="20" t="s">
        <v>80</v>
      </c>
      <c r="AH23" s="15">
        <v>9.67741935483871</v>
      </c>
      <c r="AI23" s="15">
        <v>17.8571428571429</v>
      </c>
      <c r="AJ23" s="32">
        <v>15.167501361883399</v>
      </c>
      <c r="AK23" s="15">
        <v>13.165680473372801</v>
      </c>
      <c r="AL23" s="15">
        <v>10.0217864923747</v>
      </c>
      <c r="AM23" s="15">
        <v>16.6666666666667</v>
      </c>
      <c r="AN23" s="15">
        <v>23.3576642335766</v>
      </c>
      <c r="AO23" s="15">
        <v>14.371257485029901</v>
      </c>
      <c r="AP23" s="15">
        <v>11.087420042643901</v>
      </c>
      <c r="AQ23" s="15">
        <v>20.588235294117599</v>
      </c>
      <c r="AR23" s="24">
        <v>21.515151515151501</v>
      </c>
      <c r="AS23" s="38"/>
    </row>
    <row r="24" spans="1:45">
      <c r="A24" s="9" t="s">
        <v>182</v>
      </c>
      <c r="B24" s="36">
        <v>42.9094988306665</v>
      </c>
      <c r="C24" s="32">
        <v>42.889927961572702</v>
      </c>
      <c r="D24" s="32">
        <v>43.5246896315683</v>
      </c>
      <c r="E24" s="32">
        <v>53.145335973003199</v>
      </c>
      <c r="F24" s="15">
        <v>60.7843137254902</v>
      </c>
      <c r="G24" s="15">
        <v>45.454545454545503</v>
      </c>
      <c r="H24" s="15">
        <v>61.452513966480403</v>
      </c>
      <c r="I24" s="15">
        <v>41.5841584158416</v>
      </c>
      <c r="J24" s="15">
        <v>64.285714285714306</v>
      </c>
      <c r="K24" s="15">
        <v>37.837837837837803</v>
      </c>
      <c r="L24" s="15">
        <v>60.747663551401899</v>
      </c>
      <c r="M24" s="15">
        <v>54.761904761904802</v>
      </c>
      <c r="N24" s="15">
        <v>56.9444444444444</v>
      </c>
      <c r="O24" s="15">
        <v>51.612903225806498</v>
      </c>
      <c r="P24" s="15">
        <v>56.198347107438003</v>
      </c>
      <c r="Q24" s="15">
        <v>61.764705882352899</v>
      </c>
      <c r="R24" s="15">
        <v>48.936170212766001</v>
      </c>
      <c r="S24" s="15">
        <v>36.956521739130402</v>
      </c>
      <c r="T24" s="15">
        <v>39.534883720930203</v>
      </c>
      <c r="U24" s="15">
        <v>55.357142857142897</v>
      </c>
      <c r="V24" s="15">
        <v>55.2631578947368</v>
      </c>
      <c r="W24" s="15">
        <v>52.173913043478301</v>
      </c>
      <c r="X24" s="15">
        <v>53.153153153153099</v>
      </c>
      <c r="Y24" s="15">
        <v>46.212121212121197</v>
      </c>
      <c r="Z24" s="15">
        <v>58.620689655172399</v>
      </c>
      <c r="AA24" s="15">
        <v>45.652173913043498</v>
      </c>
      <c r="AB24" s="15">
        <v>31.818181818181799</v>
      </c>
      <c r="AC24" s="15">
        <v>50</v>
      </c>
      <c r="AD24" s="15">
        <v>45.652173913043498</v>
      </c>
      <c r="AE24" s="15">
        <v>51.515151515151501</v>
      </c>
      <c r="AF24" s="15">
        <v>68.181818181818201</v>
      </c>
      <c r="AG24" s="15">
        <v>73.3333333333333</v>
      </c>
      <c r="AH24" s="15">
        <v>45.161290322580598</v>
      </c>
      <c r="AI24" s="15">
        <v>39.285714285714299</v>
      </c>
      <c r="AJ24" s="32">
        <v>35.108002963328403</v>
      </c>
      <c r="AK24" s="15">
        <v>27.958579881656799</v>
      </c>
      <c r="AL24" s="15">
        <v>36.819172113289802</v>
      </c>
      <c r="AM24" s="15">
        <v>37.878787878787897</v>
      </c>
      <c r="AN24" s="15">
        <v>48.9051094890511</v>
      </c>
      <c r="AO24" s="15">
        <v>35.928143712574901</v>
      </c>
      <c r="AP24" s="15">
        <v>33.4754797441365</v>
      </c>
      <c r="AQ24" s="15">
        <v>49.264705882352899</v>
      </c>
      <c r="AR24" s="24">
        <v>48.787878787878803</v>
      </c>
      <c r="AS24" s="38"/>
    </row>
    <row r="25" spans="1:45">
      <c r="A25" s="9" t="s">
        <v>183</v>
      </c>
      <c r="B25" s="36">
        <v>4.0444835170720701</v>
      </c>
      <c r="C25" s="32">
        <v>3.8417123607642099</v>
      </c>
      <c r="D25" s="32">
        <v>4.2277426280278601</v>
      </c>
      <c r="E25" s="32">
        <v>6.1291448570515001</v>
      </c>
      <c r="F25" s="20" t="s">
        <v>80</v>
      </c>
      <c r="G25" s="20" t="s">
        <v>80</v>
      </c>
      <c r="H25" s="15">
        <v>7.2625698324022299</v>
      </c>
      <c r="I25" s="15">
        <v>4.9504950495049496</v>
      </c>
      <c r="J25" s="15">
        <v>7.1428571428571397</v>
      </c>
      <c r="K25" s="20" t="s">
        <v>80</v>
      </c>
      <c r="L25" s="15">
        <v>7.4766355140186898</v>
      </c>
      <c r="M25" s="15">
        <v>8.3333333333333304</v>
      </c>
      <c r="N25" s="15">
        <v>6.25</v>
      </c>
      <c r="O25" s="15">
        <v>6.4516129032258096</v>
      </c>
      <c r="P25" s="15">
        <v>7.4380165289256199</v>
      </c>
      <c r="Q25" s="20" t="s">
        <v>80</v>
      </c>
      <c r="R25" s="20" t="s">
        <v>80</v>
      </c>
      <c r="S25" s="20" t="s">
        <v>80</v>
      </c>
      <c r="T25" s="20" t="s">
        <v>80</v>
      </c>
      <c r="U25" s="15">
        <v>14.285714285714301</v>
      </c>
      <c r="V25" s="20" t="s">
        <v>80</v>
      </c>
      <c r="W25" s="20" t="s">
        <v>80</v>
      </c>
      <c r="X25" s="20" t="s">
        <v>80</v>
      </c>
      <c r="Y25" s="15">
        <v>10.6060606060606</v>
      </c>
      <c r="Z25" s="20" t="s">
        <v>80</v>
      </c>
      <c r="AA25" s="20" t="s">
        <v>80</v>
      </c>
      <c r="AB25" s="20" t="s">
        <v>80</v>
      </c>
      <c r="AC25" s="20" t="s">
        <v>80</v>
      </c>
      <c r="AD25" s="20" t="s">
        <v>80</v>
      </c>
      <c r="AE25" s="20" t="s">
        <v>80</v>
      </c>
      <c r="AF25" s="20" t="s">
        <v>80</v>
      </c>
      <c r="AG25" s="20" t="s">
        <v>80</v>
      </c>
      <c r="AH25" s="20" t="s">
        <v>80</v>
      </c>
      <c r="AI25" s="20" t="s">
        <v>80</v>
      </c>
      <c r="AJ25" s="32">
        <v>2.5642881963791799</v>
      </c>
      <c r="AK25" s="15">
        <v>1.62721893491124</v>
      </c>
      <c r="AL25" s="15">
        <v>1.7429193899782101</v>
      </c>
      <c r="AM25" s="20" t="s">
        <v>80</v>
      </c>
      <c r="AN25" s="15">
        <v>5.8394160583941597</v>
      </c>
      <c r="AO25" s="15">
        <v>3.5928143712574898</v>
      </c>
      <c r="AP25" s="15">
        <v>2.7718550106609801</v>
      </c>
      <c r="AQ25" s="15">
        <v>5.1470588235294104</v>
      </c>
      <c r="AR25" s="24">
        <v>2.4242424242424199</v>
      </c>
      <c r="AS25" s="38"/>
    </row>
    <row r="26" spans="1:45">
      <c r="A26" s="9" t="s">
        <v>184</v>
      </c>
      <c r="B26" s="36">
        <v>28.035472576459998</v>
      </c>
      <c r="C26" s="32">
        <v>27.627232551117601</v>
      </c>
      <c r="D26" s="32">
        <v>30.170777243018598</v>
      </c>
      <c r="E26" s="32">
        <v>39.654812161353703</v>
      </c>
      <c r="F26" s="15">
        <v>45.098039215686299</v>
      </c>
      <c r="G26" s="15">
        <v>27.272727272727298</v>
      </c>
      <c r="H26" s="15">
        <v>34.636871508379897</v>
      </c>
      <c r="I26" s="15">
        <v>30.693069306930699</v>
      </c>
      <c r="J26" s="15">
        <v>58.571428571428598</v>
      </c>
      <c r="K26" s="15">
        <v>27.027027027027</v>
      </c>
      <c r="L26" s="15">
        <v>51.401869158878498</v>
      </c>
      <c r="M26" s="15">
        <v>27.380952380952401</v>
      </c>
      <c r="N26" s="15">
        <v>46.5277777777778</v>
      </c>
      <c r="O26" s="15">
        <v>41.935483870967701</v>
      </c>
      <c r="P26" s="15">
        <v>33.8842975206612</v>
      </c>
      <c r="Q26" s="15">
        <v>64.705882352941202</v>
      </c>
      <c r="R26" s="15">
        <v>21.2765957446809</v>
      </c>
      <c r="S26" s="15">
        <v>28.260869565217401</v>
      </c>
      <c r="T26" s="15">
        <v>32.558139534883701</v>
      </c>
      <c r="U26" s="15">
        <v>35.714285714285701</v>
      </c>
      <c r="V26" s="15">
        <v>52.631578947368403</v>
      </c>
      <c r="W26" s="15">
        <v>26.086956521739101</v>
      </c>
      <c r="X26" s="15">
        <v>46.846846846846802</v>
      </c>
      <c r="Y26" s="15">
        <v>38.636363636363598</v>
      </c>
      <c r="Z26" s="15">
        <v>37.931034482758598</v>
      </c>
      <c r="AA26" s="15">
        <v>39.130434782608702</v>
      </c>
      <c r="AB26" s="15">
        <v>36.363636363636402</v>
      </c>
      <c r="AC26" s="15">
        <v>35.714285714285701</v>
      </c>
      <c r="AD26" s="15">
        <v>23.913043478260899</v>
      </c>
      <c r="AE26" s="15">
        <v>51.515151515151501</v>
      </c>
      <c r="AF26" s="15">
        <v>52.272727272727302</v>
      </c>
      <c r="AG26" s="15">
        <v>66.6666666666667</v>
      </c>
      <c r="AH26" s="15">
        <v>29.0322580645161</v>
      </c>
      <c r="AI26" s="15">
        <v>39.285714285714299</v>
      </c>
      <c r="AJ26" s="32">
        <v>21.8736059901393</v>
      </c>
      <c r="AK26" s="15">
        <v>15.384615384615399</v>
      </c>
      <c r="AL26" s="15">
        <v>20.479302832243999</v>
      </c>
      <c r="AM26" s="15">
        <v>22.727272727272702</v>
      </c>
      <c r="AN26" s="15">
        <v>35.766423357664202</v>
      </c>
      <c r="AO26" s="15">
        <v>24.550898203592801</v>
      </c>
      <c r="AP26" s="15">
        <v>23.027718550106599</v>
      </c>
      <c r="AQ26" s="15">
        <v>26.470588235294102</v>
      </c>
      <c r="AR26" s="24">
        <v>26.363636363636399</v>
      </c>
      <c r="AS26" s="38"/>
    </row>
    <row r="27" spans="1:45">
      <c r="A27" s="9" t="s">
        <v>185</v>
      </c>
      <c r="B27" s="36">
        <v>20.3353658627851</v>
      </c>
      <c r="C27" s="32">
        <v>19.988573970494102</v>
      </c>
      <c r="D27" s="32">
        <v>20.4136177804833</v>
      </c>
      <c r="E27" s="32">
        <v>29.183088847339199</v>
      </c>
      <c r="F27" s="15">
        <v>35.294117647058798</v>
      </c>
      <c r="G27" s="15">
        <v>22.727272727272702</v>
      </c>
      <c r="H27" s="15">
        <v>26.256983240223501</v>
      </c>
      <c r="I27" s="15">
        <v>26.7326732673267</v>
      </c>
      <c r="J27" s="15">
        <v>37.142857142857103</v>
      </c>
      <c r="K27" s="15">
        <v>37.837837837837803</v>
      </c>
      <c r="L27" s="15">
        <v>26.1682242990654</v>
      </c>
      <c r="M27" s="15">
        <v>21.428571428571399</v>
      </c>
      <c r="N27" s="15">
        <v>36.1111111111111</v>
      </c>
      <c r="O27" s="15">
        <v>20.9677419354839</v>
      </c>
      <c r="P27" s="15">
        <v>32.2314049586777</v>
      </c>
      <c r="Q27" s="15">
        <v>29.411764705882401</v>
      </c>
      <c r="R27" s="15">
        <v>31.914893617021299</v>
      </c>
      <c r="S27" s="15">
        <v>36.956521739130402</v>
      </c>
      <c r="T27" s="15">
        <v>16.2790697674419</v>
      </c>
      <c r="U27" s="15">
        <v>37.5</v>
      </c>
      <c r="V27" s="15">
        <v>31.578947368421101</v>
      </c>
      <c r="W27" s="15">
        <v>28.260869565217401</v>
      </c>
      <c r="X27" s="15">
        <v>31.531531531531499</v>
      </c>
      <c r="Y27" s="15">
        <v>22.727272727272702</v>
      </c>
      <c r="Z27" s="15">
        <v>27.586206896551701</v>
      </c>
      <c r="AA27" s="15">
        <v>34.7826086956522</v>
      </c>
      <c r="AB27" s="15">
        <v>22.727272727272702</v>
      </c>
      <c r="AC27" s="15">
        <v>33.3333333333333</v>
      </c>
      <c r="AD27" s="15">
        <v>10.869565217391299</v>
      </c>
      <c r="AE27" s="15">
        <v>21.2121212121212</v>
      </c>
      <c r="AF27" s="15">
        <v>25</v>
      </c>
      <c r="AG27" s="15">
        <v>33.3333333333333</v>
      </c>
      <c r="AH27" s="15">
        <v>31.1827956989247</v>
      </c>
      <c r="AI27" s="15">
        <v>25</v>
      </c>
      <c r="AJ27" s="32">
        <v>12.741587482681901</v>
      </c>
      <c r="AK27" s="15">
        <v>10.9467455621302</v>
      </c>
      <c r="AL27" s="15">
        <v>11.546840958605699</v>
      </c>
      <c r="AM27" s="15">
        <v>15.1515151515152</v>
      </c>
      <c r="AN27" s="15">
        <v>18.978102189781001</v>
      </c>
      <c r="AO27" s="15">
        <v>14.371257485029901</v>
      </c>
      <c r="AP27" s="15">
        <v>12.1535181236674</v>
      </c>
      <c r="AQ27" s="15">
        <v>20.588235294117599</v>
      </c>
      <c r="AR27" s="24">
        <v>16.060606060606101</v>
      </c>
      <c r="AS27" s="38"/>
    </row>
    <row r="28" spans="1:45">
      <c r="A28" s="9" t="s">
        <v>186</v>
      </c>
      <c r="B28" s="36">
        <v>27.792107356032101</v>
      </c>
      <c r="C28" s="32">
        <v>27.236339283375202</v>
      </c>
      <c r="D28" s="32">
        <v>28.4614237612731</v>
      </c>
      <c r="E28" s="32">
        <v>37.825139166093699</v>
      </c>
      <c r="F28" s="15">
        <v>56.862745098039198</v>
      </c>
      <c r="G28" s="15">
        <v>31.818181818181799</v>
      </c>
      <c r="H28" s="15">
        <v>36.871508379888297</v>
      </c>
      <c r="I28" s="15">
        <v>34.653465346534702</v>
      </c>
      <c r="J28" s="15">
        <v>38.571428571428598</v>
      </c>
      <c r="K28" s="15">
        <v>51.351351351351397</v>
      </c>
      <c r="L28" s="15">
        <v>27.1028037383178</v>
      </c>
      <c r="M28" s="15">
        <v>39.285714285714299</v>
      </c>
      <c r="N28" s="15">
        <v>39.5833333333333</v>
      </c>
      <c r="O28" s="15">
        <v>29.838709677419399</v>
      </c>
      <c r="P28" s="15">
        <v>49.586776859504099</v>
      </c>
      <c r="Q28" s="15">
        <v>44.117647058823501</v>
      </c>
      <c r="R28" s="15">
        <v>34.042553191489397</v>
      </c>
      <c r="S28" s="15">
        <v>39.130434782608702</v>
      </c>
      <c r="T28" s="15">
        <v>30.232558139534898</v>
      </c>
      <c r="U28" s="15">
        <v>42.857142857142897</v>
      </c>
      <c r="V28" s="15">
        <v>34.210526315789501</v>
      </c>
      <c r="W28" s="15">
        <v>34.7826086956522</v>
      </c>
      <c r="X28" s="15">
        <v>35.135135135135101</v>
      </c>
      <c r="Y28" s="15">
        <v>38.636363636363598</v>
      </c>
      <c r="Z28" s="15">
        <v>58.620689655172399</v>
      </c>
      <c r="AA28" s="15">
        <v>36.956521739130402</v>
      </c>
      <c r="AB28" s="15">
        <v>50</v>
      </c>
      <c r="AC28" s="15">
        <v>35.714285714285701</v>
      </c>
      <c r="AD28" s="15">
        <v>26.086956521739101</v>
      </c>
      <c r="AE28" s="15">
        <v>27.272727272727298</v>
      </c>
      <c r="AF28" s="15">
        <v>47.727272727272698</v>
      </c>
      <c r="AG28" s="15">
        <v>40</v>
      </c>
      <c r="AH28" s="15">
        <v>31.1827956989247</v>
      </c>
      <c r="AI28" s="15">
        <v>30.3571428571429</v>
      </c>
      <c r="AJ28" s="32">
        <v>20.2695148379076</v>
      </c>
      <c r="AK28" s="15">
        <v>22.485207100591701</v>
      </c>
      <c r="AL28" s="15">
        <v>17.647058823529399</v>
      </c>
      <c r="AM28" s="15">
        <v>24.747474747474701</v>
      </c>
      <c r="AN28" s="15">
        <v>25.5474452554745</v>
      </c>
      <c r="AO28" s="15">
        <v>22.455089820359301</v>
      </c>
      <c r="AP28" s="15">
        <v>20.042643923240899</v>
      </c>
      <c r="AQ28" s="15">
        <v>25.735294117647101</v>
      </c>
      <c r="AR28" s="24">
        <v>21.515151515151501</v>
      </c>
      <c r="AS28" s="38"/>
    </row>
    <row r="29" spans="1:45">
      <c r="A29" s="9" t="s">
        <v>187</v>
      </c>
      <c r="B29" s="36">
        <v>10.542809903992699</v>
      </c>
      <c r="C29" s="32">
        <v>9.7405264246469407</v>
      </c>
      <c r="D29" s="32">
        <v>9.5277339850778109</v>
      </c>
      <c r="E29" s="32">
        <v>12.356756810085599</v>
      </c>
      <c r="F29" s="15">
        <v>9.8039215686274499</v>
      </c>
      <c r="G29" s="20" t="s">
        <v>80</v>
      </c>
      <c r="H29" s="15">
        <v>8.3798882681564208</v>
      </c>
      <c r="I29" s="15">
        <v>11.881188118811901</v>
      </c>
      <c r="J29" s="15">
        <v>12.8571428571429</v>
      </c>
      <c r="K29" s="20" t="s">
        <v>80</v>
      </c>
      <c r="L29" s="15">
        <v>17.757009345794401</v>
      </c>
      <c r="M29" s="15">
        <v>11.9047619047619</v>
      </c>
      <c r="N29" s="15">
        <v>13.1944444444444</v>
      </c>
      <c r="O29" s="15">
        <v>12.9032258064516</v>
      </c>
      <c r="P29" s="15">
        <v>17.355371900826398</v>
      </c>
      <c r="Q29" s="15">
        <v>20.588235294117599</v>
      </c>
      <c r="R29" s="15">
        <v>12.7659574468085</v>
      </c>
      <c r="S29" s="20" t="s">
        <v>80</v>
      </c>
      <c r="T29" s="20" t="s">
        <v>80</v>
      </c>
      <c r="U29" s="15">
        <v>21.428571428571399</v>
      </c>
      <c r="V29" s="15">
        <v>15.789473684210501</v>
      </c>
      <c r="W29" s="20" t="s">
        <v>80</v>
      </c>
      <c r="X29" s="15">
        <v>8.1081081081081106</v>
      </c>
      <c r="Y29" s="15">
        <v>14.3939393939394</v>
      </c>
      <c r="Z29" s="20" t="s">
        <v>80</v>
      </c>
      <c r="AA29" s="20" t="s">
        <v>80</v>
      </c>
      <c r="AB29" s="20" t="s">
        <v>80</v>
      </c>
      <c r="AC29" s="15">
        <v>19.047619047619001</v>
      </c>
      <c r="AD29" s="15">
        <v>19.565217391304301</v>
      </c>
      <c r="AE29" s="20" t="s">
        <v>80</v>
      </c>
      <c r="AF29" s="15">
        <v>11.363636363636401</v>
      </c>
      <c r="AG29" s="20" t="s">
        <v>80</v>
      </c>
      <c r="AH29" s="15">
        <v>9.67741935483871</v>
      </c>
      <c r="AI29" s="15">
        <v>10.714285714285699</v>
      </c>
      <c r="AJ29" s="32">
        <v>7.0527444832978903</v>
      </c>
      <c r="AK29" s="15">
        <v>7.8402366863905302</v>
      </c>
      <c r="AL29" s="15">
        <v>4.1394335511982598</v>
      </c>
      <c r="AM29" s="15">
        <v>7.0707070707070701</v>
      </c>
      <c r="AN29" s="15">
        <v>12.408759124087601</v>
      </c>
      <c r="AO29" s="15">
        <v>6.88622754491018</v>
      </c>
      <c r="AP29" s="15">
        <v>7.4626865671641802</v>
      </c>
      <c r="AQ29" s="15">
        <v>11.0294117647059</v>
      </c>
      <c r="AR29" s="24">
        <v>7.8787878787878798</v>
      </c>
      <c r="AS29" s="38"/>
    </row>
    <row r="30" spans="1:45">
      <c r="A30" s="9" t="s">
        <v>188</v>
      </c>
      <c r="B30" s="36">
        <v>13.690403834283</v>
      </c>
      <c r="C30" s="32">
        <v>14.1133531553153</v>
      </c>
      <c r="D30" s="32">
        <v>12.63093951564</v>
      </c>
      <c r="E30" s="32">
        <v>13.168307195816199</v>
      </c>
      <c r="F30" s="15">
        <v>13.7254901960784</v>
      </c>
      <c r="G30" s="20" t="s">
        <v>80</v>
      </c>
      <c r="H30" s="15">
        <v>15.083798882681601</v>
      </c>
      <c r="I30" s="15">
        <v>13.8613861386139</v>
      </c>
      <c r="J30" s="15">
        <v>8.5714285714285694</v>
      </c>
      <c r="K30" s="15">
        <v>16.2162162162162</v>
      </c>
      <c r="L30" s="15">
        <v>11.214953271028</v>
      </c>
      <c r="M30" s="15">
        <v>10.714285714285699</v>
      </c>
      <c r="N30" s="15">
        <v>11.8055555555556</v>
      </c>
      <c r="O30" s="15">
        <v>12.0967741935484</v>
      </c>
      <c r="P30" s="15">
        <v>22.3140495867769</v>
      </c>
      <c r="Q30" s="20" t="s">
        <v>80</v>
      </c>
      <c r="R30" s="15">
        <v>21.2765957446809</v>
      </c>
      <c r="S30" s="20" t="s">
        <v>80</v>
      </c>
      <c r="T30" s="20" t="s">
        <v>80</v>
      </c>
      <c r="U30" s="15">
        <v>12.5</v>
      </c>
      <c r="V30" s="15">
        <v>13.157894736842101</v>
      </c>
      <c r="W30" s="15">
        <v>13.0434782608696</v>
      </c>
      <c r="X30" s="15">
        <v>5.4054054054054097</v>
      </c>
      <c r="Y30" s="15">
        <v>19.696969696969699</v>
      </c>
      <c r="Z30" s="20" t="s">
        <v>80</v>
      </c>
      <c r="AA30" s="15">
        <v>10.869565217391299</v>
      </c>
      <c r="AB30" s="20" t="s">
        <v>80</v>
      </c>
      <c r="AC30" s="15">
        <v>11.9047619047619</v>
      </c>
      <c r="AD30" s="15">
        <v>13.0434782608696</v>
      </c>
      <c r="AE30" s="20" t="s">
        <v>80</v>
      </c>
      <c r="AF30" s="15">
        <v>13.636363636363599</v>
      </c>
      <c r="AG30" s="20" t="s">
        <v>80</v>
      </c>
      <c r="AH30" s="15">
        <v>11.8279569892473</v>
      </c>
      <c r="AI30" s="15">
        <v>14.285714285714301</v>
      </c>
      <c r="AJ30" s="32">
        <v>12.160819813785601</v>
      </c>
      <c r="AK30" s="15">
        <v>11.2426035502959</v>
      </c>
      <c r="AL30" s="15">
        <v>11.546840958605699</v>
      </c>
      <c r="AM30" s="15">
        <v>11.6161616161616</v>
      </c>
      <c r="AN30" s="15">
        <v>13.868613138686101</v>
      </c>
      <c r="AO30" s="15">
        <v>9.8802395209580904</v>
      </c>
      <c r="AP30" s="15">
        <v>13.6460554371002</v>
      </c>
      <c r="AQ30" s="15">
        <v>17.647058823529399</v>
      </c>
      <c r="AR30" s="24">
        <v>10</v>
      </c>
      <c r="AS30" s="38"/>
    </row>
    <row r="31" spans="1:45">
      <c r="A31" s="9" t="s">
        <v>189</v>
      </c>
      <c r="B31" s="36">
        <v>22.086676376214999</v>
      </c>
      <c r="C31" s="32">
        <v>21.2065883927812</v>
      </c>
      <c r="D31" s="32">
        <v>20.2161620457568</v>
      </c>
      <c r="E31" s="32">
        <v>25.646247236926602</v>
      </c>
      <c r="F31" s="15">
        <v>25.490196078431399</v>
      </c>
      <c r="G31" s="20" t="s">
        <v>80</v>
      </c>
      <c r="H31" s="15">
        <v>28.491620111731802</v>
      </c>
      <c r="I31" s="15">
        <v>21.782178217821802</v>
      </c>
      <c r="J31" s="15">
        <v>21.428571428571399</v>
      </c>
      <c r="K31" s="15">
        <v>32.4324324324324</v>
      </c>
      <c r="L31" s="15">
        <v>24.299065420560702</v>
      </c>
      <c r="M31" s="15">
        <v>20.238095238095202</v>
      </c>
      <c r="N31" s="15">
        <v>31.25</v>
      </c>
      <c r="O31" s="15">
        <v>26.612903225806502</v>
      </c>
      <c r="P31" s="15">
        <v>32.2314049586777</v>
      </c>
      <c r="Q31" s="15">
        <v>23.529411764705898</v>
      </c>
      <c r="R31" s="15">
        <v>25.531914893617</v>
      </c>
      <c r="S31" s="20" t="s">
        <v>80</v>
      </c>
      <c r="T31" s="15">
        <v>11.6279069767442</v>
      </c>
      <c r="U31" s="15">
        <v>33.928571428571402</v>
      </c>
      <c r="V31" s="15">
        <v>26.315789473684202</v>
      </c>
      <c r="W31" s="15">
        <v>28.260869565217401</v>
      </c>
      <c r="X31" s="15">
        <v>18.918918918918902</v>
      </c>
      <c r="Y31" s="15">
        <v>27.272727272727298</v>
      </c>
      <c r="Z31" s="15">
        <v>24.137931034482801</v>
      </c>
      <c r="AA31" s="15">
        <v>23.913043478260899</v>
      </c>
      <c r="AB31" s="20" t="s">
        <v>80</v>
      </c>
      <c r="AC31" s="15">
        <v>23.8095238095238</v>
      </c>
      <c r="AD31" s="15">
        <v>30.434782608695699</v>
      </c>
      <c r="AE31" s="20" t="s">
        <v>80</v>
      </c>
      <c r="AF31" s="15">
        <v>11.363636363636401</v>
      </c>
      <c r="AG31" s="20" t="s">
        <v>80</v>
      </c>
      <c r="AH31" s="15">
        <v>19.354838709677399</v>
      </c>
      <c r="AI31" s="15">
        <v>25</v>
      </c>
      <c r="AJ31" s="32">
        <v>15.465615771221501</v>
      </c>
      <c r="AK31" s="15">
        <v>14.4970414201183</v>
      </c>
      <c r="AL31" s="15">
        <v>14.596949891067499</v>
      </c>
      <c r="AM31" s="15">
        <v>16.161616161616202</v>
      </c>
      <c r="AN31" s="15">
        <v>25.5474452554745</v>
      </c>
      <c r="AO31" s="15">
        <v>13.1736526946108</v>
      </c>
      <c r="AP31" s="15">
        <v>16.204690831556501</v>
      </c>
      <c r="AQ31" s="15">
        <v>19.117647058823501</v>
      </c>
      <c r="AR31" s="24">
        <v>13.9393939393939</v>
      </c>
      <c r="AS31" s="38"/>
    </row>
    <row r="32" spans="1:45">
      <c r="A32" s="9" t="s">
        <v>190</v>
      </c>
      <c r="B32" s="36">
        <v>5.0232156705145004</v>
      </c>
      <c r="C32" s="32">
        <v>4.9297072956837296</v>
      </c>
      <c r="D32" s="32">
        <v>5.2010504104211304</v>
      </c>
      <c r="E32" s="32">
        <v>6.0372525837883897</v>
      </c>
      <c r="F32" s="20" t="s">
        <v>80</v>
      </c>
      <c r="G32" s="20" t="s">
        <v>80</v>
      </c>
      <c r="H32" s="15">
        <v>6.7039106145251397</v>
      </c>
      <c r="I32" s="15">
        <v>9.9009900990098991</v>
      </c>
      <c r="J32" s="20" t="s">
        <v>80</v>
      </c>
      <c r="K32" s="20" t="s">
        <v>80</v>
      </c>
      <c r="L32" s="15">
        <v>4.6728971962616797</v>
      </c>
      <c r="M32" s="15">
        <v>5.9523809523809499</v>
      </c>
      <c r="N32" s="15">
        <v>5.5555555555555598</v>
      </c>
      <c r="O32" s="15">
        <v>4.8387096774193497</v>
      </c>
      <c r="P32" s="15">
        <v>8.2644628099173598</v>
      </c>
      <c r="Q32" s="15">
        <v>14.705882352941201</v>
      </c>
      <c r="R32" s="20" t="s">
        <v>80</v>
      </c>
      <c r="S32" s="20" t="s">
        <v>80</v>
      </c>
      <c r="T32" s="20" t="s">
        <v>80</v>
      </c>
      <c r="U32" s="15">
        <v>10.714285714285699</v>
      </c>
      <c r="V32" s="20" t="s">
        <v>80</v>
      </c>
      <c r="W32" s="20" t="s">
        <v>80</v>
      </c>
      <c r="X32" s="20" t="s">
        <v>80</v>
      </c>
      <c r="Y32" s="15">
        <v>9.0909090909090899</v>
      </c>
      <c r="Z32" s="20" t="s">
        <v>80</v>
      </c>
      <c r="AA32" s="20" t="s">
        <v>80</v>
      </c>
      <c r="AB32" s="20" t="s">
        <v>80</v>
      </c>
      <c r="AC32" s="20" t="s">
        <v>80</v>
      </c>
      <c r="AD32" s="20" t="s">
        <v>80</v>
      </c>
      <c r="AE32" s="20" t="s">
        <v>80</v>
      </c>
      <c r="AF32" s="20" t="s">
        <v>80</v>
      </c>
      <c r="AG32" s="20" t="s">
        <v>80</v>
      </c>
      <c r="AH32" s="20" t="s">
        <v>80</v>
      </c>
      <c r="AI32" s="20" t="s">
        <v>80</v>
      </c>
      <c r="AJ32" s="32">
        <v>4.46949335752113</v>
      </c>
      <c r="AK32" s="15">
        <v>3.55029585798817</v>
      </c>
      <c r="AL32" s="15">
        <v>1.7429193899782101</v>
      </c>
      <c r="AM32" s="15">
        <v>5.0505050505050502</v>
      </c>
      <c r="AN32" s="15">
        <v>11.6788321167883</v>
      </c>
      <c r="AO32" s="15">
        <v>4.19161676646707</v>
      </c>
      <c r="AP32" s="15">
        <v>4.0511727078891298</v>
      </c>
      <c r="AQ32" s="15">
        <v>11.764705882352899</v>
      </c>
      <c r="AR32" s="24">
        <v>3.6363636363636398</v>
      </c>
      <c r="AS32" s="38"/>
    </row>
    <row r="33" spans="1:45">
      <c r="A33" s="9" t="s">
        <v>191</v>
      </c>
      <c r="B33" s="36">
        <v>13.8148645650865</v>
      </c>
      <c r="C33" s="32">
        <v>14.0395196916487</v>
      </c>
      <c r="D33" s="32">
        <v>16.083935835680698</v>
      </c>
      <c r="E33" s="32">
        <v>19.837647539505902</v>
      </c>
      <c r="F33" s="15">
        <v>19.6078431372549</v>
      </c>
      <c r="G33" s="20" t="s">
        <v>80</v>
      </c>
      <c r="H33" s="15">
        <v>21.787709497206698</v>
      </c>
      <c r="I33" s="15">
        <v>18.8118811881188</v>
      </c>
      <c r="J33" s="15">
        <v>21.428571428571399</v>
      </c>
      <c r="K33" s="20" t="s">
        <v>80</v>
      </c>
      <c r="L33" s="15">
        <v>18.691588785046701</v>
      </c>
      <c r="M33" s="15">
        <v>9.5238095238095202</v>
      </c>
      <c r="N33" s="15">
        <v>23.6111111111111</v>
      </c>
      <c r="O33" s="15">
        <v>13.709677419354801</v>
      </c>
      <c r="P33" s="15">
        <v>27.272727272727298</v>
      </c>
      <c r="Q33" s="15">
        <v>20.588235294117599</v>
      </c>
      <c r="R33" s="15">
        <v>21.2765957446809</v>
      </c>
      <c r="S33" s="20" t="s">
        <v>80</v>
      </c>
      <c r="T33" s="20" t="s">
        <v>80</v>
      </c>
      <c r="U33" s="15">
        <v>26.785714285714299</v>
      </c>
      <c r="V33" s="15">
        <v>18.421052631578899</v>
      </c>
      <c r="W33" s="15">
        <v>19.565217391304301</v>
      </c>
      <c r="X33" s="15">
        <v>21.6216216216216</v>
      </c>
      <c r="Y33" s="15">
        <v>17.424242424242401</v>
      </c>
      <c r="Z33" s="15">
        <v>31.034482758620701</v>
      </c>
      <c r="AA33" s="15">
        <v>26.086956521739101</v>
      </c>
      <c r="AB33" s="20" t="s">
        <v>80</v>
      </c>
      <c r="AC33" s="15">
        <v>21.428571428571399</v>
      </c>
      <c r="AD33" s="15">
        <v>21.739130434782599</v>
      </c>
      <c r="AE33" s="15">
        <v>18.181818181818201</v>
      </c>
      <c r="AF33" s="15">
        <v>38.636363636363598</v>
      </c>
      <c r="AG33" s="20" t="s">
        <v>80</v>
      </c>
      <c r="AH33" s="15">
        <v>18.279569892473098</v>
      </c>
      <c r="AI33" s="15">
        <v>16.071428571428601</v>
      </c>
      <c r="AJ33" s="32">
        <v>12.799976096101499</v>
      </c>
      <c r="AK33" s="15">
        <v>8.4319526627218906</v>
      </c>
      <c r="AL33" s="15">
        <v>9.5860566448801805</v>
      </c>
      <c r="AM33" s="15">
        <v>8.5858585858585901</v>
      </c>
      <c r="AN33" s="15">
        <v>18.978102189781001</v>
      </c>
      <c r="AO33" s="15">
        <v>14.6706586826347</v>
      </c>
      <c r="AP33" s="15">
        <v>12.3667377398721</v>
      </c>
      <c r="AQ33" s="15">
        <v>25</v>
      </c>
      <c r="AR33" s="24">
        <v>20</v>
      </c>
      <c r="AS33" s="38"/>
    </row>
    <row r="34" spans="1:45">
      <c r="A34" s="9" t="s">
        <v>192</v>
      </c>
      <c r="B34" s="36">
        <v>32.341964656762499</v>
      </c>
      <c r="C34" s="32">
        <v>33.573689501337803</v>
      </c>
      <c r="D34" s="32">
        <v>36.780423689060001</v>
      </c>
      <c r="E34" s="32">
        <v>38.1402715359227</v>
      </c>
      <c r="F34" s="15">
        <v>39.2156862745098</v>
      </c>
      <c r="G34" s="20" t="s">
        <v>80</v>
      </c>
      <c r="H34" s="15">
        <v>39.106145251396597</v>
      </c>
      <c r="I34" s="15">
        <v>34.653465346534702</v>
      </c>
      <c r="J34" s="15">
        <v>41.428571428571402</v>
      </c>
      <c r="K34" s="15">
        <v>24.324324324324301</v>
      </c>
      <c r="L34" s="15">
        <v>39.252336448598101</v>
      </c>
      <c r="M34" s="15">
        <v>38.095238095238102</v>
      </c>
      <c r="N34" s="15">
        <v>31.25</v>
      </c>
      <c r="O34" s="15">
        <v>45.161290322580598</v>
      </c>
      <c r="P34" s="15">
        <v>35.537190082644599</v>
      </c>
      <c r="Q34" s="15">
        <v>52.941176470588204</v>
      </c>
      <c r="R34" s="15">
        <v>36.170212765957501</v>
      </c>
      <c r="S34" s="15">
        <v>26.086956521739101</v>
      </c>
      <c r="T34" s="15">
        <v>51.162790697674403</v>
      </c>
      <c r="U34" s="15">
        <v>39.285714285714299</v>
      </c>
      <c r="V34" s="15">
        <v>42.105263157894697</v>
      </c>
      <c r="W34" s="15">
        <v>43.478260869565197</v>
      </c>
      <c r="X34" s="15">
        <v>27.9279279279279</v>
      </c>
      <c r="Y34" s="15">
        <v>33.3333333333333</v>
      </c>
      <c r="Z34" s="15">
        <v>41.379310344827601</v>
      </c>
      <c r="AA34" s="15">
        <v>28.260869565217401</v>
      </c>
      <c r="AB34" s="20" t="s">
        <v>80</v>
      </c>
      <c r="AC34" s="15">
        <v>38.095238095238102</v>
      </c>
      <c r="AD34" s="15">
        <v>52.173913043478301</v>
      </c>
      <c r="AE34" s="15">
        <v>42.424242424242401</v>
      </c>
      <c r="AF34" s="15">
        <v>47.727272727272698</v>
      </c>
      <c r="AG34" s="15">
        <v>40</v>
      </c>
      <c r="AH34" s="15">
        <v>27.9569892473118</v>
      </c>
      <c r="AI34" s="15">
        <v>33.928571428571402</v>
      </c>
      <c r="AJ34" s="32">
        <v>35.5907517234428</v>
      </c>
      <c r="AK34" s="15">
        <v>32.248520710059204</v>
      </c>
      <c r="AL34" s="15">
        <v>31.154684095860599</v>
      </c>
      <c r="AM34" s="15">
        <v>32.828282828282802</v>
      </c>
      <c r="AN34" s="15">
        <v>48.175182481751797</v>
      </c>
      <c r="AO34" s="15">
        <v>38.622754491018</v>
      </c>
      <c r="AP34" s="15">
        <v>34.754797441364602</v>
      </c>
      <c r="AQ34" s="15">
        <v>38.235294117647101</v>
      </c>
      <c r="AR34" s="24">
        <v>49.090909090909101</v>
      </c>
      <c r="AS34" s="38"/>
    </row>
    <row r="35" spans="1:45">
      <c r="A35" s="9" t="s">
        <v>193</v>
      </c>
      <c r="B35" s="36">
        <v>24.858609843316302</v>
      </c>
      <c r="C35" s="32">
        <v>24.3203816617482</v>
      </c>
      <c r="D35" s="32">
        <v>25.5555532066663</v>
      </c>
      <c r="E35" s="32">
        <v>29.616657977920099</v>
      </c>
      <c r="F35" s="15">
        <v>39.2156862745098</v>
      </c>
      <c r="G35" s="15">
        <v>22.727272727272702</v>
      </c>
      <c r="H35" s="15">
        <v>26.256983240223501</v>
      </c>
      <c r="I35" s="15">
        <v>27.722772277227701</v>
      </c>
      <c r="J35" s="15">
        <v>25.714285714285701</v>
      </c>
      <c r="K35" s="15">
        <v>35.135135135135101</v>
      </c>
      <c r="L35" s="15">
        <v>27.1028037383178</v>
      </c>
      <c r="M35" s="15">
        <v>21.428571428571399</v>
      </c>
      <c r="N35" s="15">
        <v>26.3888888888889</v>
      </c>
      <c r="O35" s="15">
        <v>29.0322580645161</v>
      </c>
      <c r="P35" s="15">
        <v>37.190082644628099</v>
      </c>
      <c r="Q35" s="15">
        <v>44.117647058823501</v>
      </c>
      <c r="R35" s="15">
        <v>25.531914893617</v>
      </c>
      <c r="S35" s="15">
        <v>17.3913043478261</v>
      </c>
      <c r="T35" s="15">
        <v>23.255813953488399</v>
      </c>
      <c r="U35" s="15">
        <v>30.3571428571429</v>
      </c>
      <c r="V35" s="15">
        <v>55.2631578947368</v>
      </c>
      <c r="W35" s="15">
        <v>39.130434782608702</v>
      </c>
      <c r="X35" s="15">
        <v>21.6216216216216</v>
      </c>
      <c r="Y35" s="15">
        <v>12.8787878787879</v>
      </c>
      <c r="Z35" s="15">
        <v>51.724137931034498</v>
      </c>
      <c r="AA35" s="15">
        <v>41.304347826087003</v>
      </c>
      <c r="AB35" s="20" t="s">
        <v>80</v>
      </c>
      <c r="AC35" s="15">
        <v>26.1904761904762</v>
      </c>
      <c r="AD35" s="15">
        <v>54.347826086956502</v>
      </c>
      <c r="AE35" s="15">
        <v>36.363636363636402</v>
      </c>
      <c r="AF35" s="15">
        <v>45.454545454545503</v>
      </c>
      <c r="AG35" s="15">
        <v>40</v>
      </c>
      <c r="AH35" s="15">
        <v>24.731182795698899</v>
      </c>
      <c r="AI35" s="15">
        <v>33.928571428571402</v>
      </c>
      <c r="AJ35" s="32">
        <v>22.002668590242699</v>
      </c>
      <c r="AK35" s="15">
        <v>17.011834319526599</v>
      </c>
      <c r="AL35" s="15">
        <v>17.429193899782099</v>
      </c>
      <c r="AM35" s="15">
        <v>17.6767676767677</v>
      </c>
      <c r="AN35" s="15">
        <v>38.686131386861298</v>
      </c>
      <c r="AO35" s="15">
        <v>26.347305389221599</v>
      </c>
      <c r="AP35" s="15">
        <v>22.601279317697202</v>
      </c>
      <c r="AQ35" s="15">
        <v>26.470588235294102</v>
      </c>
      <c r="AR35" s="24">
        <v>35.7575757575758</v>
      </c>
      <c r="AS35" s="38"/>
    </row>
    <row r="36" spans="1:45">
      <c r="A36" s="9" t="s">
        <v>194</v>
      </c>
      <c r="B36" s="36">
        <v>19.9339502820118</v>
      </c>
      <c r="C36" s="32">
        <v>21.0090081495572</v>
      </c>
      <c r="D36" s="32">
        <v>21.788587917409401</v>
      </c>
      <c r="E36" s="32">
        <v>27.702391649934398</v>
      </c>
      <c r="F36" s="20" t="s">
        <v>80</v>
      </c>
      <c r="G36" s="15">
        <v>22.727272727272702</v>
      </c>
      <c r="H36" s="15">
        <v>27.374301675977701</v>
      </c>
      <c r="I36" s="15">
        <v>32.673267326732699</v>
      </c>
      <c r="J36" s="15">
        <v>25.714285714285701</v>
      </c>
      <c r="K36" s="15">
        <v>24.324324324324301</v>
      </c>
      <c r="L36" s="15">
        <v>19.6261682242991</v>
      </c>
      <c r="M36" s="15">
        <v>39.285714285714299</v>
      </c>
      <c r="N36" s="15">
        <v>29.8611111111111</v>
      </c>
      <c r="O36" s="15">
        <v>25</v>
      </c>
      <c r="P36" s="15">
        <v>30.578512396694201</v>
      </c>
      <c r="Q36" s="15">
        <v>32.352941176470601</v>
      </c>
      <c r="R36" s="15">
        <v>31.914893617021299</v>
      </c>
      <c r="S36" s="15">
        <v>60.869565217391298</v>
      </c>
      <c r="T36" s="15">
        <v>18.604651162790699</v>
      </c>
      <c r="U36" s="15">
        <v>33.928571428571402</v>
      </c>
      <c r="V36" s="15">
        <v>57.894736842105303</v>
      </c>
      <c r="W36" s="15">
        <v>28.260869565217401</v>
      </c>
      <c r="X36" s="15">
        <v>36.936936936936902</v>
      </c>
      <c r="Y36" s="15">
        <v>15.1515151515152</v>
      </c>
      <c r="Z36" s="15">
        <v>17.241379310344801</v>
      </c>
      <c r="AA36" s="15">
        <v>32.6086956521739</v>
      </c>
      <c r="AB36" s="20" t="s">
        <v>80</v>
      </c>
      <c r="AC36" s="15">
        <v>14.285714285714301</v>
      </c>
      <c r="AD36" s="15">
        <v>21.739130434782599</v>
      </c>
      <c r="AE36" s="15">
        <v>24.2424242424242</v>
      </c>
      <c r="AF36" s="15">
        <v>36.363636363636402</v>
      </c>
      <c r="AG36" s="15">
        <v>40</v>
      </c>
      <c r="AH36" s="15">
        <v>24.731182795698899</v>
      </c>
      <c r="AI36" s="15">
        <v>12.5</v>
      </c>
      <c r="AJ36" s="32">
        <v>16.614857248217501</v>
      </c>
      <c r="AK36" s="15">
        <v>14.792899408284001</v>
      </c>
      <c r="AL36" s="15">
        <v>11.546840958605699</v>
      </c>
      <c r="AM36" s="15">
        <v>17.6767676767677</v>
      </c>
      <c r="AN36" s="15">
        <v>21.897810218978101</v>
      </c>
      <c r="AO36" s="15">
        <v>15.868263473053901</v>
      </c>
      <c r="AP36" s="15">
        <v>16.417910447761201</v>
      </c>
      <c r="AQ36" s="15">
        <v>26.470588235294102</v>
      </c>
      <c r="AR36" s="24">
        <v>23.030303030302999</v>
      </c>
      <c r="AS36" s="38"/>
    </row>
    <row r="37" spans="1:45">
      <c r="A37" s="9" t="s">
        <v>195</v>
      </c>
      <c r="B37" s="36">
        <v>23.045320647667999</v>
      </c>
      <c r="C37" s="32">
        <v>25.542653184215101</v>
      </c>
      <c r="D37" s="32">
        <v>32.787170953145299</v>
      </c>
      <c r="E37" s="32">
        <v>34.620396218430599</v>
      </c>
      <c r="F37" s="15">
        <v>35.294117647058798</v>
      </c>
      <c r="G37" s="15">
        <v>27.272727272727298</v>
      </c>
      <c r="H37" s="15">
        <v>45.810055865921797</v>
      </c>
      <c r="I37" s="15">
        <v>33.6633663366337</v>
      </c>
      <c r="J37" s="15">
        <v>31.428571428571399</v>
      </c>
      <c r="K37" s="15">
        <v>27.027027027027</v>
      </c>
      <c r="L37" s="15">
        <v>23.364485981308398</v>
      </c>
      <c r="M37" s="15">
        <v>33.3333333333333</v>
      </c>
      <c r="N37" s="15">
        <v>34.0277777777778</v>
      </c>
      <c r="O37" s="15">
        <v>28.2258064516129</v>
      </c>
      <c r="P37" s="15">
        <v>34.710743801652903</v>
      </c>
      <c r="Q37" s="15">
        <v>38.235294117647101</v>
      </c>
      <c r="R37" s="15">
        <v>40.425531914893597</v>
      </c>
      <c r="S37" s="15">
        <v>41.304347826087003</v>
      </c>
      <c r="T37" s="15">
        <v>27.906976744186</v>
      </c>
      <c r="U37" s="15">
        <v>26.785714285714299</v>
      </c>
      <c r="V37" s="15">
        <v>55.2631578947368</v>
      </c>
      <c r="W37" s="15">
        <v>26.086956521739101</v>
      </c>
      <c r="X37" s="15">
        <v>38.738738738738697</v>
      </c>
      <c r="Y37" s="15">
        <v>23.484848484848499</v>
      </c>
      <c r="Z37" s="15">
        <v>20.689655172413801</v>
      </c>
      <c r="AA37" s="15">
        <v>39.130434782608702</v>
      </c>
      <c r="AB37" s="20" t="s">
        <v>80</v>
      </c>
      <c r="AC37" s="15">
        <v>23.8095238095238</v>
      </c>
      <c r="AD37" s="15">
        <v>21.739130434782599</v>
      </c>
      <c r="AE37" s="15">
        <v>27.272727272727298</v>
      </c>
      <c r="AF37" s="15">
        <v>40.909090909090899</v>
      </c>
      <c r="AG37" s="20" t="s">
        <v>80</v>
      </c>
      <c r="AH37" s="15">
        <v>30.1075268817204</v>
      </c>
      <c r="AI37" s="15">
        <v>26.785714285714299</v>
      </c>
      <c r="AJ37" s="32">
        <v>31.183361593294599</v>
      </c>
      <c r="AK37" s="15">
        <v>21.7455621301775</v>
      </c>
      <c r="AL37" s="15">
        <v>27.6688453159041</v>
      </c>
      <c r="AM37" s="15">
        <v>27.7777777777778</v>
      </c>
      <c r="AN37" s="15">
        <v>45.255474452554701</v>
      </c>
      <c r="AO37" s="15">
        <v>40.119760479041901</v>
      </c>
      <c r="AP37" s="15">
        <v>32.196162046908299</v>
      </c>
      <c r="AQ37" s="15">
        <v>44.117647058823501</v>
      </c>
      <c r="AR37" s="24">
        <v>39.696969696969703</v>
      </c>
      <c r="AS37" s="38"/>
    </row>
    <row r="38" spans="1:45">
      <c r="A38" s="9" t="s">
        <v>196</v>
      </c>
      <c r="B38" s="36">
        <v>29.689677745083799</v>
      </c>
      <c r="C38" s="32">
        <v>28.767581090010601</v>
      </c>
      <c r="D38" s="32">
        <v>30.3225533658253</v>
      </c>
      <c r="E38" s="32">
        <v>41.089240692037798</v>
      </c>
      <c r="F38" s="15">
        <v>33.3333333333333</v>
      </c>
      <c r="G38" s="15">
        <v>40.909090909090899</v>
      </c>
      <c r="H38" s="15">
        <v>44.692737430167597</v>
      </c>
      <c r="I38" s="15">
        <v>55.445544554455402</v>
      </c>
      <c r="J38" s="15">
        <v>38.571428571428598</v>
      </c>
      <c r="K38" s="15">
        <v>24.324324324324301</v>
      </c>
      <c r="L38" s="15">
        <v>47.663551401869199</v>
      </c>
      <c r="M38" s="15">
        <v>42.857142857142897</v>
      </c>
      <c r="N38" s="15">
        <v>47.9166666666667</v>
      </c>
      <c r="O38" s="15">
        <v>37.903225806451601</v>
      </c>
      <c r="P38" s="15">
        <v>50.413223140495901</v>
      </c>
      <c r="Q38" s="15">
        <v>44.117647058823501</v>
      </c>
      <c r="R38" s="15">
        <v>42.553191489361701</v>
      </c>
      <c r="S38" s="15">
        <v>43.478260869565197</v>
      </c>
      <c r="T38" s="15">
        <v>39.534883720930203</v>
      </c>
      <c r="U38" s="15">
        <v>48.214285714285701</v>
      </c>
      <c r="V38" s="15">
        <v>44.7368421052632</v>
      </c>
      <c r="W38" s="15">
        <v>32.6086956521739</v>
      </c>
      <c r="X38" s="15">
        <v>39.639639639639597</v>
      </c>
      <c r="Y38" s="15">
        <v>37.878787878787897</v>
      </c>
      <c r="Z38" s="15">
        <v>20.689655172413801</v>
      </c>
      <c r="AA38" s="15">
        <v>54.347826086956502</v>
      </c>
      <c r="AB38" s="20" t="s">
        <v>80</v>
      </c>
      <c r="AC38" s="15">
        <v>33.3333333333333</v>
      </c>
      <c r="AD38" s="15">
        <v>30.434782608695699</v>
      </c>
      <c r="AE38" s="15">
        <v>24.2424242424242</v>
      </c>
      <c r="AF38" s="15">
        <v>34.090909090909101</v>
      </c>
      <c r="AG38" s="20" t="s">
        <v>80</v>
      </c>
      <c r="AH38" s="15">
        <v>35.4838709677419</v>
      </c>
      <c r="AI38" s="15">
        <v>21.428571428571399</v>
      </c>
      <c r="AJ38" s="32">
        <v>20.9032450923936</v>
      </c>
      <c r="AK38" s="15">
        <v>20.266272189349099</v>
      </c>
      <c r="AL38" s="15">
        <v>18.9542483660131</v>
      </c>
      <c r="AM38" s="15">
        <v>20.707070707070699</v>
      </c>
      <c r="AN38" s="15">
        <v>33.576642335766401</v>
      </c>
      <c r="AO38" s="15">
        <v>23.053892215568901</v>
      </c>
      <c r="AP38" s="15">
        <v>26.652452025586399</v>
      </c>
      <c r="AQ38" s="15">
        <v>30.882352941176499</v>
      </c>
      <c r="AR38" s="24">
        <v>22.727272727272702</v>
      </c>
      <c r="AS38" s="38"/>
    </row>
    <row r="39" spans="1:45">
      <c r="A39" s="9" t="s">
        <v>197</v>
      </c>
      <c r="B39" s="36">
        <v>32.182801910492103</v>
      </c>
      <c r="C39" s="32">
        <v>32.475270092270897</v>
      </c>
      <c r="D39" s="32">
        <v>33.138918595985203</v>
      </c>
      <c r="E39" s="32">
        <v>35.973514668152902</v>
      </c>
      <c r="F39" s="15">
        <v>27.4509803921569</v>
      </c>
      <c r="G39" s="20" t="s">
        <v>80</v>
      </c>
      <c r="H39" s="15">
        <v>30.167597765363102</v>
      </c>
      <c r="I39" s="15">
        <v>34.653465346534702</v>
      </c>
      <c r="J39" s="15">
        <v>34.285714285714299</v>
      </c>
      <c r="K39" s="15">
        <v>18.918918918918902</v>
      </c>
      <c r="L39" s="15">
        <v>40.186915887850503</v>
      </c>
      <c r="M39" s="15">
        <v>32.142857142857103</v>
      </c>
      <c r="N39" s="15">
        <v>42.3611111111111</v>
      </c>
      <c r="O39" s="15">
        <v>33.870967741935502</v>
      </c>
      <c r="P39" s="15">
        <v>28.925619834710702</v>
      </c>
      <c r="Q39" s="15">
        <v>55.882352941176499</v>
      </c>
      <c r="R39" s="15">
        <v>36.170212765957501</v>
      </c>
      <c r="S39" s="15">
        <v>32.6086956521739</v>
      </c>
      <c r="T39" s="15">
        <v>37.209302325581397</v>
      </c>
      <c r="U39" s="15">
        <v>46.428571428571402</v>
      </c>
      <c r="V39" s="15">
        <v>52.631578947368403</v>
      </c>
      <c r="W39" s="15">
        <v>39.130434782608702</v>
      </c>
      <c r="X39" s="15">
        <v>29.729729729729701</v>
      </c>
      <c r="Y39" s="15">
        <v>32.575757575757599</v>
      </c>
      <c r="Z39" s="15">
        <v>34.482758620689701</v>
      </c>
      <c r="AA39" s="15">
        <v>41.304347826087003</v>
      </c>
      <c r="AB39" s="20" t="s">
        <v>80</v>
      </c>
      <c r="AC39" s="15">
        <v>38.095238095238102</v>
      </c>
      <c r="AD39" s="15">
        <v>28.260869565217401</v>
      </c>
      <c r="AE39" s="15">
        <v>30.303030303030301</v>
      </c>
      <c r="AF39" s="15">
        <v>38.636363636363598</v>
      </c>
      <c r="AG39" s="15">
        <v>60</v>
      </c>
      <c r="AH39" s="15">
        <v>27.9569892473118</v>
      </c>
      <c r="AI39" s="15">
        <v>39.285714285714299</v>
      </c>
      <c r="AJ39" s="32">
        <v>30.6590533017269</v>
      </c>
      <c r="AK39" s="15">
        <v>23.816568047337299</v>
      </c>
      <c r="AL39" s="15">
        <v>31.808278867102398</v>
      </c>
      <c r="AM39" s="15">
        <v>29.292929292929301</v>
      </c>
      <c r="AN39" s="15">
        <v>40.145985401459903</v>
      </c>
      <c r="AO39" s="15">
        <v>33.832335329341298</v>
      </c>
      <c r="AP39" s="15">
        <v>34.328358208955201</v>
      </c>
      <c r="AQ39" s="15">
        <v>27.9411764705882</v>
      </c>
      <c r="AR39" s="24">
        <v>40.909090909090899</v>
      </c>
      <c r="AS39" s="38"/>
    </row>
    <row r="40" spans="1:45">
      <c r="A40" s="9" t="s">
        <v>198</v>
      </c>
      <c r="B40" s="36">
        <v>19.109923258119501</v>
      </c>
      <c r="C40" s="32">
        <v>18.784516550205201</v>
      </c>
      <c r="D40" s="32">
        <v>19.882953716285801</v>
      </c>
      <c r="E40" s="32">
        <v>25.539699555395501</v>
      </c>
      <c r="F40" s="15">
        <v>45.098039215686299</v>
      </c>
      <c r="G40" s="20" t="s">
        <v>80</v>
      </c>
      <c r="H40" s="15">
        <v>22.905027932960898</v>
      </c>
      <c r="I40" s="15">
        <v>24.752475247524799</v>
      </c>
      <c r="J40" s="15">
        <v>30</v>
      </c>
      <c r="K40" s="15">
        <v>32.4324324324324</v>
      </c>
      <c r="L40" s="15">
        <v>18.691588785046701</v>
      </c>
      <c r="M40" s="15">
        <v>29.761904761904798</v>
      </c>
      <c r="N40" s="15">
        <v>25</v>
      </c>
      <c r="O40" s="15">
        <v>23.387096774193498</v>
      </c>
      <c r="P40" s="15">
        <v>34.710743801652903</v>
      </c>
      <c r="Q40" s="15">
        <v>38.235294117647101</v>
      </c>
      <c r="R40" s="15">
        <v>27.659574468085101</v>
      </c>
      <c r="S40" s="15">
        <v>13.0434782608696</v>
      </c>
      <c r="T40" s="15">
        <v>16.2790697674419</v>
      </c>
      <c r="U40" s="15">
        <v>28.571428571428601</v>
      </c>
      <c r="V40" s="15">
        <v>42.105263157894697</v>
      </c>
      <c r="W40" s="15">
        <v>19.565217391304301</v>
      </c>
      <c r="X40" s="15">
        <v>25.225225225225198</v>
      </c>
      <c r="Y40" s="15">
        <v>21.2121212121212</v>
      </c>
      <c r="Z40" s="20" t="s">
        <v>80</v>
      </c>
      <c r="AA40" s="15">
        <v>28.260869565217401</v>
      </c>
      <c r="AB40" s="20" t="s">
        <v>80</v>
      </c>
      <c r="AC40" s="15">
        <v>28.571428571428601</v>
      </c>
      <c r="AD40" s="15">
        <v>21.739130434782599</v>
      </c>
      <c r="AE40" s="15">
        <v>18.181818181818201</v>
      </c>
      <c r="AF40" s="15">
        <v>25</v>
      </c>
      <c r="AG40" s="20" t="s">
        <v>80</v>
      </c>
      <c r="AH40" s="15">
        <v>21.505376344085999</v>
      </c>
      <c r="AI40" s="15">
        <v>17.8571428571429</v>
      </c>
      <c r="AJ40" s="32">
        <v>14.9341118609729</v>
      </c>
      <c r="AK40" s="15">
        <v>12.2781065088757</v>
      </c>
      <c r="AL40" s="15">
        <v>16.122004357298501</v>
      </c>
      <c r="AM40" s="15">
        <v>19.191919191919201</v>
      </c>
      <c r="AN40" s="15">
        <v>20.437956204379599</v>
      </c>
      <c r="AO40" s="15">
        <v>19.161676646706599</v>
      </c>
      <c r="AP40" s="15">
        <v>16.844349680170598</v>
      </c>
      <c r="AQ40" s="15">
        <v>21.323529411764699</v>
      </c>
      <c r="AR40" s="24">
        <v>14.545454545454501</v>
      </c>
      <c r="AS40" s="38"/>
    </row>
    <row r="41" spans="1:45">
      <c r="A41" s="9" t="s">
        <v>199</v>
      </c>
      <c r="B41" s="36">
        <v>22.321807527942301</v>
      </c>
      <c r="C41" s="32">
        <v>23.361248092777501</v>
      </c>
      <c r="D41" s="32">
        <v>24.7256604314545</v>
      </c>
      <c r="E41" s="32">
        <v>28.364116086685399</v>
      </c>
      <c r="F41" s="15">
        <v>25.490196078431399</v>
      </c>
      <c r="G41" s="15">
        <v>36.363636363636402</v>
      </c>
      <c r="H41" s="15">
        <v>37.988826815642497</v>
      </c>
      <c r="I41" s="15">
        <v>30.693069306930699</v>
      </c>
      <c r="J41" s="15">
        <v>31.428571428571399</v>
      </c>
      <c r="K41" s="15">
        <v>21.6216216216216</v>
      </c>
      <c r="L41" s="15">
        <v>15.887850467289701</v>
      </c>
      <c r="M41" s="15">
        <v>38.095238095238102</v>
      </c>
      <c r="N41" s="15">
        <v>22.9166666666667</v>
      </c>
      <c r="O41" s="15">
        <v>25.806451612903199</v>
      </c>
      <c r="P41" s="15">
        <v>28.099173553719002</v>
      </c>
      <c r="Q41" s="15">
        <v>35.294117647058798</v>
      </c>
      <c r="R41" s="15">
        <v>29.787234042553202</v>
      </c>
      <c r="S41" s="15">
        <v>21.739130434782599</v>
      </c>
      <c r="T41" s="15">
        <v>32.558139534883701</v>
      </c>
      <c r="U41" s="15">
        <v>30.3571428571429</v>
      </c>
      <c r="V41" s="15">
        <v>34.210526315789501</v>
      </c>
      <c r="W41" s="15">
        <v>17.3913043478261</v>
      </c>
      <c r="X41" s="15">
        <v>26.126126126126099</v>
      </c>
      <c r="Y41" s="15">
        <v>22.727272727272702</v>
      </c>
      <c r="Z41" s="20" t="s">
        <v>80</v>
      </c>
      <c r="AA41" s="15">
        <v>19.565217391304301</v>
      </c>
      <c r="AB41" s="15">
        <v>22.727272727272702</v>
      </c>
      <c r="AC41" s="15">
        <v>26.1904761904762</v>
      </c>
      <c r="AD41" s="15">
        <v>26.086956521739101</v>
      </c>
      <c r="AE41" s="15">
        <v>15.1515151515152</v>
      </c>
      <c r="AF41" s="15">
        <v>40.909090909090899</v>
      </c>
      <c r="AG41" s="15">
        <v>40</v>
      </c>
      <c r="AH41" s="15">
        <v>16.129032258064498</v>
      </c>
      <c r="AI41" s="15">
        <v>21.428571428571399</v>
      </c>
      <c r="AJ41" s="32">
        <v>21.542533215305699</v>
      </c>
      <c r="AK41" s="15">
        <v>14.0532544378698</v>
      </c>
      <c r="AL41" s="15">
        <v>16.122004357298501</v>
      </c>
      <c r="AM41" s="15">
        <v>21.717171717171698</v>
      </c>
      <c r="AN41" s="15">
        <v>33.576642335766401</v>
      </c>
      <c r="AO41" s="15">
        <v>29.640718562874302</v>
      </c>
      <c r="AP41" s="15">
        <v>26.652452025586399</v>
      </c>
      <c r="AQ41" s="15">
        <v>21.323529411764699</v>
      </c>
      <c r="AR41" s="24">
        <v>28.7878787878788</v>
      </c>
      <c r="AS41" s="38"/>
    </row>
    <row r="42" spans="1:45">
      <c r="A42" s="9" t="s">
        <v>200</v>
      </c>
      <c r="B42" s="36">
        <v>11.439386042220599</v>
      </c>
      <c r="C42" s="32">
        <v>11.325044288168501</v>
      </c>
      <c r="D42" s="32">
        <v>14.433542995432401</v>
      </c>
      <c r="E42" s="32">
        <v>18.886146960789102</v>
      </c>
      <c r="F42" s="15">
        <v>17.647058823529399</v>
      </c>
      <c r="G42" s="20" t="s">
        <v>80</v>
      </c>
      <c r="H42" s="15">
        <v>21.787709497206698</v>
      </c>
      <c r="I42" s="15">
        <v>23.762376237623801</v>
      </c>
      <c r="J42" s="15">
        <v>22.8571428571429</v>
      </c>
      <c r="K42" s="15">
        <v>16.2162162162162</v>
      </c>
      <c r="L42" s="15">
        <v>16.822429906542101</v>
      </c>
      <c r="M42" s="15">
        <v>21.428571428571399</v>
      </c>
      <c r="N42" s="15">
        <v>18.75</v>
      </c>
      <c r="O42" s="15">
        <v>12.0967741935484</v>
      </c>
      <c r="P42" s="15">
        <v>19.834710743801701</v>
      </c>
      <c r="Q42" s="15">
        <v>26.470588235294102</v>
      </c>
      <c r="R42" s="15">
        <v>21.2765957446809</v>
      </c>
      <c r="S42" s="15">
        <v>19.565217391304301</v>
      </c>
      <c r="T42" s="15">
        <v>20.930232558139501</v>
      </c>
      <c r="U42" s="15">
        <v>28.571428571428601</v>
      </c>
      <c r="V42" s="15">
        <v>23.684210526315798</v>
      </c>
      <c r="W42" s="20" t="s">
        <v>80</v>
      </c>
      <c r="X42" s="15">
        <v>18.018018018018001</v>
      </c>
      <c r="Y42" s="15">
        <v>15.1515151515152</v>
      </c>
      <c r="Z42" s="15">
        <v>24.137931034482801</v>
      </c>
      <c r="AA42" s="15">
        <v>10.869565217391299</v>
      </c>
      <c r="AB42" s="20" t="s">
        <v>80</v>
      </c>
      <c r="AC42" s="15">
        <v>21.428571428571399</v>
      </c>
      <c r="AD42" s="15">
        <v>10.869565217391299</v>
      </c>
      <c r="AE42" s="20" t="s">
        <v>80</v>
      </c>
      <c r="AF42" s="15">
        <v>25</v>
      </c>
      <c r="AG42" s="20" t="s">
        <v>80</v>
      </c>
      <c r="AH42" s="15">
        <v>16.129032258064498</v>
      </c>
      <c r="AI42" s="15">
        <v>14.285714285714301</v>
      </c>
      <c r="AJ42" s="32">
        <v>10.538152695846801</v>
      </c>
      <c r="AK42" s="15">
        <v>9.0236686390532608</v>
      </c>
      <c r="AL42" s="15">
        <v>8.2788671023965108</v>
      </c>
      <c r="AM42" s="15">
        <v>16.161616161616202</v>
      </c>
      <c r="AN42" s="15">
        <v>20.437956204379599</v>
      </c>
      <c r="AO42" s="15">
        <v>12.275449101796401</v>
      </c>
      <c r="AP42" s="15">
        <v>7.0362473347548002</v>
      </c>
      <c r="AQ42" s="15">
        <v>17.647058823529399</v>
      </c>
      <c r="AR42" s="24">
        <v>14.8484848484848</v>
      </c>
      <c r="AS42" s="38"/>
    </row>
    <row r="43" spans="1:45">
      <c r="A43" s="9" t="s">
        <v>201</v>
      </c>
      <c r="B43" s="36">
        <v>21.495499806940298</v>
      </c>
      <c r="C43" s="32">
        <v>24.2023574079975</v>
      </c>
      <c r="D43" s="32">
        <v>26.253214974095801</v>
      </c>
      <c r="E43" s="32">
        <v>29.755793905846101</v>
      </c>
      <c r="F43" s="15">
        <v>21.568627450980401</v>
      </c>
      <c r="G43" s="15">
        <v>22.727272727272702</v>
      </c>
      <c r="H43" s="15">
        <v>35.195530726256997</v>
      </c>
      <c r="I43" s="15">
        <v>26.7326732673267</v>
      </c>
      <c r="J43" s="15">
        <v>31.428571428571399</v>
      </c>
      <c r="K43" s="15">
        <v>13.5135135135135</v>
      </c>
      <c r="L43" s="15">
        <v>29.906542056074802</v>
      </c>
      <c r="M43" s="15">
        <v>33.3333333333333</v>
      </c>
      <c r="N43" s="15">
        <v>30.5555555555556</v>
      </c>
      <c r="O43" s="15">
        <v>26.612903225806502</v>
      </c>
      <c r="P43" s="15">
        <v>34.710743801652903</v>
      </c>
      <c r="Q43" s="15">
        <v>47.058823529411796</v>
      </c>
      <c r="R43" s="15">
        <v>25.531914893617</v>
      </c>
      <c r="S43" s="15">
        <v>17.3913043478261</v>
      </c>
      <c r="T43" s="15">
        <v>25.581395348837201</v>
      </c>
      <c r="U43" s="15">
        <v>35.714285714285701</v>
      </c>
      <c r="V43" s="15">
        <v>39.473684210526301</v>
      </c>
      <c r="W43" s="15">
        <v>13.0434782608696</v>
      </c>
      <c r="X43" s="15">
        <v>29.729729729729701</v>
      </c>
      <c r="Y43" s="15">
        <v>17.424242424242401</v>
      </c>
      <c r="Z43" s="15">
        <v>41.379310344827601</v>
      </c>
      <c r="AA43" s="15">
        <v>39.130434782608702</v>
      </c>
      <c r="AB43" s="20" t="s">
        <v>80</v>
      </c>
      <c r="AC43" s="15">
        <v>33.3333333333333</v>
      </c>
      <c r="AD43" s="15">
        <v>26.086956521739101</v>
      </c>
      <c r="AE43" s="15">
        <v>30.303030303030301</v>
      </c>
      <c r="AF43" s="15">
        <v>36.363636363636402</v>
      </c>
      <c r="AG43" s="15">
        <v>40</v>
      </c>
      <c r="AH43" s="15">
        <v>34.408602150537597</v>
      </c>
      <c r="AI43" s="15">
        <v>28.571428571428601</v>
      </c>
      <c r="AJ43" s="32">
        <v>23.188960416441699</v>
      </c>
      <c r="AK43" s="15">
        <v>19.378698224852101</v>
      </c>
      <c r="AL43" s="15">
        <v>17.429193899782099</v>
      </c>
      <c r="AM43" s="15">
        <v>25.252525252525299</v>
      </c>
      <c r="AN43" s="15">
        <v>36.496350364963497</v>
      </c>
      <c r="AO43" s="15">
        <v>21.856287425149699</v>
      </c>
      <c r="AP43" s="15">
        <v>23.240938166311299</v>
      </c>
      <c r="AQ43" s="15">
        <v>29.411764705882401</v>
      </c>
      <c r="AR43" s="24">
        <v>39.090909090909101</v>
      </c>
      <c r="AS43" s="38"/>
    </row>
    <row r="44" spans="1:45">
      <c r="A44" s="9" t="s">
        <v>202</v>
      </c>
      <c r="B44" s="36">
        <v>36.960989177524603</v>
      </c>
      <c r="C44" s="32">
        <v>37.856600622986399</v>
      </c>
      <c r="D44" s="32">
        <v>39.778351433589499</v>
      </c>
      <c r="E44" s="32">
        <v>48.383073946789203</v>
      </c>
      <c r="F44" s="15">
        <v>47.058823529411796</v>
      </c>
      <c r="G44" s="15">
        <v>27.272727272727298</v>
      </c>
      <c r="H44" s="15">
        <v>48.603351955307303</v>
      </c>
      <c r="I44" s="15">
        <v>40.594059405940598</v>
      </c>
      <c r="J44" s="15">
        <v>58.571428571428598</v>
      </c>
      <c r="K44" s="15">
        <v>32.4324324324324</v>
      </c>
      <c r="L44" s="15">
        <v>48.598130841121502</v>
      </c>
      <c r="M44" s="15">
        <v>47.619047619047599</v>
      </c>
      <c r="N44" s="15">
        <v>59.7222222222222</v>
      </c>
      <c r="O44" s="15">
        <v>45.9677419354839</v>
      </c>
      <c r="P44" s="15">
        <v>50.413223140495901</v>
      </c>
      <c r="Q44" s="15">
        <v>52.941176470588204</v>
      </c>
      <c r="R44" s="15">
        <v>42.553191489361701</v>
      </c>
      <c r="S44" s="15">
        <v>41.304347826087003</v>
      </c>
      <c r="T44" s="15">
        <v>37.209302325581397</v>
      </c>
      <c r="U44" s="15">
        <v>50</v>
      </c>
      <c r="V44" s="15">
        <v>60.526315789473699</v>
      </c>
      <c r="W44" s="15">
        <v>41.304347826087003</v>
      </c>
      <c r="X44" s="15">
        <v>50.450450450450397</v>
      </c>
      <c r="Y44" s="15">
        <v>46.212121212121197</v>
      </c>
      <c r="Z44" s="15">
        <v>34.482758620689701</v>
      </c>
      <c r="AA44" s="15">
        <v>52.173913043478301</v>
      </c>
      <c r="AB44" s="20" t="s">
        <v>80</v>
      </c>
      <c r="AC44" s="15">
        <v>26.1904761904762</v>
      </c>
      <c r="AD44" s="15">
        <v>34.7826086956522</v>
      </c>
      <c r="AE44" s="15">
        <v>54.545454545454497</v>
      </c>
      <c r="AF44" s="15">
        <v>56.818181818181799</v>
      </c>
      <c r="AG44" s="15">
        <v>80</v>
      </c>
      <c r="AH44" s="15">
        <v>46.236559139784902</v>
      </c>
      <c r="AI44" s="15">
        <v>41.071428571428598</v>
      </c>
      <c r="AJ44" s="32">
        <v>32.250452507627301</v>
      </c>
      <c r="AK44" s="15">
        <v>27.071005917159798</v>
      </c>
      <c r="AL44" s="15">
        <v>28.758169934640499</v>
      </c>
      <c r="AM44" s="15">
        <v>32.323232323232297</v>
      </c>
      <c r="AN44" s="15">
        <v>45.255474452554701</v>
      </c>
      <c r="AO44" s="15">
        <v>36.227544910179603</v>
      </c>
      <c r="AP44" s="15">
        <v>29.424307036247299</v>
      </c>
      <c r="AQ44" s="15">
        <v>36.764705882352899</v>
      </c>
      <c r="AR44" s="24">
        <v>48.181818181818201</v>
      </c>
      <c r="AS44" s="38"/>
    </row>
    <row r="45" spans="1:45">
      <c r="A45" s="9" t="s">
        <v>203</v>
      </c>
      <c r="B45" s="36">
        <v>11.9713357810746</v>
      </c>
      <c r="C45" s="32">
        <v>12.0650803416504</v>
      </c>
      <c r="D45" s="32">
        <v>16.2014513818879</v>
      </c>
      <c r="E45" s="32">
        <v>20.8386716483353</v>
      </c>
      <c r="F45" s="15">
        <v>17.647058823529399</v>
      </c>
      <c r="G45" s="15">
        <v>27.272727272727298</v>
      </c>
      <c r="H45" s="15">
        <v>19.553072625698299</v>
      </c>
      <c r="I45" s="15">
        <v>18.8118811881188</v>
      </c>
      <c r="J45" s="15">
        <v>27.1428571428571</v>
      </c>
      <c r="K45" s="15">
        <v>16.2162162162162</v>
      </c>
      <c r="L45" s="15">
        <v>17.757009345794401</v>
      </c>
      <c r="M45" s="15">
        <v>15.476190476190499</v>
      </c>
      <c r="N45" s="15">
        <v>20.8333333333333</v>
      </c>
      <c r="O45" s="15">
        <v>11.290322580645199</v>
      </c>
      <c r="P45" s="15">
        <v>20.6611570247934</v>
      </c>
      <c r="Q45" s="15">
        <v>35.294117647058798</v>
      </c>
      <c r="R45" s="15">
        <v>17.021276595744698</v>
      </c>
      <c r="S45" s="15">
        <v>15.2173913043478</v>
      </c>
      <c r="T45" s="15">
        <v>20.930232558139501</v>
      </c>
      <c r="U45" s="15">
        <v>35.714285714285701</v>
      </c>
      <c r="V45" s="15">
        <v>36.842105263157897</v>
      </c>
      <c r="W45" s="15">
        <v>13.0434782608696</v>
      </c>
      <c r="X45" s="15">
        <v>24.324324324324301</v>
      </c>
      <c r="Y45" s="15">
        <v>18.939393939393899</v>
      </c>
      <c r="Z45" s="20" t="s">
        <v>80</v>
      </c>
      <c r="AA45" s="15">
        <v>23.913043478260899</v>
      </c>
      <c r="AB45" s="20" t="s">
        <v>80</v>
      </c>
      <c r="AC45" s="15">
        <v>33.3333333333333</v>
      </c>
      <c r="AD45" s="20" t="s">
        <v>80</v>
      </c>
      <c r="AE45" s="20" t="s">
        <v>80</v>
      </c>
      <c r="AF45" s="15">
        <v>31.818181818181799</v>
      </c>
      <c r="AG45" s="20" t="s">
        <v>80</v>
      </c>
      <c r="AH45" s="15">
        <v>16.129032258064498</v>
      </c>
      <c r="AI45" s="15">
        <v>12.5</v>
      </c>
      <c r="AJ45" s="32">
        <v>12.144548279005701</v>
      </c>
      <c r="AK45" s="15">
        <v>10.0591715976331</v>
      </c>
      <c r="AL45" s="15">
        <v>11.982570806100201</v>
      </c>
      <c r="AM45" s="15">
        <v>13.636363636363599</v>
      </c>
      <c r="AN45" s="15">
        <v>24.817518248175201</v>
      </c>
      <c r="AO45" s="15">
        <v>14.0718562874252</v>
      </c>
      <c r="AP45" s="15">
        <v>11.087420042643901</v>
      </c>
      <c r="AQ45" s="15">
        <v>19.852941176470601</v>
      </c>
      <c r="AR45" s="24">
        <v>13.636363636363599</v>
      </c>
      <c r="AS45" s="38"/>
    </row>
    <row r="46" spans="1:45">
      <c r="A46" s="9" t="s">
        <v>204</v>
      </c>
      <c r="B46" s="36">
        <v>23.372055116721601</v>
      </c>
      <c r="C46" s="32">
        <v>23.6097667571666</v>
      </c>
      <c r="D46" s="32">
        <v>25.9429405596279</v>
      </c>
      <c r="E46" s="32">
        <v>32.653014497779203</v>
      </c>
      <c r="F46" s="15">
        <v>25.490196078431399</v>
      </c>
      <c r="G46" s="20" t="s">
        <v>80</v>
      </c>
      <c r="H46" s="15">
        <v>33.519553072625698</v>
      </c>
      <c r="I46" s="15">
        <v>28.712871287128699</v>
      </c>
      <c r="J46" s="15">
        <v>35.714285714285701</v>
      </c>
      <c r="K46" s="15">
        <v>29.729729729729701</v>
      </c>
      <c r="L46" s="15">
        <v>35.514018691588802</v>
      </c>
      <c r="M46" s="15">
        <v>30.952380952380999</v>
      </c>
      <c r="N46" s="15">
        <v>29.1666666666667</v>
      </c>
      <c r="O46" s="15">
        <v>30.645161290322601</v>
      </c>
      <c r="P46" s="15">
        <v>36.363636363636402</v>
      </c>
      <c r="Q46" s="15">
        <v>38.235294117647101</v>
      </c>
      <c r="R46" s="15">
        <v>27.659574468085101</v>
      </c>
      <c r="S46" s="15">
        <v>26.086956521739101</v>
      </c>
      <c r="T46" s="15">
        <v>32.558139534883701</v>
      </c>
      <c r="U46" s="15">
        <v>39.285714285714299</v>
      </c>
      <c r="V46" s="15">
        <v>52.631578947368403</v>
      </c>
      <c r="W46" s="15">
        <v>21.739130434782599</v>
      </c>
      <c r="X46" s="15">
        <v>37.837837837837803</v>
      </c>
      <c r="Y46" s="15">
        <v>25.7575757575758</v>
      </c>
      <c r="Z46" s="15">
        <v>24.137931034482801</v>
      </c>
      <c r="AA46" s="15">
        <v>34.7826086956522</v>
      </c>
      <c r="AB46" s="20" t="s">
        <v>80</v>
      </c>
      <c r="AC46" s="15">
        <v>38.095238095238102</v>
      </c>
      <c r="AD46" s="15">
        <v>28.260869565217401</v>
      </c>
      <c r="AE46" s="15">
        <v>27.272727272727298</v>
      </c>
      <c r="AF46" s="15">
        <v>36.363636363636402</v>
      </c>
      <c r="AG46" s="15">
        <v>40</v>
      </c>
      <c r="AH46" s="15">
        <v>26.881720430107499</v>
      </c>
      <c r="AI46" s="15">
        <v>23.214285714285701</v>
      </c>
      <c r="AJ46" s="32">
        <v>20.0725875860544</v>
      </c>
      <c r="AK46" s="15">
        <v>19.082840236686401</v>
      </c>
      <c r="AL46" s="15">
        <v>15.904139433551199</v>
      </c>
      <c r="AM46" s="15">
        <v>23.737373737373701</v>
      </c>
      <c r="AN46" s="15">
        <v>32.846715328467099</v>
      </c>
      <c r="AO46" s="15">
        <v>21.856287425149699</v>
      </c>
      <c r="AP46" s="15">
        <v>20.682302771854999</v>
      </c>
      <c r="AQ46" s="15">
        <v>30.147058823529399</v>
      </c>
      <c r="AR46" s="24">
        <v>22.1212121212121</v>
      </c>
      <c r="AS46" s="38"/>
    </row>
    <row r="47" spans="1:45">
      <c r="A47" s="9" t="s">
        <v>205</v>
      </c>
      <c r="B47" s="36">
        <v>20.858055729713801</v>
      </c>
      <c r="C47" s="32">
        <v>21.127006742747199</v>
      </c>
      <c r="D47" s="32">
        <v>21.805144204054599</v>
      </c>
      <c r="E47" s="32">
        <v>24.416508545405499</v>
      </c>
      <c r="F47" s="15">
        <v>33.3333333333333</v>
      </c>
      <c r="G47" s="20" t="s">
        <v>80</v>
      </c>
      <c r="H47" s="15">
        <v>25.698324022346402</v>
      </c>
      <c r="I47" s="15">
        <v>23.762376237623801</v>
      </c>
      <c r="J47" s="15">
        <v>20</v>
      </c>
      <c r="K47" s="15">
        <v>18.918918918918902</v>
      </c>
      <c r="L47" s="15">
        <v>15.887850467289701</v>
      </c>
      <c r="M47" s="15">
        <v>22.619047619047599</v>
      </c>
      <c r="N47" s="15">
        <v>21.5277777777778</v>
      </c>
      <c r="O47" s="15">
        <v>20.161290322580601</v>
      </c>
      <c r="P47" s="15">
        <v>33.057851239669397</v>
      </c>
      <c r="Q47" s="15">
        <v>41.176470588235297</v>
      </c>
      <c r="R47" s="15">
        <v>23.404255319148898</v>
      </c>
      <c r="S47" s="15">
        <v>19.565217391304301</v>
      </c>
      <c r="T47" s="15">
        <v>37.209302325581397</v>
      </c>
      <c r="U47" s="15">
        <v>17.8571428571429</v>
      </c>
      <c r="V47" s="15">
        <v>34.210526315789501</v>
      </c>
      <c r="W47" s="15">
        <v>17.3913043478261</v>
      </c>
      <c r="X47" s="15">
        <v>21.6216216216216</v>
      </c>
      <c r="Y47" s="15">
        <v>23.484848484848499</v>
      </c>
      <c r="Z47" s="15">
        <v>20.689655172413801</v>
      </c>
      <c r="AA47" s="15">
        <v>30.434782608695699</v>
      </c>
      <c r="AB47" s="20" t="s">
        <v>80</v>
      </c>
      <c r="AC47" s="15">
        <v>23.8095238095238</v>
      </c>
      <c r="AD47" s="15">
        <v>32.6086956521739</v>
      </c>
      <c r="AE47" s="15">
        <v>15.1515151515152</v>
      </c>
      <c r="AF47" s="15">
        <v>31.818181818181799</v>
      </c>
      <c r="AG47" s="15">
        <v>46.6666666666667</v>
      </c>
      <c r="AH47" s="15">
        <v>19.354838709677399</v>
      </c>
      <c r="AI47" s="15">
        <v>21.428571428571399</v>
      </c>
      <c r="AJ47" s="32">
        <v>19.520574679541099</v>
      </c>
      <c r="AK47" s="15">
        <v>17.4556213017751</v>
      </c>
      <c r="AL47" s="15">
        <v>12.4183006535948</v>
      </c>
      <c r="AM47" s="15">
        <v>15.6565656565657</v>
      </c>
      <c r="AN47" s="15">
        <v>31.3868613138686</v>
      </c>
      <c r="AO47" s="15">
        <v>23.652694610778401</v>
      </c>
      <c r="AP47" s="15">
        <v>19.402985074626901</v>
      </c>
      <c r="AQ47" s="15">
        <v>30.882352941176499</v>
      </c>
      <c r="AR47" s="24">
        <v>25.151515151515198</v>
      </c>
      <c r="AS47" s="38"/>
    </row>
    <row r="48" spans="1:45">
      <c r="A48" s="9" t="s">
        <v>206</v>
      </c>
      <c r="B48" s="36">
        <v>12.5778288117999</v>
      </c>
      <c r="C48" s="32">
        <v>12.0135309339417</v>
      </c>
      <c r="D48" s="32">
        <v>13.213404188017</v>
      </c>
      <c r="E48" s="32">
        <v>14.630731612880201</v>
      </c>
      <c r="F48" s="15">
        <v>11.764705882352899</v>
      </c>
      <c r="G48" s="20" t="s">
        <v>80</v>
      </c>
      <c r="H48" s="15">
        <v>18.994413407821199</v>
      </c>
      <c r="I48" s="15">
        <v>16.8316831683168</v>
      </c>
      <c r="J48" s="15">
        <v>8.5714285714285694</v>
      </c>
      <c r="K48" s="20" t="s">
        <v>80</v>
      </c>
      <c r="L48" s="15">
        <v>21.495327102803699</v>
      </c>
      <c r="M48" s="15">
        <v>13.0952380952381</v>
      </c>
      <c r="N48" s="15">
        <v>18.0555555555556</v>
      </c>
      <c r="O48" s="15">
        <v>10.4838709677419</v>
      </c>
      <c r="P48" s="15">
        <v>18.181818181818201</v>
      </c>
      <c r="Q48" s="15">
        <v>17.647058823529399</v>
      </c>
      <c r="R48" s="15">
        <v>17.021276595744698</v>
      </c>
      <c r="S48" s="20" t="s">
        <v>80</v>
      </c>
      <c r="T48" s="15">
        <v>11.6279069767442</v>
      </c>
      <c r="U48" s="15">
        <v>17.8571428571429</v>
      </c>
      <c r="V48" s="15">
        <v>23.684210526315798</v>
      </c>
      <c r="W48" s="20" t="s">
        <v>80</v>
      </c>
      <c r="X48" s="15">
        <v>7.20720720720721</v>
      </c>
      <c r="Y48" s="15">
        <v>14.3939393939394</v>
      </c>
      <c r="Z48" s="20" t="s">
        <v>80</v>
      </c>
      <c r="AA48" s="20" t="s">
        <v>80</v>
      </c>
      <c r="AB48" s="20" t="s">
        <v>80</v>
      </c>
      <c r="AC48" s="15">
        <v>14.285714285714301</v>
      </c>
      <c r="AD48" s="20" t="s">
        <v>80</v>
      </c>
      <c r="AE48" s="20" t="s">
        <v>80</v>
      </c>
      <c r="AF48" s="15">
        <v>18.181818181818201</v>
      </c>
      <c r="AG48" s="20" t="s">
        <v>80</v>
      </c>
      <c r="AH48" s="15">
        <v>15.0537634408602</v>
      </c>
      <c r="AI48" s="15">
        <v>12.5</v>
      </c>
      <c r="AJ48" s="32">
        <v>11.973445829918001</v>
      </c>
      <c r="AK48" s="15">
        <v>8.7278106508875695</v>
      </c>
      <c r="AL48" s="15">
        <v>7.18954248366013</v>
      </c>
      <c r="AM48" s="15">
        <v>11.1111111111111</v>
      </c>
      <c r="AN48" s="15">
        <v>15.3284671532847</v>
      </c>
      <c r="AO48" s="15">
        <v>11.0778443113772</v>
      </c>
      <c r="AP48" s="15">
        <v>15.565031982942401</v>
      </c>
      <c r="AQ48" s="15">
        <v>13.235294117647101</v>
      </c>
      <c r="AR48" s="24">
        <v>13.9393939393939</v>
      </c>
      <c r="AS48" s="38"/>
    </row>
    <row r="49" spans="1:45">
      <c r="A49" s="9" t="s">
        <v>207</v>
      </c>
      <c r="B49" s="36">
        <v>25.520505170376001</v>
      </c>
      <c r="C49" s="32">
        <v>29.8071499020582</v>
      </c>
      <c r="D49" s="32">
        <v>34.569655003886503</v>
      </c>
      <c r="E49" s="32">
        <v>37.996813515963296</v>
      </c>
      <c r="F49" s="15">
        <v>39.2156862745098</v>
      </c>
      <c r="G49" s="15">
        <v>31.818181818181799</v>
      </c>
      <c r="H49" s="15">
        <v>59.217877094972103</v>
      </c>
      <c r="I49" s="15">
        <v>34.653465346534702</v>
      </c>
      <c r="J49" s="15">
        <v>35.714285714285701</v>
      </c>
      <c r="K49" s="15">
        <v>37.837837837837803</v>
      </c>
      <c r="L49" s="15">
        <v>42.990654205607498</v>
      </c>
      <c r="M49" s="15">
        <v>30.952380952380999</v>
      </c>
      <c r="N49" s="15">
        <v>29.1666666666667</v>
      </c>
      <c r="O49" s="15">
        <v>38.709677419354797</v>
      </c>
      <c r="P49" s="15">
        <v>42.9752066115703</v>
      </c>
      <c r="Q49" s="15">
        <v>50</v>
      </c>
      <c r="R49" s="15">
        <v>38.297872340425499</v>
      </c>
      <c r="S49" s="15">
        <v>28.260869565217401</v>
      </c>
      <c r="T49" s="15">
        <v>32.558139534883701</v>
      </c>
      <c r="U49" s="15">
        <v>42.857142857142897</v>
      </c>
      <c r="V49" s="15">
        <v>47.368421052631597</v>
      </c>
      <c r="W49" s="15">
        <v>26.086956521739101</v>
      </c>
      <c r="X49" s="15">
        <v>27.9279279279279</v>
      </c>
      <c r="Y49" s="15">
        <v>26.515151515151501</v>
      </c>
      <c r="Z49" s="15">
        <v>27.586206896551701</v>
      </c>
      <c r="AA49" s="15">
        <v>52.173913043478301</v>
      </c>
      <c r="AB49" s="15">
        <v>22.727272727272702</v>
      </c>
      <c r="AC49" s="15">
        <v>50</v>
      </c>
      <c r="AD49" s="15">
        <v>56.521739130434803</v>
      </c>
      <c r="AE49" s="15">
        <v>27.272727272727298</v>
      </c>
      <c r="AF49" s="15">
        <v>45.454545454545503</v>
      </c>
      <c r="AG49" s="15">
        <v>46.6666666666667</v>
      </c>
      <c r="AH49" s="15">
        <v>34.408602150537597</v>
      </c>
      <c r="AI49" s="15">
        <v>26.785714285714299</v>
      </c>
      <c r="AJ49" s="32">
        <v>31.571382503804202</v>
      </c>
      <c r="AK49" s="15">
        <v>28.1065088757396</v>
      </c>
      <c r="AL49" s="15">
        <v>27.4509803921569</v>
      </c>
      <c r="AM49" s="15">
        <v>24.747474747474701</v>
      </c>
      <c r="AN49" s="15">
        <v>48.9051094890511</v>
      </c>
      <c r="AO49" s="15">
        <v>32.035928143712603</v>
      </c>
      <c r="AP49" s="15">
        <v>27.2921108742004</v>
      </c>
      <c r="AQ49" s="15">
        <v>43.382352941176499</v>
      </c>
      <c r="AR49" s="24">
        <v>36.363636363636402</v>
      </c>
      <c r="AS49" s="38"/>
    </row>
    <row r="50" spans="1:45">
      <c r="A50" s="9" t="s">
        <v>208</v>
      </c>
      <c r="B50" s="36">
        <v>48.440299269119002</v>
      </c>
      <c r="C50" s="32">
        <v>47.8789201849143</v>
      </c>
      <c r="D50" s="32">
        <v>49.293668497873099</v>
      </c>
      <c r="E50" s="32">
        <v>62.696539131573701</v>
      </c>
      <c r="F50" s="15">
        <v>76.470588235294102</v>
      </c>
      <c r="G50" s="15">
        <v>31.818181818181799</v>
      </c>
      <c r="H50" s="15">
        <v>64.804469273742995</v>
      </c>
      <c r="I50" s="15">
        <v>55.445544554455402</v>
      </c>
      <c r="J50" s="15">
        <v>68.571428571428598</v>
      </c>
      <c r="K50" s="15">
        <v>64.864864864864899</v>
      </c>
      <c r="L50" s="15">
        <v>66.355140186915904</v>
      </c>
      <c r="M50" s="15">
        <v>53.571428571428598</v>
      </c>
      <c r="N50" s="15">
        <v>65.9722222222222</v>
      </c>
      <c r="O50" s="15">
        <v>53.225806451612897</v>
      </c>
      <c r="P50" s="15">
        <v>57.851239669421503</v>
      </c>
      <c r="Q50" s="15">
        <v>70.588235294117595</v>
      </c>
      <c r="R50" s="15">
        <v>48.936170212766001</v>
      </c>
      <c r="S50" s="15">
        <v>65.2173913043478</v>
      </c>
      <c r="T50" s="15">
        <v>62.790697674418603</v>
      </c>
      <c r="U50" s="15">
        <v>64.285714285714306</v>
      </c>
      <c r="V50" s="15">
        <v>81.578947368421098</v>
      </c>
      <c r="W50" s="15">
        <v>58.695652173912997</v>
      </c>
      <c r="X50" s="15">
        <v>63.063063063063098</v>
      </c>
      <c r="Y50" s="15">
        <v>51.515151515151501</v>
      </c>
      <c r="Z50" s="15">
        <v>62.068965517241402</v>
      </c>
      <c r="AA50" s="15">
        <v>67.391304347826093</v>
      </c>
      <c r="AB50" s="15">
        <v>27.272727272727298</v>
      </c>
      <c r="AC50" s="15">
        <v>61.904761904761898</v>
      </c>
      <c r="AD50" s="15">
        <v>52.173913043478301</v>
      </c>
      <c r="AE50" s="15">
        <v>66.6666666666667</v>
      </c>
      <c r="AF50" s="15">
        <v>77.272727272727295</v>
      </c>
      <c r="AG50" s="15">
        <v>80</v>
      </c>
      <c r="AH50" s="15">
        <v>61.290322580645203</v>
      </c>
      <c r="AI50" s="15">
        <v>60.714285714285701</v>
      </c>
      <c r="AJ50" s="32">
        <v>37.568077661739601</v>
      </c>
      <c r="AK50" s="15">
        <v>31.6568047337278</v>
      </c>
      <c r="AL50" s="15">
        <v>36.601307189542503</v>
      </c>
      <c r="AM50" s="15">
        <v>43.434343434343397</v>
      </c>
      <c r="AN50" s="15">
        <v>41.605839416058402</v>
      </c>
      <c r="AO50" s="15">
        <v>38.922155688622802</v>
      </c>
      <c r="AP50" s="15">
        <v>38.805970149253703</v>
      </c>
      <c r="AQ50" s="15">
        <v>50</v>
      </c>
      <c r="AR50" s="24">
        <v>50.606060606060602</v>
      </c>
      <c r="AS50" s="38"/>
    </row>
    <row r="51" spans="1:45">
      <c r="A51" s="9" t="s">
        <v>209</v>
      </c>
      <c r="B51" s="36">
        <v>32.186628592877398</v>
      </c>
      <c r="C51" s="32">
        <v>32.382723918595602</v>
      </c>
      <c r="D51" s="32">
        <v>31.4602099754931</v>
      </c>
      <c r="E51" s="32">
        <v>36.293538605958297</v>
      </c>
      <c r="F51" s="15">
        <v>47.058823529411796</v>
      </c>
      <c r="G51" s="20" t="s">
        <v>80</v>
      </c>
      <c r="H51" s="15">
        <v>31.843575418994401</v>
      </c>
      <c r="I51" s="15">
        <v>27.722772277227701</v>
      </c>
      <c r="J51" s="15">
        <v>37.142857142857103</v>
      </c>
      <c r="K51" s="15">
        <v>18.918918918918902</v>
      </c>
      <c r="L51" s="15">
        <v>33.644859813084103</v>
      </c>
      <c r="M51" s="15">
        <v>42.857142857142897</v>
      </c>
      <c r="N51" s="15">
        <v>35.4166666666667</v>
      </c>
      <c r="O51" s="15">
        <v>38.709677419354797</v>
      </c>
      <c r="P51" s="15">
        <v>39.669421487603302</v>
      </c>
      <c r="Q51" s="15">
        <v>44.117647058823501</v>
      </c>
      <c r="R51" s="15">
        <v>29.787234042553202</v>
      </c>
      <c r="S51" s="15">
        <v>19.565217391304301</v>
      </c>
      <c r="T51" s="15">
        <v>44.1860465116279</v>
      </c>
      <c r="U51" s="15">
        <v>41.071428571428598</v>
      </c>
      <c r="V51" s="15">
        <v>50</v>
      </c>
      <c r="W51" s="15">
        <v>34.7826086956522</v>
      </c>
      <c r="X51" s="15">
        <v>34.234234234234201</v>
      </c>
      <c r="Y51" s="15">
        <v>27.272727272727298</v>
      </c>
      <c r="Z51" s="20" t="s">
        <v>80</v>
      </c>
      <c r="AA51" s="15">
        <v>32.6086956521739</v>
      </c>
      <c r="AB51" s="20" t="s">
        <v>80</v>
      </c>
      <c r="AC51" s="15">
        <v>45.238095238095198</v>
      </c>
      <c r="AD51" s="15">
        <v>34.7826086956522</v>
      </c>
      <c r="AE51" s="15">
        <v>21.2121212121212</v>
      </c>
      <c r="AF51" s="15">
        <v>40.909090909090899</v>
      </c>
      <c r="AG51" s="15">
        <v>33.3333333333333</v>
      </c>
      <c r="AH51" s="15">
        <v>31.1827956989247</v>
      </c>
      <c r="AI51" s="15">
        <v>37.5</v>
      </c>
      <c r="AJ51" s="32">
        <v>27.231740161354701</v>
      </c>
      <c r="AK51" s="15">
        <v>22.041420118343201</v>
      </c>
      <c r="AL51" s="15">
        <v>22.2222222222222</v>
      </c>
      <c r="AM51" s="15">
        <v>26.262626262626299</v>
      </c>
      <c r="AN51" s="15">
        <v>47.445255474452601</v>
      </c>
      <c r="AO51" s="15">
        <v>31.736526946107801</v>
      </c>
      <c r="AP51" s="15">
        <v>28.571428571428601</v>
      </c>
      <c r="AQ51" s="15">
        <v>32.352941176470601</v>
      </c>
      <c r="AR51" s="24">
        <v>34.2424242424242</v>
      </c>
      <c r="AS51" s="38"/>
    </row>
    <row r="52" spans="1:45">
      <c r="A52" s="9" t="s">
        <v>210</v>
      </c>
      <c r="B52" s="36">
        <v>27.210214309519301</v>
      </c>
      <c r="C52" s="32">
        <v>26.8221782238648</v>
      </c>
      <c r="D52" s="32">
        <v>28.6717763913793</v>
      </c>
      <c r="E52" s="32">
        <v>31.562851121697101</v>
      </c>
      <c r="F52" s="15">
        <v>27.4509803921569</v>
      </c>
      <c r="G52" s="20" t="s">
        <v>80</v>
      </c>
      <c r="H52" s="15">
        <v>32.960893854748598</v>
      </c>
      <c r="I52" s="15">
        <v>28.712871287128699</v>
      </c>
      <c r="J52" s="15">
        <v>25.714285714285701</v>
      </c>
      <c r="K52" s="15">
        <v>21.6216216216216</v>
      </c>
      <c r="L52" s="15">
        <v>30.841121495327101</v>
      </c>
      <c r="M52" s="15">
        <v>35.714285714285701</v>
      </c>
      <c r="N52" s="15">
        <v>28.4722222222222</v>
      </c>
      <c r="O52" s="15">
        <v>29.0322580645161</v>
      </c>
      <c r="P52" s="15">
        <v>38.016528925619802</v>
      </c>
      <c r="Q52" s="15">
        <v>44.117647058823501</v>
      </c>
      <c r="R52" s="15">
        <v>19.148936170212799</v>
      </c>
      <c r="S52" s="15">
        <v>21.739130434782599</v>
      </c>
      <c r="T52" s="15">
        <v>46.511627906976699</v>
      </c>
      <c r="U52" s="15">
        <v>42.857142857142897</v>
      </c>
      <c r="V52" s="15">
        <v>47.368421052631597</v>
      </c>
      <c r="W52" s="15">
        <v>19.565217391304301</v>
      </c>
      <c r="X52" s="15">
        <v>20.720720720720699</v>
      </c>
      <c r="Y52" s="15">
        <v>31.818181818181799</v>
      </c>
      <c r="Z52" s="15">
        <v>24.137931034482801</v>
      </c>
      <c r="AA52" s="15">
        <v>32.6086956521739</v>
      </c>
      <c r="AB52" s="15">
        <v>22.727272727272702</v>
      </c>
      <c r="AC52" s="15">
        <v>23.8095238095238</v>
      </c>
      <c r="AD52" s="15">
        <v>30.434782608695699</v>
      </c>
      <c r="AE52" s="15">
        <v>27.272727272727298</v>
      </c>
      <c r="AF52" s="15">
        <v>31.818181818181799</v>
      </c>
      <c r="AG52" s="20" t="s">
        <v>80</v>
      </c>
      <c r="AH52" s="15">
        <v>25.806451612903199</v>
      </c>
      <c r="AI52" s="15">
        <v>26.785714285714299</v>
      </c>
      <c r="AJ52" s="32">
        <v>26.142500366051301</v>
      </c>
      <c r="AK52" s="15">
        <v>27.366863905325399</v>
      </c>
      <c r="AL52" s="15">
        <v>26.361655773420502</v>
      </c>
      <c r="AM52" s="15">
        <v>22.727272727272702</v>
      </c>
      <c r="AN52" s="15">
        <v>37.2262773722628</v>
      </c>
      <c r="AO52" s="15">
        <v>28.443113772455099</v>
      </c>
      <c r="AP52" s="15">
        <v>24.3070362473348</v>
      </c>
      <c r="AQ52" s="15">
        <v>31.617647058823501</v>
      </c>
      <c r="AR52" s="24">
        <v>33.636363636363598</v>
      </c>
      <c r="AS52" s="38"/>
    </row>
    <row r="53" spans="1:45">
      <c r="A53" s="9" t="s">
        <v>211</v>
      </c>
      <c r="B53" s="36">
        <v>37.786350904544499</v>
      </c>
      <c r="C53" s="32">
        <v>38.111072715052202</v>
      </c>
      <c r="D53" s="32">
        <v>39.033572289690902</v>
      </c>
      <c r="E53" s="32">
        <v>41.667671840998601</v>
      </c>
      <c r="F53" s="15">
        <v>37.254901960784302</v>
      </c>
      <c r="G53" s="15">
        <v>27.272727272727298</v>
      </c>
      <c r="H53" s="15">
        <v>42.458100558659197</v>
      </c>
      <c r="I53" s="15">
        <v>32.673267326732699</v>
      </c>
      <c r="J53" s="15">
        <v>47.142857142857103</v>
      </c>
      <c r="K53" s="15">
        <v>27.027027027027</v>
      </c>
      <c r="L53" s="15">
        <v>42.056074766355103</v>
      </c>
      <c r="M53" s="15">
        <v>54.761904761904802</v>
      </c>
      <c r="N53" s="15">
        <v>41.6666666666667</v>
      </c>
      <c r="O53" s="15">
        <v>33.064516129032299</v>
      </c>
      <c r="P53" s="15">
        <v>42.9752066115703</v>
      </c>
      <c r="Q53" s="15">
        <v>67.647058823529406</v>
      </c>
      <c r="R53" s="15">
        <v>53.191489361702097</v>
      </c>
      <c r="S53" s="15">
        <v>28.260869565217401</v>
      </c>
      <c r="T53" s="15">
        <v>32.558139534883701</v>
      </c>
      <c r="U53" s="15">
        <v>44.642857142857103</v>
      </c>
      <c r="V53" s="15">
        <v>44.7368421052632</v>
      </c>
      <c r="W53" s="15">
        <v>23.913043478260899</v>
      </c>
      <c r="X53" s="15">
        <v>40.540540540540498</v>
      </c>
      <c r="Y53" s="15">
        <v>33.3333333333333</v>
      </c>
      <c r="Z53" s="15">
        <v>58.620689655172399</v>
      </c>
      <c r="AA53" s="15">
        <v>26.086956521739101</v>
      </c>
      <c r="AB53" s="15">
        <v>31.818181818181799</v>
      </c>
      <c r="AC53" s="15">
        <v>47.619047619047599</v>
      </c>
      <c r="AD53" s="15">
        <v>39.130434782608702</v>
      </c>
      <c r="AE53" s="15">
        <v>51.515151515151501</v>
      </c>
      <c r="AF53" s="15">
        <v>40.909090909090899</v>
      </c>
      <c r="AG53" s="15">
        <v>86.6666666666667</v>
      </c>
      <c r="AH53" s="15">
        <v>37.634408602150501</v>
      </c>
      <c r="AI53" s="15">
        <v>33.928571428571402</v>
      </c>
      <c r="AJ53" s="32">
        <v>36.729112714992503</v>
      </c>
      <c r="AK53" s="15">
        <v>28.2544378698225</v>
      </c>
      <c r="AL53" s="15">
        <v>25.925925925925899</v>
      </c>
      <c r="AM53" s="15">
        <v>34.848484848484901</v>
      </c>
      <c r="AN53" s="15">
        <v>57.664233576642303</v>
      </c>
      <c r="AO53" s="15">
        <v>39.221556886227503</v>
      </c>
      <c r="AP53" s="15">
        <v>34.115138592750498</v>
      </c>
      <c r="AQ53" s="15">
        <v>49.264705882352899</v>
      </c>
      <c r="AR53" s="24">
        <v>50.303030303030297</v>
      </c>
      <c r="AS53" s="38"/>
    </row>
    <row r="54" spans="1:45">
      <c r="A54" s="9" t="s">
        <v>212</v>
      </c>
      <c r="B54" s="36">
        <v>40.428610396401503</v>
      </c>
      <c r="C54" s="32">
        <v>39.213249897089497</v>
      </c>
      <c r="D54" s="32">
        <v>40.239805288525403</v>
      </c>
      <c r="E54" s="32">
        <v>52.689153780119703</v>
      </c>
      <c r="F54" s="15">
        <v>70.588235294117695</v>
      </c>
      <c r="G54" s="15">
        <v>54.545454545454497</v>
      </c>
      <c r="H54" s="15">
        <v>48.044692737430204</v>
      </c>
      <c r="I54" s="15">
        <v>43.564356435643603</v>
      </c>
      <c r="J54" s="15">
        <v>58.571428571428598</v>
      </c>
      <c r="K54" s="15">
        <v>45.945945945945901</v>
      </c>
      <c r="L54" s="15">
        <v>42.056074766355103</v>
      </c>
      <c r="M54" s="15">
        <v>52.380952380952401</v>
      </c>
      <c r="N54" s="15">
        <v>62.5</v>
      </c>
      <c r="O54" s="15">
        <v>45.9677419354839</v>
      </c>
      <c r="P54" s="15">
        <v>56.198347107438003</v>
      </c>
      <c r="Q54" s="15">
        <v>64.705882352941202</v>
      </c>
      <c r="R54" s="15">
        <v>63.829787234042598</v>
      </c>
      <c r="S54" s="15">
        <v>58.695652173912997</v>
      </c>
      <c r="T54" s="15">
        <v>58.139534883720899</v>
      </c>
      <c r="U54" s="15">
        <v>42.857142857142897</v>
      </c>
      <c r="V54" s="15">
        <v>55.2631578947368</v>
      </c>
      <c r="W54" s="15">
        <v>52.173913043478301</v>
      </c>
      <c r="X54" s="15">
        <v>44.1441441441441</v>
      </c>
      <c r="Y54" s="15">
        <v>43.939393939393902</v>
      </c>
      <c r="Z54" s="15">
        <v>51.724137931034498</v>
      </c>
      <c r="AA54" s="15">
        <v>54.347826086956502</v>
      </c>
      <c r="AB54" s="15">
        <v>22.727272727272702</v>
      </c>
      <c r="AC54" s="15">
        <v>50</v>
      </c>
      <c r="AD54" s="15">
        <v>45.652173913043498</v>
      </c>
      <c r="AE54" s="15">
        <v>45.454545454545503</v>
      </c>
      <c r="AF54" s="15">
        <v>54.545454545454497</v>
      </c>
      <c r="AG54" s="15">
        <v>66.6666666666667</v>
      </c>
      <c r="AH54" s="15">
        <v>53.763440860214999</v>
      </c>
      <c r="AI54" s="15">
        <v>44.642857142857103</v>
      </c>
      <c r="AJ54" s="32">
        <v>29.348409663037302</v>
      </c>
      <c r="AK54" s="15">
        <v>26.331360946745601</v>
      </c>
      <c r="AL54" s="15">
        <v>26.143790849673199</v>
      </c>
      <c r="AM54" s="15">
        <v>27.7777777777778</v>
      </c>
      <c r="AN54" s="15">
        <v>46.715328467153299</v>
      </c>
      <c r="AO54" s="15">
        <v>34.730538922155702</v>
      </c>
      <c r="AP54" s="15">
        <v>34.541577825159898</v>
      </c>
      <c r="AQ54" s="15">
        <v>41.911764705882298</v>
      </c>
      <c r="AR54" s="24">
        <v>38.484848484848499</v>
      </c>
      <c r="AS54" s="38"/>
    </row>
    <row r="55" spans="1:45">
      <c r="A55" s="9" t="s">
        <v>213</v>
      </c>
      <c r="B55" s="36">
        <v>9.7911944015172097</v>
      </c>
      <c r="C55" s="32">
        <v>10.9903951564719</v>
      </c>
      <c r="D55" s="32">
        <v>12.0051521184861</v>
      </c>
      <c r="E55" s="32">
        <v>14.650459775055699</v>
      </c>
      <c r="F55" s="15">
        <v>9.8039215686274499</v>
      </c>
      <c r="G55" s="20" t="s">
        <v>80</v>
      </c>
      <c r="H55" s="15">
        <v>13.407821229050301</v>
      </c>
      <c r="I55" s="15">
        <v>14.8514851485149</v>
      </c>
      <c r="J55" s="15">
        <v>17.1428571428571</v>
      </c>
      <c r="K55" s="20" t="s">
        <v>80</v>
      </c>
      <c r="L55" s="15">
        <v>14.953271028037401</v>
      </c>
      <c r="M55" s="15">
        <v>15.476190476190499</v>
      </c>
      <c r="N55" s="15">
        <v>14.5833333333333</v>
      </c>
      <c r="O55" s="15">
        <v>9.67741935483871</v>
      </c>
      <c r="P55" s="15">
        <v>20.6611570247934</v>
      </c>
      <c r="Q55" s="15">
        <v>20.588235294117599</v>
      </c>
      <c r="R55" s="15">
        <v>14.893617021276601</v>
      </c>
      <c r="S55" s="20" t="s">
        <v>80</v>
      </c>
      <c r="T55" s="20" t="s">
        <v>80</v>
      </c>
      <c r="U55" s="15">
        <v>14.285714285714301</v>
      </c>
      <c r="V55" s="15">
        <v>26.315789473684202</v>
      </c>
      <c r="W55" s="15">
        <v>15.2173913043478</v>
      </c>
      <c r="X55" s="15">
        <v>26.126126126126099</v>
      </c>
      <c r="Y55" s="15">
        <v>11.363636363636401</v>
      </c>
      <c r="Z55" s="20" t="s">
        <v>80</v>
      </c>
      <c r="AA55" s="15">
        <v>15.2173913043478</v>
      </c>
      <c r="AB55" s="20" t="s">
        <v>80</v>
      </c>
      <c r="AC55" s="20" t="s">
        <v>80</v>
      </c>
      <c r="AD55" s="20" t="s">
        <v>80</v>
      </c>
      <c r="AE55" s="20" t="s">
        <v>80</v>
      </c>
      <c r="AF55" s="15">
        <v>15.909090909090899</v>
      </c>
      <c r="AG55" s="20" t="s">
        <v>80</v>
      </c>
      <c r="AH55" s="15">
        <v>10.752688172042999</v>
      </c>
      <c r="AI55" s="15">
        <v>14.285714285714301</v>
      </c>
      <c r="AJ55" s="32">
        <v>9.6908870580867195</v>
      </c>
      <c r="AK55" s="15">
        <v>5.1775147928994096</v>
      </c>
      <c r="AL55" s="15">
        <v>4.1394335511982598</v>
      </c>
      <c r="AM55" s="15">
        <v>6.5656565656565702</v>
      </c>
      <c r="AN55" s="15">
        <v>13.868613138686101</v>
      </c>
      <c r="AO55" s="15">
        <v>10.7784431137725</v>
      </c>
      <c r="AP55" s="15">
        <v>8.9552238805970106</v>
      </c>
      <c r="AQ55" s="15">
        <v>19.852941176470601</v>
      </c>
      <c r="AR55" s="24">
        <v>19.393939393939402</v>
      </c>
      <c r="AS55" s="38"/>
    </row>
    <row r="56" spans="1:45">
      <c r="A56" s="9" t="s">
        <v>214</v>
      </c>
      <c r="B56" s="36">
        <v>16.335106745216098</v>
      </c>
      <c r="C56" s="32">
        <v>16.690420040354699</v>
      </c>
      <c r="D56" s="32">
        <v>16.6432548372231</v>
      </c>
      <c r="E56" s="32">
        <v>19.859125217989</v>
      </c>
      <c r="F56" s="15">
        <v>17.647058823529399</v>
      </c>
      <c r="G56" s="20" t="s">
        <v>80</v>
      </c>
      <c r="H56" s="15">
        <v>25.698324022346402</v>
      </c>
      <c r="I56" s="15">
        <v>17.821782178217799</v>
      </c>
      <c r="J56" s="15">
        <v>24.285714285714299</v>
      </c>
      <c r="K56" s="20" t="s">
        <v>80</v>
      </c>
      <c r="L56" s="15">
        <v>14.018691588785</v>
      </c>
      <c r="M56" s="15">
        <v>32.142857142857103</v>
      </c>
      <c r="N56" s="15">
        <v>22.9166666666667</v>
      </c>
      <c r="O56" s="15">
        <v>16.935483870967701</v>
      </c>
      <c r="P56" s="15">
        <v>23.9669421487603</v>
      </c>
      <c r="Q56" s="15">
        <v>26.470588235294102</v>
      </c>
      <c r="R56" s="15">
        <v>23.404255319148898</v>
      </c>
      <c r="S56" s="15">
        <v>17.3913043478261</v>
      </c>
      <c r="T56" s="15">
        <v>18.604651162790699</v>
      </c>
      <c r="U56" s="15">
        <v>26.785714285714299</v>
      </c>
      <c r="V56" s="15">
        <v>23.684210526315798</v>
      </c>
      <c r="W56" s="15">
        <v>10.869565217391299</v>
      </c>
      <c r="X56" s="15">
        <v>17.1171171171171</v>
      </c>
      <c r="Y56" s="15">
        <v>23.484848484848499</v>
      </c>
      <c r="Z56" s="20" t="s">
        <v>80</v>
      </c>
      <c r="AA56" s="20" t="s">
        <v>80</v>
      </c>
      <c r="AB56" s="20" t="s">
        <v>80</v>
      </c>
      <c r="AC56" s="15">
        <v>14.285714285714301</v>
      </c>
      <c r="AD56" s="20" t="s">
        <v>80</v>
      </c>
      <c r="AE56" s="20" t="s">
        <v>80</v>
      </c>
      <c r="AF56" s="15">
        <v>29.545454545454501</v>
      </c>
      <c r="AG56" s="15">
        <v>33.3333333333333</v>
      </c>
      <c r="AH56" s="15">
        <v>16.129032258064498</v>
      </c>
      <c r="AI56" s="15">
        <v>17.8571428571429</v>
      </c>
      <c r="AJ56" s="32">
        <v>13.829829169136101</v>
      </c>
      <c r="AK56" s="15">
        <v>10.9467455621302</v>
      </c>
      <c r="AL56" s="15">
        <v>7.18954248366013</v>
      </c>
      <c r="AM56" s="15">
        <v>16.161616161616202</v>
      </c>
      <c r="AN56" s="15">
        <v>23.3576642335766</v>
      </c>
      <c r="AO56" s="15">
        <v>19.161676646706599</v>
      </c>
      <c r="AP56" s="15">
        <v>14.712153518123699</v>
      </c>
      <c r="AQ56" s="15">
        <v>18.382352941176499</v>
      </c>
      <c r="AR56" s="24">
        <v>16.363636363636399</v>
      </c>
      <c r="AS56" s="38"/>
    </row>
    <row r="57" spans="1:45">
      <c r="A57" s="9" t="s">
        <v>215</v>
      </c>
      <c r="B57" s="36">
        <v>13.7379250945341</v>
      </c>
      <c r="C57" s="32">
        <v>13.476736591051401</v>
      </c>
      <c r="D57" s="32">
        <v>14.490401125849299</v>
      </c>
      <c r="E57" s="32">
        <v>21.347248150870801</v>
      </c>
      <c r="F57" s="15">
        <v>15.6862745098039</v>
      </c>
      <c r="G57" s="20" t="s">
        <v>80</v>
      </c>
      <c r="H57" s="15">
        <v>17.877094972066999</v>
      </c>
      <c r="I57" s="15">
        <v>16.8316831683168</v>
      </c>
      <c r="J57" s="15">
        <v>17.1428571428571</v>
      </c>
      <c r="K57" s="20" t="s">
        <v>80</v>
      </c>
      <c r="L57" s="15">
        <v>25.233644859813101</v>
      </c>
      <c r="M57" s="15">
        <v>23.8095238095238</v>
      </c>
      <c r="N57" s="15">
        <v>29.8611111111111</v>
      </c>
      <c r="O57" s="15">
        <v>16.129032258064498</v>
      </c>
      <c r="P57" s="15">
        <v>28.925619834710702</v>
      </c>
      <c r="Q57" s="15">
        <v>23.529411764705898</v>
      </c>
      <c r="R57" s="15">
        <v>21.2765957446809</v>
      </c>
      <c r="S57" s="15">
        <v>10.869565217391299</v>
      </c>
      <c r="T57" s="20" t="s">
        <v>80</v>
      </c>
      <c r="U57" s="15">
        <v>30.3571428571429</v>
      </c>
      <c r="V57" s="15">
        <v>28.947368421052602</v>
      </c>
      <c r="W57" s="15">
        <v>21.739130434782599</v>
      </c>
      <c r="X57" s="15">
        <v>21.6216216216216</v>
      </c>
      <c r="Y57" s="15">
        <v>20.454545454545499</v>
      </c>
      <c r="Z57" s="20" t="s">
        <v>80</v>
      </c>
      <c r="AA57" s="15">
        <v>17.3913043478261</v>
      </c>
      <c r="AB57" s="20" t="s">
        <v>80</v>
      </c>
      <c r="AC57" s="15">
        <v>21.428571428571399</v>
      </c>
      <c r="AD57" s="15">
        <v>15.2173913043478</v>
      </c>
      <c r="AE57" s="20" t="s">
        <v>80</v>
      </c>
      <c r="AF57" s="15">
        <v>29.545454545454501</v>
      </c>
      <c r="AG57" s="20" t="s">
        <v>80</v>
      </c>
      <c r="AH57" s="15">
        <v>13.9784946236559</v>
      </c>
      <c r="AI57" s="15">
        <v>17.8571428571429</v>
      </c>
      <c r="AJ57" s="32">
        <v>8.4916427375382408</v>
      </c>
      <c r="AK57" s="15">
        <v>7.5443786982248504</v>
      </c>
      <c r="AL57" s="15">
        <v>7.4074074074074101</v>
      </c>
      <c r="AM57" s="15">
        <v>9.5959595959596005</v>
      </c>
      <c r="AN57" s="15">
        <v>16.058394160583902</v>
      </c>
      <c r="AO57" s="15">
        <v>13.772455089820401</v>
      </c>
      <c r="AP57" s="15">
        <v>6.3965884861407201</v>
      </c>
      <c r="AQ57" s="15">
        <v>16.176470588235301</v>
      </c>
      <c r="AR57" s="24">
        <v>9.6969696969697008</v>
      </c>
      <c r="AS57" s="38"/>
    </row>
    <row r="58" spans="1:45">
      <c r="A58" s="9" t="s">
        <v>216</v>
      </c>
      <c r="B58" s="36">
        <v>28.341441952680299</v>
      </c>
      <c r="C58" s="32">
        <v>29.543842200310198</v>
      </c>
      <c r="D58" s="32">
        <v>30.463964667773801</v>
      </c>
      <c r="E58" s="32">
        <v>28.0641905570325</v>
      </c>
      <c r="F58" s="15">
        <v>21.568627450980401</v>
      </c>
      <c r="G58" s="20" t="s">
        <v>80</v>
      </c>
      <c r="H58" s="15">
        <v>27.374301675977701</v>
      </c>
      <c r="I58" s="15">
        <v>23.762376237623801</v>
      </c>
      <c r="J58" s="15">
        <v>27.1428571428571</v>
      </c>
      <c r="K58" s="15">
        <v>37.837837837837803</v>
      </c>
      <c r="L58" s="15">
        <v>28.971962616822399</v>
      </c>
      <c r="M58" s="15">
        <v>32.142857142857103</v>
      </c>
      <c r="N58" s="15">
        <v>35.4166666666667</v>
      </c>
      <c r="O58" s="15">
        <v>27.419354838709701</v>
      </c>
      <c r="P58" s="15">
        <v>32.2314049586777</v>
      </c>
      <c r="Q58" s="15">
        <v>32.352941176470601</v>
      </c>
      <c r="R58" s="15">
        <v>23.404255319148898</v>
      </c>
      <c r="S58" s="15">
        <v>39.130434782608702</v>
      </c>
      <c r="T58" s="15">
        <v>23.255813953488399</v>
      </c>
      <c r="U58" s="15">
        <v>25</v>
      </c>
      <c r="V58" s="15">
        <v>34.210526315789501</v>
      </c>
      <c r="W58" s="15">
        <v>19.565217391304301</v>
      </c>
      <c r="X58" s="15">
        <v>19.819819819819799</v>
      </c>
      <c r="Y58" s="15">
        <v>24.2424242424242</v>
      </c>
      <c r="Z58" s="15">
        <v>34.482758620689701</v>
      </c>
      <c r="AA58" s="15">
        <v>32.6086956521739</v>
      </c>
      <c r="AB58" s="20" t="s">
        <v>80</v>
      </c>
      <c r="AC58" s="15">
        <v>19.047619047619001</v>
      </c>
      <c r="AD58" s="15">
        <v>23.913043478260899</v>
      </c>
      <c r="AE58" s="15">
        <v>33.3333333333333</v>
      </c>
      <c r="AF58" s="15">
        <v>38.636363636363598</v>
      </c>
      <c r="AG58" s="20" t="s">
        <v>80</v>
      </c>
      <c r="AH58" s="15">
        <v>17.204301075268798</v>
      </c>
      <c r="AI58" s="15">
        <v>25</v>
      </c>
      <c r="AJ58" s="32">
        <v>32.563423066704097</v>
      </c>
      <c r="AK58" s="15">
        <v>28.698224852071</v>
      </c>
      <c r="AL58" s="15">
        <v>30.936819172113299</v>
      </c>
      <c r="AM58" s="15">
        <v>33.3333333333333</v>
      </c>
      <c r="AN58" s="15">
        <v>45.985401459854003</v>
      </c>
      <c r="AO58" s="15">
        <v>30.538922155688599</v>
      </c>
      <c r="AP58" s="15">
        <v>28.784648187633302</v>
      </c>
      <c r="AQ58" s="15">
        <v>33.088235294117602</v>
      </c>
      <c r="AR58" s="24">
        <v>43.939393939393902</v>
      </c>
      <c r="AS58" s="38"/>
    </row>
    <row r="59" spans="1:45">
      <c r="A59" s="9" t="s">
        <v>217</v>
      </c>
      <c r="B59" s="36">
        <v>3.2935584346224198</v>
      </c>
      <c r="C59" s="32">
        <v>3.0994556334127901</v>
      </c>
      <c r="D59" s="32">
        <v>4.98697073820514</v>
      </c>
      <c r="E59" s="32">
        <v>5.6273452975880103</v>
      </c>
      <c r="F59" s="20" t="s">
        <v>80</v>
      </c>
      <c r="G59" s="20" t="s">
        <v>80</v>
      </c>
      <c r="H59" s="15">
        <v>3.3519553072625698</v>
      </c>
      <c r="I59" s="15">
        <v>6.9306930693069297</v>
      </c>
      <c r="J59" s="20" t="s">
        <v>80</v>
      </c>
      <c r="K59" s="20" t="s">
        <v>80</v>
      </c>
      <c r="L59" s="15">
        <v>7.4766355140186898</v>
      </c>
      <c r="M59" s="15">
        <v>10.714285714285699</v>
      </c>
      <c r="N59" s="15">
        <v>4.8611111111111098</v>
      </c>
      <c r="O59" s="20" t="s">
        <v>80</v>
      </c>
      <c r="P59" s="15">
        <v>11.5702479338843</v>
      </c>
      <c r="Q59" s="20" t="s">
        <v>80</v>
      </c>
      <c r="R59" s="15">
        <v>12.7659574468085</v>
      </c>
      <c r="S59" s="20" t="s">
        <v>80</v>
      </c>
      <c r="T59" s="20" t="s">
        <v>80</v>
      </c>
      <c r="U59" s="15">
        <v>12.5</v>
      </c>
      <c r="V59" s="20" t="s">
        <v>80</v>
      </c>
      <c r="W59" s="20" t="s">
        <v>80</v>
      </c>
      <c r="X59" s="20" t="s">
        <v>80</v>
      </c>
      <c r="Y59" s="15">
        <v>6.0606060606060597</v>
      </c>
      <c r="Z59" s="20" t="s">
        <v>80</v>
      </c>
      <c r="AA59" s="20" t="s">
        <v>80</v>
      </c>
      <c r="AB59" s="20" t="s">
        <v>80</v>
      </c>
      <c r="AC59" s="20" t="s">
        <v>80</v>
      </c>
      <c r="AD59" s="20" t="s">
        <v>80</v>
      </c>
      <c r="AE59" s="20" t="s">
        <v>80</v>
      </c>
      <c r="AF59" s="15">
        <v>11.363636363636401</v>
      </c>
      <c r="AG59" s="20" t="s">
        <v>80</v>
      </c>
      <c r="AH59" s="15">
        <v>10.752688172042999</v>
      </c>
      <c r="AI59" s="20" t="s">
        <v>80</v>
      </c>
      <c r="AJ59" s="32">
        <v>4.4267347805206301</v>
      </c>
      <c r="AK59" s="15">
        <v>4.8816568047337299</v>
      </c>
      <c r="AL59" s="15">
        <v>3.0501089324618702</v>
      </c>
      <c r="AM59" s="15">
        <v>6.0606060606060597</v>
      </c>
      <c r="AN59" s="15">
        <v>12.408759124087601</v>
      </c>
      <c r="AO59" s="15">
        <v>5.6886227544910204</v>
      </c>
      <c r="AP59" s="15">
        <v>2.98507462686567</v>
      </c>
      <c r="AQ59" s="15">
        <v>10.294117647058799</v>
      </c>
      <c r="AR59" s="24">
        <v>3.0303030303030298</v>
      </c>
      <c r="AS59" s="38"/>
    </row>
    <row r="60" spans="1:45">
      <c r="A60" s="9" t="s">
        <v>218</v>
      </c>
      <c r="B60" s="36">
        <v>3.12136901906756</v>
      </c>
      <c r="C60" s="32">
        <v>3.05542214564879</v>
      </c>
      <c r="D60" s="32">
        <v>4.82152858043324</v>
      </c>
      <c r="E60" s="32">
        <v>4.9159000837873403</v>
      </c>
      <c r="F60" s="20" t="s">
        <v>80</v>
      </c>
      <c r="G60" s="20" t="s">
        <v>80</v>
      </c>
      <c r="H60" s="15">
        <v>4.4692737430167604</v>
      </c>
      <c r="I60" s="15">
        <v>6.9306930693069297</v>
      </c>
      <c r="J60" s="20" t="s">
        <v>80</v>
      </c>
      <c r="K60" s="20" t="s">
        <v>80</v>
      </c>
      <c r="L60" s="15">
        <v>5.6074766355140202</v>
      </c>
      <c r="M60" s="15">
        <v>8.3333333333333304</v>
      </c>
      <c r="N60" s="15">
        <v>4.1666666666666696</v>
      </c>
      <c r="O60" s="20" t="s">
        <v>80</v>
      </c>
      <c r="P60" s="15">
        <v>9.9173553719008307</v>
      </c>
      <c r="Q60" s="20" t="s">
        <v>80</v>
      </c>
      <c r="R60" s="20" t="s">
        <v>80</v>
      </c>
      <c r="S60" s="20" t="s">
        <v>80</v>
      </c>
      <c r="T60" s="20" t="s">
        <v>80</v>
      </c>
      <c r="U60" s="15">
        <v>12.5</v>
      </c>
      <c r="V60" s="20" t="s">
        <v>80</v>
      </c>
      <c r="W60" s="20" t="s">
        <v>80</v>
      </c>
      <c r="X60" s="20" t="s">
        <v>80</v>
      </c>
      <c r="Y60" s="15">
        <v>6.8181818181818201</v>
      </c>
      <c r="Z60" s="20" t="s">
        <v>80</v>
      </c>
      <c r="AA60" s="20" t="s">
        <v>80</v>
      </c>
      <c r="AB60" s="20" t="s">
        <v>80</v>
      </c>
      <c r="AC60" s="20" t="s">
        <v>80</v>
      </c>
      <c r="AD60" s="20" t="s">
        <v>80</v>
      </c>
      <c r="AE60" s="20" t="s">
        <v>80</v>
      </c>
      <c r="AF60" s="20" t="s">
        <v>80</v>
      </c>
      <c r="AG60" s="20" t="s">
        <v>80</v>
      </c>
      <c r="AH60" s="15">
        <v>7.5268817204301097</v>
      </c>
      <c r="AI60" s="20" t="s">
        <v>80</v>
      </c>
      <c r="AJ60" s="32">
        <v>4.7389670408076396</v>
      </c>
      <c r="AK60" s="15">
        <v>4.5857988165680501</v>
      </c>
      <c r="AL60" s="15">
        <v>2.3965141612200398</v>
      </c>
      <c r="AM60" s="15">
        <v>4.5454545454545503</v>
      </c>
      <c r="AN60" s="15">
        <v>7.2992700729926998</v>
      </c>
      <c r="AO60" s="15">
        <v>6.5868263473053901</v>
      </c>
      <c r="AP60" s="15">
        <v>3.41151385927505</v>
      </c>
      <c r="AQ60" s="15">
        <v>13.235294117647101</v>
      </c>
      <c r="AR60" s="24">
        <v>3.6363636363636398</v>
      </c>
      <c r="AS60" s="38"/>
    </row>
    <row r="61" spans="1:45">
      <c r="A61" s="9" t="s">
        <v>219</v>
      </c>
      <c r="B61" s="36">
        <v>4.30825136490677</v>
      </c>
      <c r="C61" s="32">
        <v>4.0717527447509401</v>
      </c>
      <c r="D61" s="32">
        <v>6.51354655835478</v>
      </c>
      <c r="E61" s="32">
        <v>7.3309362950677404</v>
      </c>
      <c r="F61" s="20" t="s">
        <v>80</v>
      </c>
      <c r="G61" s="20" t="s">
        <v>80</v>
      </c>
      <c r="H61" s="15">
        <v>5.0279329608938497</v>
      </c>
      <c r="I61" s="15">
        <v>6.9306930693069297</v>
      </c>
      <c r="J61" s="20" t="s">
        <v>80</v>
      </c>
      <c r="K61" s="20" t="s">
        <v>80</v>
      </c>
      <c r="L61" s="15">
        <v>13.0841121495327</v>
      </c>
      <c r="M61" s="15">
        <v>10.714285714285699</v>
      </c>
      <c r="N61" s="15">
        <v>6.9444444444444402</v>
      </c>
      <c r="O61" s="15">
        <v>5.6451612903225801</v>
      </c>
      <c r="P61" s="15">
        <v>14.876033057851201</v>
      </c>
      <c r="Q61" s="20" t="s">
        <v>80</v>
      </c>
      <c r="R61" s="15">
        <v>14.893617021276601</v>
      </c>
      <c r="S61" s="20" t="s">
        <v>80</v>
      </c>
      <c r="T61" s="20" t="s">
        <v>80</v>
      </c>
      <c r="U61" s="15">
        <v>14.285714285714301</v>
      </c>
      <c r="V61" s="20" t="s">
        <v>80</v>
      </c>
      <c r="W61" s="20" t="s">
        <v>80</v>
      </c>
      <c r="X61" s="20" t="s">
        <v>80</v>
      </c>
      <c r="Y61" s="15">
        <v>8.3333333333333304</v>
      </c>
      <c r="Z61" s="20" t="s">
        <v>80</v>
      </c>
      <c r="AA61" s="20" t="s">
        <v>80</v>
      </c>
      <c r="AB61" s="20" t="s">
        <v>80</v>
      </c>
      <c r="AC61" s="20" t="s">
        <v>80</v>
      </c>
      <c r="AD61" s="20" t="s">
        <v>80</v>
      </c>
      <c r="AE61" s="20" t="s">
        <v>80</v>
      </c>
      <c r="AF61" s="15">
        <v>11.363636363636401</v>
      </c>
      <c r="AG61" s="20" t="s">
        <v>80</v>
      </c>
      <c r="AH61" s="15">
        <v>9.67741935483871</v>
      </c>
      <c r="AI61" s="20" t="s">
        <v>80</v>
      </c>
      <c r="AJ61" s="32">
        <v>5.7984476912321004</v>
      </c>
      <c r="AK61" s="15">
        <v>5.1775147928994096</v>
      </c>
      <c r="AL61" s="15">
        <v>4.3572984749455301</v>
      </c>
      <c r="AM61" s="15">
        <v>8.0808080808080796</v>
      </c>
      <c r="AN61" s="15">
        <v>6.5693430656934302</v>
      </c>
      <c r="AO61" s="15">
        <v>6.5868263473053901</v>
      </c>
      <c r="AP61" s="15">
        <v>5.7569296375266497</v>
      </c>
      <c r="AQ61" s="15">
        <v>12.5</v>
      </c>
      <c r="AR61" s="24">
        <v>5.7575757575757596</v>
      </c>
      <c r="AS61" s="38"/>
    </row>
    <row r="62" spans="1:45">
      <c r="A62" s="9" t="s">
        <v>220</v>
      </c>
      <c r="B62" s="36">
        <v>11.167208743126301</v>
      </c>
      <c r="C62" s="32">
        <v>11.1182190804487</v>
      </c>
      <c r="D62" s="32">
        <v>14.004343086104599</v>
      </c>
      <c r="E62" s="32">
        <v>16.627740076803502</v>
      </c>
      <c r="F62" s="15">
        <v>21.568627450980401</v>
      </c>
      <c r="G62" s="20" t="s">
        <v>80</v>
      </c>
      <c r="H62" s="15">
        <v>17.877094972066999</v>
      </c>
      <c r="I62" s="15">
        <v>16.8316831683168</v>
      </c>
      <c r="J62" s="15">
        <v>15.714285714285699</v>
      </c>
      <c r="K62" s="20" t="s">
        <v>80</v>
      </c>
      <c r="L62" s="15">
        <v>8.4112149532710294</v>
      </c>
      <c r="M62" s="15">
        <v>16.6666666666667</v>
      </c>
      <c r="N62" s="15">
        <v>18.0555555555556</v>
      </c>
      <c r="O62" s="15">
        <v>8.8709677419354804</v>
      </c>
      <c r="P62" s="15">
        <v>21.4876033057851</v>
      </c>
      <c r="Q62" s="15">
        <v>29.411764705882401</v>
      </c>
      <c r="R62" s="15">
        <v>14.893617021276601</v>
      </c>
      <c r="S62" s="20" t="s">
        <v>80</v>
      </c>
      <c r="T62" s="15">
        <v>11.6279069767442</v>
      </c>
      <c r="U62" s="15">
        <v>21.428571428571399</v>
      </c>
      <c r="V62" s="15">
        <v>21.052631578947398</v>
      </c>
      <c r="W62" s="15">
        <v>17.3913043478261</v>
      </c>
      <c r="X62" s="15">
        <v>12.612612612612599</v>
      </c>
      <c r="Y62" s="15">
        <v>13.636363636363599</v>
      </c>
      <c r="Z62" s="20" t="s">
        <v>80</v>
      </c>
      <c r="AA62" s="15">
        <v>21.739130434782599</v>
      </c>
      <c r="AB62" s="20" t="s">
        <v>80</v>
      </c>
      <c r="AC62" s="15">
        <v>11.9047619047619</v>
      </c>
      <c r="AD62" s="15">
        <v>15.2173913043478</v>
      </c>
      <c r="AE62" s="20" t="s">
        <v>80</v>
      </c>
      <c r="AF62" s="15">
        <v>15.909090909090899</v>
      </c>
      <c r="AG62" s="20" t="s">
        <v>80</v>
      </c>
      <c r="AH62" s="15">
        <v>8.6021505376344098</v>
      </c>
      <c r="AI62" s="15">
        <v>10.714285714285699</v>
      </c>
      <c r="AJ62" s="32">
        <v>11.7092467179928</v>
      </c>
      <c r="AK62" s="15">
        <v>10.5029585798817</v>
      </c>
      <c r="AL62" s="15">
        <v>11.546840958605699</v>
      </c>
      <c r="AM62" s="15">
        <v>10.6060606060606</v>
      </c>
      <c r="AN62" s="15">
        <v>15.3284671532847</v>
      </c>
      <c r="AO62" s="15">
        <v>12.5748502994012</v>
      </c>
      <c r="AP62" s="15">
        <v>11.727078891258</v>
      </c>
      <c r="AQ62" s="15">
        <v>20.588235294117599</v>
      </c>
      <c r="AR62" s="24">
        <v>14.2424242424242</v>
      </c>
      <c r="AS62" s="38"/>
    </row>
    <row r="63" spans="1:45">
      <c r="A63" s="9" t="s">
        <v>221</v>
      </c>
      <c r="B63" s="36">
        <v>17.6682163190065</v>
      </c>
      <c r="C63" s="32">
        <v>16.674275137087101</v>
      </c>
      <c r="D63" s="32">
        <v>18.295699338726202</v>
      </c>
      <c r="E63" s="32">
        <v>21.816885054337501</v>
      </c>
      <c r="F63" s="15">
        <v>23.529411764705898</v>
      </c>
      <c r="G63" s="20" t="s">
        <v>80</v>
      </c>
      <c r="H63" s="15">
        <v>23.463687150837998</v>
      </c>
      <c r="I63" s="15">
        <v>21.782178217821802</v>
      </c>
      <c r="J63" s="15">
        <v>22.8571428571429</v>
      </c>
      <c r="K63" s="15">
        <v>18.918918918918902</v>
      </c>
      <c r="L63" s="15">
        <v>25.233644859813101</v>
      </c>
      <c r="M63" s="15">
        <v>16.6666666666667</v>
      </c>
      <c r="N63" s="15">
        <v>25.6944444444444</v>
      </c>
      <c r="O63" s="15">
        <v>21.7741935483871</v>
      </c>
      <c r="P63" s="15">
        <v>22.3140495867769</v>
      </c>
      <c r="Q63" s="15">
        <v>23.529411764705898</v>
      </c>
      <c r="R63" s="15">
        <v>19.148936170212799</v>
      </c>
      <c r="S63" s="20" t="s">
        <v>80</v>
      </c>
      <c r="T63" s="15">
        <v>13.953488372093</v>
      </c>
      <c r="U63" s="15">
        <v>23.214285714285701</v>
      </c>
      <c r="V63" s="15">
        <v>26.315789473684202</v>
      </c>
      <c r="W63" s="15">
        <v>13.0434782608696</v>
      </c>
      <c r="X63" s="15">
        <v>13.5135135135135</v>
      </c>
      <c r="Y63" s="15">
        <v>21.969696969697001</v>
      </c>
      <c r="Z63" s="15">
        <v>20.689655172413801</v>
      </c>
      <c r="AA63" s="15">
        <v>28.260869565217401</v>
      </c>
      <c r="AB63" s="20" t="s">
        <v>80</v>
      </c>
      <c r="AC63" s="15">
        <v>16.6666666666667</v>
      </c>
      <c r="AD63" s="15">
        <v>19.565217391304301</v>
      </c>
      <c r="AE63" s="15">
        <v>15.1515151515152</v>
      </c>
      <c r="AF63" s="15">
        <v>15.909090909090899</v>
      </c>
      <c r="AG63" s="20" t="s">
        <v>80</v>
      </c>
      <c r="AH63" s="15">
        <v>21.505376344085999</v>
      </c>
      <c r="AI63" s="15">
        <v>14.285714285714301</v>
      </c>
      <c r="AJ63" s="32">
        <v>15.215166512013599</v>
      </c>
      <c r="AK63" s="15">
        <v>13.165680473372801</v>
      </c>
      <c r="AL63" s="15">
        <v>13.9433551198257</v>
      </c>
      <c r="AM63" s="15">
        <v>16.161616161616202</v>
      </c>
      <c r="AN63" s="15">
        <v>22.6277372262774</v>
      </c>
      <c r="AO63" s="15">
        <v>15.2694610778443</v>
      </c>
      <c r="AP63" s="15">
        <v>16.204690831556501</v>
      </c>
      <c r="AQ63" s="15">
        <v>21.323529411764699</v>
      </c>
      <c r="AR63" s="24">
        <v>16.969696969697001</v>
      </c>
      <c r="AS63" s="38"/>
    </row>
    <row r="64" spans="1:45">
      <c r="A64" s="11" t="s">
        <v>222</v>
      </c>
      <c r="B64" s="37">
        <v>3.62854876642167</v>
      </c>
      <c r="C64" s="33">
        <v>3.6591985963411</v>
      </c>
      <c r="D64" s="33">
        <v>4.3088317615640896</v>
      </c>
      <c r="E64" s="33">
        <v>5.9866456252651297</v>
      </c>
      <c r="F64" s="28" t="s">
        <v>80</v>
      </c>
      <c r="G64" s="28" t="s">
        <v>80</v>
      </c>
      <c r="H64" s="16">
        <v>5.0279329608938497</v>
      </c>
      <c r="I64" s="16">
        <v>6.9306930693069297</v>
      </c>
      <c r="J64" s="16">
        <v>7.1428571428571397</v>
      </c>
      <c r="K64" s="28" t="s">
        <v>80</v>
      </c>
      <c r="L64" s="16">
        <v>8.4112149532710294</v>
      </c>
      <c r="M64" s="16">
        <v>5.9523809523809499</v>
      </c>
      <c r="N64" s="16">
        <v>7.6388888888888902</v>
      </c>
      <c r="O64" s="16">
        <v>6.4516129032258096</v>
      </c>
      <c r="P64" s="28" t="s">
        <v>80</v>
      </c>
      <c r="Q64" s="28" t="s">
        <v>80</v>
      </c>
      <c r="R64" s="28" t="s">
        <v>80</v>
      </c>
      <c r="S64" s="28" t="s">
        <v>80</v>
      </c>
      <c r="T64" s="28" t="s">
        <v>80</v>
      </c>
      <c r="U64" s="16">
        <v>8.9285714285714306</v>
      </c>
      <c r="V64" s="28" t="s">
        <v>80</v>
      </c>
      <c r="W64" s="28" t="s">
        <v>80</v>
      </c>
      <c r="X64" s="28" t="s">
        <v>80</v>
      </c>
      <c r="Y64" s="16">
        <v>6.8181818181818201</v>
      </c>
      <c r="Z64" s="28" t="s">
        <v>80</v>
      </c>
      <c r="AA64" s="28" t="s">
        <v>80</v>
      </c>
      <c r="AB64" s="28" t="s">
        <v>80</v>
      </c>
      <c r="AC64" s="28" t="s">
        <v>80</v>
      </c>
      <c r="AD64" s="28" t="s">
        <v>80</v>
      </c>
      <c r="AE64" s="28" t="s">
        <v>80</v>
      </c>
      <c r="AF64" s="28" t="s">
        <v>80</v>
      </c>
      <c r="AG64" s="28" t="s">
        <v>80</v>
      </c>
      <c r="AH64" s="16">
        <v>10.752688172042999</v>
      </c>
      <c r="AI64" s="28" t="s">
        <v>80</v>
      </c>
      <c r="AJ64" s="33">
        <v>2.8409851037381602</v>
      </c>
      <c r="AK64" s="16">
        <v>2.9585798816567999</v>
      </c>
      <c r="AL64" s="16">
        <v>1.9607843137254899</v>
      </c>
      <c r="AM64" s="16">
        <v>3.5353535353535399</v>
      </c>
      <c r="AN64" s="16">
        <v>3.6496350364963499</v>
      </c>
      <c r="AO64" s="16">
        <v>3.2934131736526902</v>
      </c>
      <c r="AP64" s="16">
        <v>3.41151385927505</v>
      </c>
      <c r="AQ64" s="16">
        <v>3.6764705882352899</v>
      </c>
      <c r="AR64" s="25">
        <v>4.2424242424242404</v>
      </c>
      <c r="AS64" s="38"/>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71"/>
  <sheetViews>
    <sheetView zoomScale="70" workbookViewId="0"/>
  </sheetViews>
  <sheetFormatPr defaultColWidth="10.90625" defaultRowHeight="15"/>
  <cols>
    <col min="1" max="1" width="51.6796875" customWidth="1"/>
    <col min="2" max="4" width="15.90625" customWidth="1"/>
  </cols>
  <sheetData>
    <row r="1" spans="1:4" ht="39.9" customHeight="1">
      <c r="A1" s="10" t="s">
        <v>256</v>
      </c>
      <c r="B1" s="12"/>
      <c r="C1" s="12"/>
      <c r="D1" s="12"/>
    </row>
    <row r="2" spans="1:4" ht="45">
      <c r="A2" s="7" t="s">
        <v>2</v>
      </c>
      <c r="B2" s="6" t="s">
        <v>18</v>
      </c>
      <c r="C2" s="6" t="s">
        <v>19</v>
      </c>
      <c r="D2" s="8" t="s">
        <v>20</v>
      </c>
    </row>
    <row r="3" spans="1:4">
      <c r="A3" s="9" t="s">
        <v>161</v>
      </c>
      <c r="B3" s="15">
        <v>36.905422439664299</v>
      </c>
      <c r="C3" s="15">
        <v>38.597533730202898</v>
      </c>
      <c r="D3" s="24">
        <v>44.4550582819247</v>
      </c>
    </row>
    <row r="4" spans="1:4">
      <c r="A4" s="9" t="s">
        <v>162</v>
      </c>
      <c r="B4" s="15">
        <v>20.5455108671155</v>
      </c>
      <c r="C4" s="15">
        <v>21.603166363373798</v>
      </c>
      <c r="D4" s="24">
        <v>23.432372332368701</v>
      </c>
    </row>
    <row r="5" spans="1:4">
      <c r="A5" s="9" t="s">
        <v>163</v>
      </c>
      <c r="B5" s="15">
        <v>25.979778082061902</v>
      </c>
      <c r="C5" s="15">
        <v>28.617715823013199</v>
      </c>
      <c r="D5" s="24">
        <v>36.346614140616801</v>
      </c>
    </row>
    <row r="6" spans="1:4">
      <c r="A6" s="9" t="s">
        <v>164</v>
      </c>
      <c r="B6" s="15">
        <v>45.049265183138097</v>
      </c>
      <c r="C6" s="15">
        <v>45.959930653830398</v>
      </c>
      <c r="D6" s="24">
        <v>48.634826944836398</v>
      </c>
    </row>
    <row r="7" spans="1:4">
      <c r="A7" s="9" t="s">
        <v>165</v>
      </c>
      <c r="B7" s="15">
        <v>29.304471416193099</v>
      </c>
      <c r="C7" s="15">
        <v>28.989780275738401</v>
      </c>
      <c r="D7" s="24">
        <v>24.673304480008799</v>
      </c>
    </row>
    <row r="8" spans="1:4">
      <c r="A8" s="9" t="s">
        <v>166</v>
      </c>
      <c r="B8" s="15">
        <v>7.3609573381902003</v>
      </c>
      <c r="C8" s="15">
        <v>5.5247612976016098</v>
      </c>
      <c r="D8" s="26" t="s">
        <v>80</v>
      </c>
    </row>
    <row r="9" spans="1:4">
      <c r="A9" s="9" t="s">
        <v>167</v>
      </c>
      <c r="B9" s="15">
        <v>16.015315661131201</v>
      </c>
      <c r="C9" s="15">
        <v>17.965007754442698</v>
      </c>
      <c r="D9" s="24">
        <v>19.687459418008601</v>
      </c>
    </row>
    <row r="10" spans="1:4">
      <c r="A10" s="9" t="s">
        <v>168</v>
      </c>
      <c r="B10" s="15">
        <v>34.168957855860597</v>
      </c>
      <c r="C10" s="15">
        <v>35.104821382041898</v>
      </c>
      <c r="D10" s="24">
        <v>32.463073746453603</v>
      </c>
    </row>
    <row r="11" spans="1:4">
      <c r="A11" s="9" t="s">
        <v>169</v>
      </c>
      <c r="B11" s="15">
        <v>26.608919592796401</v>
      </c>
      <c r="C11" s="15">
        <v>25.886978730075398</v>
      </c>
      <c r="D11" s="24">
        <v>29.505804482101901</v>
      </c>
    </row>
    <row r="12" spans="1:4">
      <c r="A12" s="9" t="s">
        <v>170</v>
      </c>
      <c r="B12" s="15">
        <v>21.680614083781201</v>
      </c>
      <c r="C12" s="15">
        <v>21.624094485610801</v>
      </c>
      <c r="D12" s="24">
        <v>20.0926675771322</v>
      </c>
    </row>
    <row r="13" spans="1:4">
      <c r="A13" s="9" t="s">
        <v>171</v>
      </c>
      <c r="B13" s="15">
        <v>13.2047882252402</v>
      </c>
      <c r="C13" s="15">
        <v>12.253427003584701</v>
      </c>
      <c r="D13" s="24">
        <v>12.984868317121199</v>
      </c>
    </row>
    <row r="14" spans="1:4">
      <c r="A14" s="9" t="s">
        <v>172</v>
      </c>
      <c r="B14" s="15">
        <v>31.007797683414999</v>
      </c>
      <c r="C14" s="15">
        <v>33.055462116112899</v>
      </c>
      <c r="D14" s="24">
        <v>33.919124319549503</v>
      </c>
    </row>
    <row r="15" spans="1:4">
      <c r="A15" s="9" t="s">
        <v>173</v>
      </c>
      <c r="B15" s="15">
        <v>24.608277846089099</v>
      </c>
      <c r="C15" s="15">
        <v>26.203854125449499</v>
      </c>
      <c r="D15" s="24">
        <v>30.479033324811901</v>
      </c>
    </row>
    <row r="16" spans="1:4">
      <c r="A16" s="9" t="s">
        <v>174</v>
      </c>
      <c r="B16" s="15">
        <v>9.9101874480034002</v>
      </c>
      <c r="C16" s="15">
        <v>10.632945982342401</v>
      </c>
      <c r="D16" s="24">
        <v>13.401527522124599</v>
      </c>
    </row>
    <row r="17" spans="1:4">
      <c r="A17" s="9" t="s">
        <v>175</v>
      </c>
      <c r="B17" s="15">
        <v>42.864616918986002</v>
      </c>
      <c r="C17" s="15">
        <v>46.256676558147099</v>
      </c>
      <c r="D17" s="24">
        <v>51.4431523887976</v>
      </c>
    </row>
    <row r="18" spans="1:4">
      <c r="A18" s="9" t="s">
        <v>176</v>
      </c>
      <c r="B18" s="15">
        <v>26.062599315431999</v>
      </c>
      <c r="C18" s="15">
        <v>24.899747297978099</v>
      </c>
      <c r="D18" s="24">
        <v>23.020082941582999</v>
      </c>
    </row>
    <row r="19" spans="1:4">
      <c r="A19" s="9" t="s">
        <v>177</v>
      </c>
      <c r="B19" s="15">
        <v>31.348546152243301</v>
      </c>
      <c r="C19" s="15">
        <v>32.341644440805702</v>
      </c>
      <c r="D19" s="24">
        <v>29.479984401520099</v>
      </c>
    </row>
    <row r="20" spans="1:4">
      <c r="A20" s="9" t="s">
        <v>178</v>
      </c>
      <c r="B20" s="15">
        <v>16.2792318739004</v>
      </c>
      <c r="C20" s="15">
        <v>15.6669042309196</v>
      </c>
      <c r="D20" s="24">
        <v>20.315944470509301</v>
      </c>
    </row>
    <row r="21" spans="1:4">
      <c r="A21" s="9" t="s">
        <v>179</v>
      </c>
      <c r="B21" s="15">
        <v>10.5974697590633</v>
      </c>
      <c r="C21" s="15">
        <v>9.6614985847976094</v>
      </c>
      <c r="D21" s="26" t="s">
        <v>80</v>
      </c>
    </row>
    <row r="22" spans="1:4">
      <c r="A22" s="9" t="s">
        <v>180</v>
      </c>
      <c r="B22" s="15">
        <v>22.359537317692801</v>
      </c>
      <c r="C22" s="15">
        <v>23.592712035861101</v>
      </c>
      <c r="D22" s="24">
        <v>25.904971977955</v>
      </c>
    </row>
    <row r="23" spans="1:4">
      <c r="A23" s="9" t="s">
        <v>181</v>
      </c>
      <c r="B23" s="15">
        <v>18.276694572532101</v>
      </c>
      <c r="C23" s="15">
        <v>18.4293409699264</v>
      </c>
      <c r="D23" s="24">
        <v>17.174158430215002</v>
      </c>
    </row>
    <row r="24" spans="1:4">
      <c r="A24" s="9" t="s">
        <v>182</v>
      </c>
      <c r="B24" s="15">
        <v>40.118812590540998</v>
      </c>
      <c r="C24" s="15">
        <v>43.494182105784702</v>
      </c>
      <c r="D24" s="24">
        <v>39.975841664682697</v>
      </c>
    </row>
    <row r="25" spans="1:4">
      <c r="A25" s="9" t="s">
        <v>183</v>
      </c>
      <c r="B25" s="15">
        <v>6.39157031589935</v>
      </c>
      <c r="C25" s="15">
        <v>6.82242855557661</v>
      </c>
      <c r="D25" s="26" t="s">
        <v>80</v>
      </c>
    </row>
    <row r="26" spans="1:4">
      <c r="A26" s="9" t="s">
        <v>184</v>
      </c>
      <c r="B26" s="15">
        <v>29.7177530967246</v>
      </c>
      <c r="C26" s="15">
        <v>29.196807479217298</v>
      </c>
      <c r="D26" s="24">
        <v>33.303102170280503</v>
      </c>
    </row>
    <row r="27" spans="1:4">
      <c r="A27" s="9" t="s">
        <v>185</v>
      </c>
      <c r="B27" s="15">
        <v>19.556400761885399</v>
      </c>
      <c r="C27" s="15">
        <v>16.941068652277401</v>
      </c>
      <c r="D27" s="24">
        <v>16.246123938501999</v>
      </c>
    </row>
    <row r="28" spans="1:4">
      <c r="A28" s="9" t="s">
        <v>186</v>
      </c>
      <c r="B28" s="15">
        <v>27.9639090100552</v>
      </c>
      <c r="C28" s="15">
        <v>27.029337270577098</v>
      </c>
      <c r="D28" s="24">
        <v>26.405405485371599</v>
      </c>
    </row>
    <row r="29" spans="1:4">
      <c r="A29" s="9" t="s">
        <v>187</v>
      </c>
      <c r="B29" s="15">
        <v>11.9329632884495</v>
      </c>
      <c r="C29" s="15">
        <v>10.866865474194601</v>
      </c>
      <c r="D29" s="26" t="s">
        <v>80</v>
      </c>
    </row>
    <row r="30" spans="1:4">
      <c r="A30" s="9" t="s">
        <v>188</v>
      </c>
      <c r="B30" s="15">
        <v>16.755695176933401</v>
      </c>
      <c r="C30" s="15">
        <v>19.9882774660358</v>
      </c>
      <c r="D30" s="24">
        <v>20.600122569507601</v>
      </c>
    </row>
    <row r="31" spans="1:4">
      <c r="A31" s="9" t="s">
        <v>189</v>
      </c>
      <c r="B31" s="15">
        <v>25.3086009936113</v>
      </c>
      <c r="C31" s="15">
        <v>26.073277583865099</v>
      </c>
      <c r="D31" s="24">
        <v>17.875792681383398</v>
      </c>
    </row>
    <row r="32" spans="1:4">
      <c r="A32" s="9" t="s">
        <v>190</v>
      </c>
      <c r="B32" s="15">
        <v>6.38101461853564</v>
      </c>
      <c r="C32" s="15">
        <v>7.0780995261024398</v>
      </c>
      <c r="D32" s="26" t="s">
        <v>80</v>
      </c>
    </row>
    <row r="33" spans="1:4">
      <c r="A33" s="9" t="s">
        <v>191</v>
      </c>
      <c r="B33" s="15">
        <v>14.9764315837349</v>
      </c>
      <c r="C33" s="15">
        <v>15.4898517223789</v>
      </c>
      <c r="D33" s="24">
        <v>16.874597077511201</v>
      </c>
    </row>
    <row r="34" spans="1:4">
      <c r="A34" s="9" t="s">
        <v>192</v>
      </c>
      <c r="B34" s="15">
        <v>33.555612779234202</v>
      </c>
      <c r="C34" s="15">
        <v>36.368784350326202</v>
      </c>
      <c r="D34" s="24">
        <v>39.869152812366103</v>
      </c>
    </row>
    <row r="35" spans="1:4">
      <c r="A35" s="9" t="s">
        <v>193</v>
      </c>
      <c r="B35" s="15">
        <v>25.0993190765363</v>
      </c>
      <c r="C35" s="15">
        <v>26.8923647536243</v>
      </c>
      <c r="D35" s="24">
        <v>27.065360252144099</v>
      </c>
    </row>
    <row r="36" spans="1:4">
      <c r="A36" s="9" t="s">
        <v>194</v>
      </c>
      <c r="B36" s="15">
        <v>15.6867138965943</v>
      </c>
      <c r="C36" s="15">
        <v>17.374007736354699</v>
      </c>
      <c r="D36" s="24">
        <v>14.9234539519487</v>
      </c>
    </row>
    <row r="37" spans="1:4">
      <c r="A37" s="9" t="s">
        <v>195</v>
      </c>
      <c r="B37" s="15">
        <v>20.992230503124599</v>
      </c>
      <c r="C37" s="15">
        <v>21.271546413759001</v>
      </c>
      <c r="D37" s="24">
        <v>23.695708694969898</v>
      </c>
    </row>
    <row r="38" spans="1:4">
      <c r="A38" s="9" t="s">
        <v>196</v>
      </c>
      <c r="B38" s="15">
        <v>29.8226247515789</v>
      </c>
      <c r="C38" s="15">
        <v>31.145441575503199</v>
      </c>
      <c r="D38" s="24">
        <v>29.4378183338256</v>
      </c>
    </row>
    <row r="39" spans="1:4">
      <c r="A39" s="9" t="s">
        <v>197</v>
      </c>
      <c r="B39" s="15">
        <v>34.396435729224301</v>
      </c>
      <c r="C39" s="15">
        <v>36.5327479817485</v>
      </c>
      <c r="D39" s="24">
        <v>34.370200170865502</v>
      </c>
    </row>
    <row r="40" spans="1:4">
      <c r="A40" s="9" t="s">
        <v>198</v>
      </c>
      <c r="B40" s="15">
        <v>17.8649809724416</v>
      </c>
      <c r="C40" s="15">
        <v>18.526343509767202</v>
      </c>
      <c r="D40" s="24">
        <v>17.644183541650499</v>
      </c>
    </row>
    <row r="41" spans="1:4">
      <c r="A41" s="9" t="s">
        <v>199</v>
      </c>
      <c r="B41" s="15">
        <v>21.692216953657798</v>
      </c>
      <c r="C41" s="15">
        <v>23.0079972170453</v>
      </c>
      <c r="D41" s="24">
        <v>23.907881573602999</v>
      </c>
    </row>
    <row r="42" spans="1:4">
      <c r="A42" s="9" t="s">
        <v>200</v>
      </c>
      <c r="B42" s="15">
        <v>12.992046515475799</v>
      </c>
      <c r="C42" s="15">
        <v>11.699306051299301</v>
      </c>
      <c r="D42" s="24">
        <v>12.895035167012299</v>
      </c>
    </row>
    <row r="43" spans="1:4">
      <c r="A43" s="9" t="s">
        <v>201</v>
      </c>
      <c r="B43" s="15">
        <v>20.456507134673199</v>
      </c>
      <c r="C43" s="15">
        <v>24.152582320177999</v>
      </c>
      <c r="D43" s="24">
        <v>21.029562762475301</v>
      </c>
    </row>
    <row r="44" spans="1:4">
      <c r="A44" s="9" t="s">
        <v>202</v>
      </c>
      <c r="B44" s="15">
        <v>33.983343501726502</v>
      </c>
      <c r="C44" s="15">
        <v>37.941607357979997</v>
      </c>
      <c r="D44" s="24">
        <v>36.6116114184371</v>
      </c>
    </row>
    <row r="45" spans="1:4">
      <c r="A45" s="9" t="s">
        <v>203</v>
      </c>
      <c r="B45" s="15">
        <v>13.793144107135999</v>
      </c>
      <c r="C45" s="15">
        <v>15.000920654870599</v>
      </c>
      <c r="D45" s="24">
        <v>21.318115074337399</v>
      </c>
    </row>
    <row r="46" spans="1:4">
      <c r="A46" s="9" t="s">
        <v>204</v>
      </c>
      <c r="B46" s="15">
        <v>23.7931543648609</v>
      </c>
      <c r="C46" s="15">
        <v>25.3500021545997</v>
      </c>
      <c r="D46" s="24">
        <v>24.230885374547</v>
      </c>
    </row>
    <row r="47" spans="1:4">
      <c r="A47" s="9" t="s">
        <v>205</v>
      </c>
      <c r="B47" s="15">
        <v>19.919883955216999</v>
      </c>
      <c r="C47" s="15">
        <v>19.512869153035801</v>
      </c>
      <c r="D47" s="24">
        <v>19.761128870064699</v>
      </c>
    </row>
    <row r="48" spans="1:4">
      <c r="A48" s="9" t="s">
        <v>206</v>
      </c>
      <c r="B48" s="15">
        <v>13.824942819406401</v>
      </c>
      <c r="C48" s="15">
        <v>14.5047331336221</v>
      </c>
      <c r="D48" s="24">
        <v>18.2111135571988</v>
      </c>
    </row>
    <row r="49" spans="1:4">
      <c r="A49" s="9" t="s">
        <v>207</v>
      </c>
      <c r="B49" s="15">
        <v>22.802492164630099</v>
      </c>
      <c r="C49" s="15">
        <v>27.093741110916</v>
      </c>
      <c r="D49" s="24">
        <v>28.388483252065001</v>
      </c>
    </row>
    <row r="50" spans="1:4">
      <c r="A50" s="9" t="s">
        <v>208</v>
      </c>
      <c r="B50" s="15">
        <v>47.236813245078501</v>
      </c>
      <c r="C50" s="15">
        <v>47.768626411199399</v>
      </c>
      <c r="D50" s="24">
        <v>47.970746589891</v>
      </c>
    </row>
    <row r="51" spans="1:4">
      <c r="A51" s="9" t="s">
        <v>209</v>
      </c>
      <c r="B51" s="15">
        <v>30.803619869744299</v>
      </c>
      <c r="C51" s="15">
        <v>32.300425862605898</v>
      </c>
      <c r="D51" s="24">
        <v>28.8461806568484</v>
      </c>
    </row>
    <row r="52" spans="1:4">
      <c r="A52" s="9" t="s">
        <v>210</v>
      </c>
      <c r="B52" s="15">
        <v>30.0228548239924</v>
      </c>
      <c r="C52" s="15">
        <v>33.187896897597803</v>
      </c>
      <c r="D52" s="24">
        <v>32.983144831672803</v>
      </c>
    </row>
    <row r="53" spans="1:4">
      <c r="A53" s="9" t="s">
        <v>211</v>
      </c>
      <c r="B53" s="15">
        <v>34.337447695791603</v>
      </c>
      <c r="C53" s="15">
        <v>34.700330455947302</v>
      </c>
      <c r="D53" s="24">
        <v>41.407813018367797</v>
      </c>
    </row>
    <row r="54" spans="1:4">
      <c r="A54" s="9" t="s">
        <v>212</v>
      </c>
      <c r="B54" s="15">
        <v>40.365079243576197</v>
      </c>
      <c r="C54" s="15">
        <v>37.1956740671421</v>
      </c>
      <c r="D54" s="24">
        <v>33.7691457800276</v>
      </c>
    </row>
    <row r="55" spans="1:4">
      <c r="A55" s="9" t="s">
        <v>213</v>
      </c>
      <c r="B55" s="15">
        <v>9.9319828054878805</v>
      </c>
      <c r="C55" s="15">
        <v>11.763055647170001</v>
      </c>
      <c r="D55" s="26" t="s">
        <v>80</v>
      </c>
    </row>
    <row r="56" spans="1:4">
      <c r="A56" s="9" t="s">
        <v>214</v>
      </c>
      <c r="B56" s="15">
        <v>14.971109122972999</v>
      </c>
      <c r="C56" s="15">
        <v>14.500061469084301</v>
      </c>
      <c r="D56" s="24">
        <v>13.932332117543901</v>
      </c>
    </row>
    <row r="57" spans="1:4">
      <c r="A57" s="9" t="s">
        <v>215</v>
      </c>
      <c r="B57" s="15">
        <v>13.7316128075071</v>
      </c>
      <c r="C57" s="15">
        <v>14.087060794580299</v>
      </c>
      <c r="D57" s="26" t="s">
        <v>80</v>
      </c>
    </row>
    <row r="58" spans="1:4">
      <c r="A58" s="9" t="s">
        <v>216</v>
      </c>
      <c r="B58" s="15">
        <v>32.106577673648999</v>
      </c>
      <c r="C58" s="15">
        <v>37.546426714780402</v>
      </c>
      <c r="D58" s="24">
        <v>36.358204430136702</v>
      </c>
    </row>
    <row r="59" spans="1:4">
      <c r="A59" s="9" t="s">
        <v>217</v>
      </c>
      <c r="B59" s="15">
        <v>6.7592849310593204</v>
      </c>
      <c r="C59" s="15">
        <v>5.7344436567360004</v>
      </c>
      <c r="D59" s="26" t="s">
        <v>80</v>
      </c>
    </row>
    <row r="60" spans="1:4">
      <c r="A60" s="9" t="s">
        <v>218</v>
      </c>
      <c r="B60" s="15">
        <v>6.3669254995389597</v>
      </c>
      <c r="C60" s="15">
        <v>5.8422584679352099</v>
      </c>
      <c r="D60" s="26" t="s">
        <v>80</v>
      </c>
    </row>
    <row r="61" spans="1:4">
      <c r="A61" s="9" t="s">
        <v>219</v>
      </c>
      <c r="B61" s="15">
        <v>8.8842244440959508</v>
      </c>
      <c r="C61" s="15">
        <v>8.5463124503063401</v>
      </c>
      <c r="D61" s="26" t="s">
        <v>80</v>
      </c>
    </row>
    <row r="62" spans="1:4">
      <c r="A62" s="9" t="s">
        <v>220</v>
      </c>
      <c r="B62" s="15">
        <v>12.672017089311</v>
      </c>
      <c r="C62" s="15">
        <v>14.544743669103999</v>
      </c>
      <c r="D62" s="24">
        <v>17.397429013844501</v>
      </c>
    </row>
    <row r="63" spans="1:4">
      <c r="A63" s="9" t="s">
        <v>221</v>
      </c>
      <c r="B63" s="15">
        <v>22.009077814604598</v>
      </c>
      <c r="C63" s="15">
        <v>22.261430545622801</v>
      </c>
      <c r="D63" s="24">
        <v>23.967995781826701</v>
      </c>
    </row>
    <row r="64" spans="1:4">
      <c r="A64" s="11" t="s">
        <v>222</v>
      </c>
      <c r="B64" s="16">
        <v>4.5374072265306502</v>
      </c>
      <c r="C64" s="16">
        <v>4.1886095717738696</v>
      </c>
      <c r="D64" s="29" t="s">
        <v>80</v>
      </c>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257</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161</v>
      </c>
      <c r="B3" s="15">
        <v>19.473500721573799</v>
      </c>
      <c r="C3" s="15">
        <v>21.097311699208301</v>
      </c>
      <c r="D3" s="24">
        <v>18.052898849084599</v>
      </c>
      <c r="E3" s="15">
        <v>17.6329766738682</v>
      </c>
      <c r="F3" s="15">
        <v>20.416861286045702</v>
      </c>
      <c r="G3" s="24">
        <v>15.183163695797001</v>
      </c>
      <c r="H3" s="15">
        <v>20.940772667702898</v>
      </c>
      <c r="I3" s="15">
        <v>21.6921923384552</v>
      </c>
      <c r="J3" s="24">
        <v>20.2774653096957</v>
      </c>
      <c r="K3" s="20" t="s">
        <v>80</v>
      </c>
      <c r="L3" s="20" t="s">
        <v>80</v>
      </c>
      <c r="M3" s="26" t="s">
        <v>80</v>
      </c>
      <c r="N3" s="20" t="s">
        <v>80</v>
      </c>
      <c r="O3" s="20" t="s">
        <v>80</v>
      </c>
      <c r="P3" s="26" t="s">
        <v>80</v>
      </c>
    </row>
    <row r="4" spans="1:16">
      <c r="A4" s="9" t="s">
        <v>162</v>
      </c>
      <c r="B4" s="15">
        <v>10.0998950425366</v>
      </c>
      <c r="C4" s="15">
        <v>12.3193103270991</v>
      </c>
      <c r="D4" s="24">
        <v>8.1582247665582202</v>
      </c>
      <c r="E4" s="15">
        <v>8.7963825344475293</v>
      </c>
      <c r="F4" s="15">
        <v>11.817846360246399</v>
      </c>
      <c r="G4" s="24">
        <v>6.1375003161127104</v>
      </c>
      <c r="H4" s="15">
        <v>11.6154323335914</v>
      </c>
      <c r="I4" s="15">
        <v>13.2204930350757</v>
      </c>
      <c r="J4" s="24">
        <v>10.198582848832899</v>
      </c>
      <c r="K4" s="20" t="s">
        <v>80</v>
      </c>
      <c r="L4" s="20" t="s">
        <v>80</v>
      </c>
      <c r="M4" s="26" t="s">
        <v>80</v>
      </c>
      <c r="N4" s="20" t="s">
        <v>80</v>
      </c>
      <c r="O4" s="20" t="s">
        <v>80</v>
      </c>
      <c r="P4" s="26" t="s">
        <v>80</v>
      </c>
    </row>
    <row r="5" spans="1:16">
      <c r="A5" s="9" t="s">
        <v>163</v>
      </c>
      <c r="B5" s="15">
        <v>11.459777047371499</v>
      </c>
      <c r="C5" s="15">
        <v>11.2598772661593</v>
      </c>
      <c r="D5" s="24">
        <v>11.6346607052674</v>
      </c>
      <c r="E5" s="15">
        <v>10.8970913227413</v>
      </c>
      <c r="F5" s="15">
        <v>10.9299088140623</v>
      </c>
      <c r="G5" s="24">
        <v>10.8682119949867</v>
      </c>
      <c r="H5" s="15">
        <v>12.1123373762422</v>
      </c>
      <c r="I5" s="15">
        <v>11.6448120937143</v>
      </c>
      <c r="J5" s="24">
        <v>12.5250401201624</v>
      </c>
      <c r="K5" s="20" t="s">
        <v>80</v>
      </c>
      <c r="L5" s="20" t="s">
        <v>80</v>
      </c>
      <c r="M5" s="26" t="s">
        <v>80</v>
      </c>
      <c r="N5" s="20" t="s">
        <v>80</v>
      </c>
      <c r="O5" s="20" t="s">
        <v>80</v>
      </c>
      <c r="P5" s="26" t="s">
        <v>80</v>
      </c>
    </row>
    <row r="6" spans="1:16">
      <c r="A6" s="9" t="s">
        <v>164</v>
      </c>
      <c r="B6" s="15">
        <v>14.1444473320649</v>
      </c>
      <c r="C6" s="15">
        <v>16.808508798589301</v>
      </c>
      <c r="D6" s="24">
        <v>11.8137753758476</v>
      </c>
      <c r="E6" s="15">
        <v>12.3339099411054</v>
      </c>
      <c r="F6" s="15">
        <v>15.3560696976889</v>
      </c>
      <c r="G6" s="24">
        <v>9.6744153050502195</v>
      </c>
      <c r="H6" s="15">
        <v>16.2764742366567</v>
      </c>
      <c r="I6" s="15">
        <v>18.521778181496099</v>
      </c>
      <c r="J6" s="24">
        <v>14.294457148810899</v>
      </c>
      <c r="K6" s="20" t="s">
        <v>80</v>
      </c>
      <c r="L6" s="20" t="s">
        <v>80</v>
      </c>
      <c r="M6" s="26" t="s">
        <v>80</v>
      </c>
      <c r="N6" s="20" t="s">
        <v>80</v>
      </c>
      <c r="O6" s="20" t="s">
        <v>80</v>
      </c>
      <c r="P6" s="26" t="s">
        <v>80</v>
      </c>
    </row>
    <row r="7" spans="1:16">
      <c r="A7" s="9" t="s">
        <v>165</v>
      </c>
      <c r="B7" s="15">
        <v>10.886366885788901</v>
      </c>
      <c r="C7" s="15">
        <v>13.086600125445299</v>
      </c>
      <c r="D7" s="24">
        <v>8.9614781498340399</v>
      </c>
      <c r="E7" s="15">
        <v>13.5686048531126</v>
      </c>
      <c r="F7" s="15">
        <v>15.461466460555799</v>
      </c>
      <c r="G7" s="24">
        <v>11.902890365047</v>
      </c>
      <c r="H7" s="15">
        <v>8.2363302421701494</v>
      </c>
      <c r="I7" s="15">
        <v>10.909399037343199</v>
      </c>
      <c r="J7" s="24">
        <v>5.8767084897577497</v>
      </c>
      <c r="K7" s="20" t="s">
        <v>80</v>
      </c>
      <c r="L7" s="20" t="s">
        <v>80</v>
      </c>
      <c r="M7" s="26" t="s">
        <v>80</v>
      </c>
      <c r="N7" s="20" t="s">
        <v>80</v>
      </c>
      <c r="O7" s="20" t="s">
        <v>80</v>
      </c>
      <c r="P7" s="26" t="s">
        <v>80</v>
      </c>
    </row>
    <row r="8" spans="1:16">
      <c r="A8" s="9" t="s">
        <v>166</v>
      </c>
      <c r="B8" s="15">
        <v>2.88305496649091</v>
      </c>
      <c r="C8" s="15">
        <v>4.0906893636307702</v>
      </c>
      <c r="D8" s="24">
        <v>1.82654795336658</v>
      </c>
      <c r="E8" s="15">
        <v>3.3926319911729901</v>
      </c>
      <c r="F8" s="15">
        <v>5.1880502692899899</v>
      </c>
      <c r="G8" s="26" t="s">
        <v>80</v>
      </c>
      <c r="H8" s="15">
        <v>2.3634844414098302</v>
      </c>
      <c r="I8" s="15">
        <v>2.9969556885590798</v>
      </c>
      <c r="J8" s="26" t="s">
        <v>80</v>
      </c>
      <c r="K8" s="20" t="s">
        <v>80</v>
      </c>
      <c r="L8" s="20" t="s">
        <v>80</v>
      </c>
      <c r="M8" s="26" t="s">
        <v>80</v>
      </c>
      <c r="N8" s="20" t="s">
        <v>80</v>
      </c>
      <c r="O8" s="20" t="s">
        <v>80</v>
      </c>
      <c r="P8" s="26" t="s">
        <v>80</v>
      </c>
    </row>
    <row r="9" spans="1:16">
      <c r="A9" s="9" t="s">
        <v>167</v>
      </c>
      <c r="B9" s="15">
        <v>6.8534196459650598</v>
      </c>
      <c r="C9" s="15">
        <v>8.7702150708080406</v>
      </c>
      <c r="D9" s="24">
        <v>5.1764983742064397</v>
      </c>
      <c r="E9" s="15">
        <v>7.6834190725454397</v>
      </c>
      <c r="F9" s="15">
        <v>9.9648713162026805</v>
      </c>
      <c r="G9" s="24">
        <v>5.6757455896313997</v>
      </c>
      <c r="H9" s="15">
        <v>6.2301864219865797</v>
      </c>
      <c r="I9" s="15">
        <v>7.7973262676760102</v>
      </c>
      <c r="J9" s="24">
        <v>4.8468111509728198</v>
      </c>
      <c r="K9" s="20" t="s">
        <v>80</v>
      </c>
      <c r="L9" s="20" t="s">
        <v>80</v>
      </c>
      <c r="M9" s="26" t="s">
        <v>80</v>
      </c>
      <c r="N9" s="20" t="s">
        <v>80</v>
      </c>
      <c r="O9" s="20" t="s">
        <v>80</v>
      </c>
      <c r="P9" s="26" t="s">
        <v>80</v>
      </c>
    </row>
    <row r="10" spans="1:16">
      <c r="A10" s="9" t="s">
        <v>168</v>
      </c>
      <c r="B10" s="15">
        <v>18.526913310229901</v>
      </c>
      <c r="C10" s="15">
        <v>15.5454767352239</v>
      </c>
      <c r="D10" s="24">
        <v>21.135242998535801</v>
      </c>
      <c r="E10" s="15">
        <v>21.339959455095698</v>
      </c>
      <c r="F10" s="15">
        <v>20.010090106446899</v>
      </c>
      <c r="G10" s="24">
        <v>22.510241863787499</v>
      </c>
      <c r="H10" s="15">
        <v>15.9494580877986</v>
      </c>
      <c r="I10" s="15">
        <v>11.1466288471269</v>
      </c>
      <c r="J10" s="24">
        <v>20.189102188943899</v>
      </c>
      <c r="K10" s="20" t="s">
        <v>80</v>
      </c>
      <c r="L10" s="20" t="s">
        <v>80</v>
      </c>
      <c r="M10" s="26" t="s">
        <v>80</v>
      </c>
      <c r="N10" s="20" t="s">
        <v>80</v>
      </c>
      <c r="O10" s="20" t="s">
        <v>80</v>
      </c>
      <c r="P10" s="26" t="s">
        <v>80</v>
      </c>
    </row>
    <row r="11" spans="1:16">
      <c r="A11" s="9" t="s">
        <v>169</v>
      </c>
      <c r="B11" s="15">
        <v>15.788478581541799</v>
      </c>
      <c r="C11" s="15">
        <v>17.5018049650248</v>
      </c>
      <c r="D11" s="24">
        <v>14.289563558743501</v>
      </c>
      <c r="E11" s="15">
        <v>13.606375702143801</v>
      </c>
      <c r="F11" s="15">
        <v>15.3380815195562</v>
      </c>
      <c r="G11" s="24">
        <v>12.0824779920372</v>
      </c>
      <c r="H11" s="15">
        <v>18.3154109704044</v>
      </c>
      <c r="I11" s="15">
        <v>20.073569331114101</v>
      </c>
      <c r="J11" s="24">
        <v>16.763416229525301</v>
      </c>
      <c r="K11" s="20" t="s">
        <v>80</v>
      </c>
      <c r="L11" s="20" t="s">
        <v>80</v>
      </c>
      <c r="M11" s="26" t="s">
        <v>80</v>
      </c>
      <c r="N11" s="20" t="s">
        <v>80</v>
      </c>
      <c r="O11" s="20" t="s">
        <v>80</v>
      </c>
      <c r="P11" s="26" t="s">
        <v>80</v>
      </c>
    </row>
    <row r="12" spans="1:16">
      <c r="A12" s="9" t="s">
        <v>170</v>
      </c>
      <c r="B12" s="15">
        <v>12.133245741783201</v>
      </c>
      <c r="C12" s="15">
        <v>14.4763142534606</v>
      </c>
      <c r="D12" s="24">
        <v>10.083396614695801</v>
      </c>
      <c r="E12" s="15">
        <v>13.3643349751408</v>
      </c>
      <c r="F12" s="15">
        <v>16.002318998026301</v>
      </c>
      <c r="G12" s="24">
        <v>11.0429142284114</v>
      </c>
      <c r="H12" s="15">
        <v>10.672492819341199</v>
      </c>
      <c r="I12" s="15">
        <v>12.581359600656301</v>
      </c>
      <c r="J12" s="24">
        <v>8.9874618961633796</v>
      </c>
      <c r="K12" s="20" t="s">
        <v>80</v>
      </c>
      <c r="L12" s="20" t="s">
        <v>80</v>
      </c>
      <c r="M12" s="26" t="s">
        <v>80</v>
      </c>
      <c r="N12" s="20" t="s">
        <v>80</v>
      </c>
      <c r="O12" s="20" t="s">
        <v>80</v>
      </c>
      <c r="P12" s="26" t="s">
        <v>80</v>
      </c>
    </row>
    <row r="13" spans="1:16">
      <c r="A13" s="9" t="s">
        <v>171</v>
      </c>
      <c r="B13" s="15">
        <v>9.9973148728299801</v>
      </c>
      <c r="C13" s="15">
        <v>13.007313932354499</v>
      </c>
      <c r="D13" s="24">
        <v>7.3639971042926202</v>
      </c>
      <c r="E13" s="15">
        <v>3.02180307440358</v>
      </c>
      <c r="F13" s="15">
        <v>4.1406064726832801</v>
      </c>
      <c r="G13" s="24">
        <v>2.03725828651026</v>
      </c>
      <c r="H13" s="15">
        <v>17.121566610118801</v>
      </c>
      <c r="I13" s="15">
        <v>21.934106155880599</v>
      </c>
      <c r="J13" s="24">
        <v>12.873350845141101</v>
      </c>
      <c r="K13" s="20" t="s">
        <v>80</v>
      </c>
      <c r="L13" s="20" t="s">
        <v>80</v>
      </c>
      <c r="M13" s="26" t="s">
        <v>80</v>
      </c>
      <c r="N13" s="20" t="s">
        <v>80</v>
      </c>
      <c r="O13" s="20" t="s">
        <v>80</v>
      </c>
      <c r="P13" s="26" t="s">
        <v>80</v>
      </c>
    </row>
    <row r="14" spans="1:16">
      <c r="A14" s="9" t="s">
        <v>172</v>
      </c>
      <c r="B14" s="15">
        <v>14.214379951632599</v>
      </c>
      <c r="C14" s="15">
        <v>15.9663564609821</v>
      </c>
      <c r="D14" s="24">
        <v>12.6816516082361</v>
      </c>
      <c r="E14" s="15">
        <v>11.9524283892809</v>
      </c>
      <c r="F14" s="15">
        <v>14.666157806028099</v>
      </c>
      <c r="G14" s="24">
        <v>9.5643518450735705</v>
      </c>
      <c r="H14" s="15">
        <v>16.6190896809252</v>
      </c>
      <c r="I14" s="15">
        <v>17.6303766041678</v>
      </c>
      <c r="J14" s="24">
        <v>15.7263873957006</v>
      </c>
      <c r="K14" s="20" t="s">
        <v>80</v>
      </c>
      <c r="L14" s="20" t="s">
        <v>80</v>
      </c>
      <c r="M14" s="26" t="s">
        <v>80</v>
      </c>
      <c r="N14" s="20" t="s">
        <v>80</v>
      </c>
      <c r="O14" s="20" t="s">
        <v>80</v>
      </c>
      <c r="P14" s="26" t="s">
        <v>80</v>
      </c>
    </row>
    <row r="15" spans="1:16">
      <c r="A15" s="9" t="s">
        <v>173</v>
      </c>
      <c r="B15" s="15">
        <v>8.7301363915362096</v>
      </c>
      <c r="C15" s="15">
        <v>10.3319477450238</v>
      </c>
      <c r="D15" s="24">
        <v>7.3287810370763902</v>
      </c>
      <c r="E15" s="15">
        <v>8.7887882947473805</v>
      </c>
      <c r="F15" s="15">
        <v>11.4886159824822</v>
      </c>
      <c r="G15" s="24">
        <v>6.4129452447024997</v>
      </c>
      <c r="H15" s="15">
        <v>8.6723339127076802</v>
      </c>
      <c r="I15" s="15">
        <v>9.1839316312093207</v>
      </c>
      <c r="J15" s="24">
        <v>8.2207267160500805</v>
      </c>
      <c r="K15" s="20" t="s">
        <v>80</v>
      </c>
      <c r="L15" s="20" t="s">
        <v>80</v>
      </c>
      <c r="M15" s="26" t="s">
        <v>80</v>
      </c>
      <c r="N15" s="20" t="s">
        <v>80</v>
      </c>
      <c r="O15" s="20" t="s">
        <v>80</v>
      </c>
      <c r="P15" s="26" t="s">
        <v>80</v>
      </c>
    </row>
    <row r="16" spans="1:16">
      <c r="A16" s="9" t="s">
        <v>174</v>
      </c>
      <c r="B16" s="15">
        <v>6.7683080868607801</v>
      </c>
      <c r="C16" s="15">
        <v>9.5654408339602703</v>
      </c>
      <c r="D16" s="24">
        <v>4.3212178326006097</v>
      </c>
      <c r="E16" s="15">
        <v>7.4752277416312403</v>
      </c>
      <c r="F16" s="15">
        <v>10.9145682503773</v>
      </c>
      <c r="G16" s="24">
        <v>4.4486148649783903</v>
      </c>
      <c r="H16" s="15">
        <v>5.9851861237220296</v>
      </c>
      <c r="I16" s="15">
        <v>7.9545214374772497</v>
      </c>
      <c r="J16" s="24">
        <v>4.2467772759879701</v>
      </c>
      <c r="K16" s="20" t="s">
        <v>80</v>
      </c>
      <c r="L16" s="20" t="s">
        <v>80</v>
      </c>
      <c r="M16" s="26" t="s">
        <v>80</v>
      </c>
      <c r="N16" s="20" t="s">
        <v>80</v>
      </c>
      <c r="O16" s="20" t="s">
        <v>80</v>
      </c>
      <c r="P16" s="26" t="s">
        <v>80</v>
      </c>
    </row>
    <row r="17" spans="1:16">
      <c r="A17" s="9" t="s">
        <v>175</v>
      </c>
      <c r="B17" s="15">
        <v>8.6533922851300993</v>
      </c>
      <c r="C17" s="15">
        <v>9.9149459493408099</v>
      </c>
      <c r="D17" s="24">
        <v>7.54971364130546</v>
      </c>
      <c r="E17" s="15">
        <v>9.0045528056917394</v>
      </c>
      <c r="F17" s="15">
        <v>9.9136459211394694</v>
      </c>
      <c r="G17" s="24">
        <v>8.2045526538330602</v>
      </c>
      <c r="H17" s="15">
        <v>8.2522129881584991</v>
      </c>
      <c r="I17" s="15">
        <v>9.8913223638281096</v>
      </c>
      <c r="J17" s="24">
        <v>6.8053074149097998</v>
      </c>
      <c r="K17" s="20" t="s">
        <v>80</v>
      </c>
      <c r="L17" s="20" t="s">
        <v>80</v>
      </c>
      <c r="M17" s="26" t="s">
        <v>80</v>
      </c>
      <c r="N17" s="20" t="s">
        <v>80</v>
      </c>
      <c r="O17" s="20" t="s">
        <v>80</v>
      </c>
      <c r="P17" s="26" t="s">
        <v>80</v>
      </c>
    </row>
    <row r="18" spans="1:16">
      <c r="A18" s="9" t="s">
        <v>176</v>
      </c>
      <c r="B18" s="15">
        <v>5.5568887543764003</v>
      </c>
      <c r="C18" s="15">
        <v>6.4060983851069198</v>
      </c>
      <c r="D18" s="24">
        <v>4.81395204057924</v>
      </c>
      <c r="E18" s="15">
        <v>3.0373638270047301</v>
      </c>
      <c r="F18" s="15">
        <v>3.5419341401938902</v>
      </c>
      <c r="G18" s="24">
        <v>2.5933429447479002</v>
      </c>
      <c r="H18" s="15">
        <v>8.1136575391764403</v>
      </c>
      <c r="I18" s="15">
        <v>9.2987943949075795</v>
      </c>
      <c r="J18" s="24">
        <v>7.0674911593890597</v>
      </c>
      <c r="K18" s="20" t="s">
        <v>80</v>
      </c>
      <c r="L18" s="20" t="s">
        <v>80</v>
      </c>
      <c r="M18" s="26" t="s">
        <v>80</v>
      </c>
      <c r="N18" s="20" t="s">
        <v>80</v>
      </c>
      <c r="O18" s="20" t="s">
        <v>80</v>
      </c>
      <c r="P18" s="26" t="s">
        <v>80</v>
      </c>
    </row>
    <row r="19" spans="1:16">
      <c r="A19" s="9" t="s">
        <v>177</v>
      </c>
      <c r="B19" s="15">
        <v>12.8725273053892</v>
      </c>
      <c r="C19" s="15">
        <v>13.694783324682399</v>
      </c>
      <c r="D19" s="24">
        <v>12.153171138469601</v>
      </c>
      <c r="E19" s="15">
        <v>12.084742616241</v>
      </c>
      <c r="F19" s="15">
        <v>13.332005915402499</v>
      </c>
      <c r="G19" s="24">
        <v>10.987153368471301</v>
      </c>
      <c r="H19" s="15">
        <v>13.5112196236727</v>
      </c>
      <c r="I19" s="15">
        <v>14.276259785744299</v>
      </c>
      <c r="J19" s="24">
        <v>12.8358889284236</v>
      </c>
      <c r="K19" s="20" t="s">
        <v>80</v>
      </c>
      <c r="L19" s="20" t="s">
        <v>80</v>
      </c>
      <c r="M19" s="26" t="s">
        <v>80</v>
      </c>
      <c r="N19" s="20" t="s">
        <v>80</v>
      </c>
      <c r="O19" s="20" t="s">
        <v>80</v>
      </c>
      <c r="P19" s="26" t="s">
        <v>80</v>
      </c>
    </row>
    <row r="20" spans="1:16">
      <c r="A20" s="9" t="s">
        <v>178</v>
      </c>
      <c r="B20" s="15">
        <v>12.3696180000717</v>
      </c>
      <c r="C20" s="15">
        <v>14.844506513728399</v>
      </c>
      <c r="D20" s="24">
        <v>10.2044452643732</v>
      </c>
      <c r="E20" s="15">
        <v>13.0241480743385</v>
      </c>
      <c r="F20" s="15">
        <v>16.318804911595699</v>
      </c>
      <c r="G20" s="24">
        <v>10.1248565437566</v>
      </c>
      <c r="H20" s="15">
        <v>11.2706317262298</v>
      </c>
      <c r="I20" s="15">
        <v>12.813721800060399</v>
      </c>
      <c r="J20" s="24">
        <v>9.9084861238729598</v>
      </c>
      <c r="K20" s="20" t="s">
        <v>80</v>
      </c>
      <c r="L20" s="20" t="s">
        <v>80</v>
      </c>
      <c r="M20" s="26" t="s">
        <v>80</v>
      </c>
      <c r="N20" s="20" t="s">
        <v>80</v>
      </c>
      <c r="O20" s="20" t="s">
        <v>80</v>
      </c>
      <c r="P20" s="26" t="s">
        <v>80</v>
      </c>
    </row>
    <row r="21" spans="1:16">
      <c r="A21" s="9" t="s">
        <v>179</v>
      </c>
      <c r="B21" s="15">
        <v>6.1437095014785097</v>
      </c>
      <c r="C21" s="15">
        <v>8.20544941727373</v>
      </c>
      <c r="D21" s="24">
        <v>4.33998257432662</v>
      </c>
      <c r="E21" s="15">
        <v>5.3601746536452</v>
      </c>
      <c r="F21" s="15">
        <v>8.53088901122387</v>
      </c>
      <c r="G21" s="24">
        <v>2.5699522611742598</v>
      </c>
      <c r="H21" s="15">
        <v>7.0137861683219702</v>
      </c>
      <c r="I21" s="15">
        <v>7.8434510271767799</v>
      </c>
      <c r="J21" s="24">
        <v>6.2814087406623802</v>
      </c>
      <c r="K21" s="20" t="s">
        <v>80</v>
      </c>
      <c r="L21" s="20" t="s">
        <v>80</v>
      </c>
      <c r="M21" s="26" t="s">
        <v>80</v>
      </c>
      <c r="N21" s="20" t="s">
        <v>80</v>
      </c>
      <c r="O21" s="20" t="s">
        <v>80</v>
      </c>
      <c r="P21" s="26" t="s">
        <v>80</v>
      </c>
    </row>
    <row r="22" spans="1:16">
      <c r="A22" s="9" t="s">
        <v>180</v>
      </c>
      <c r="B22" s="15">
        <v>10.4989445610386</v>
      </c>
      <c r="C22" s="15">
        <v>14.2992859257345</v>
      </c>
      <c r="D22" s="24">
        <v>7.17419055140049</v>
      </c>
      <c r="E22" s="15">
        <v>12.870639391169799</v>
      </c>
      <c r="F22" s="15">
        <v>16.173523586316001</v>
      </c>
      <c r="G22" s="24">
        <v>9.9641078018426494</v>
      </c>
      <c r="H22" s="15">
        <v>8.1546356649373202</v>
      </c>
      <c r="I22" s="15">
        <v>12.664915603888099</v>
      </c>
      <c r="J22" s="24">
        <v>4.1732362065187898</v>
      </c>
      <c r="K22" s="20" t="s">
        <v>80</v>
      </c>
      <c r="L22" s="20" t="s">
        <v>80</v>
      </c>
      <c r="M22" s="26" t="s">
        <v>80</v>
      </c>
      <c r="N22" s="20" t="s">
        <v>80</v>
      </c>
      <c r="O22" s="20" t="s">
        <v>80</v>
      </c>
      <c r="P22" s="26" t="s">
        <v>80</v>
      </c>
    </row>
    <row r="23" spans="1:16">
      <c r="A23" s="9" t="s">
        <v>181</v>
      </c>
      <c r="B23" s="15">
        <v>7.9483324253710901</v>
      </c>
      <c r="C23" s="15">
        <v>9.5984134025219205</v>
      </c>
      <c r="D23" s="24">
        <v>6.5047480684566601</v>
      </c>
      <c r="E23" s="15">
        <v>5.1081911960986801</v>
      </c>
      <c r="F23" s="15">
        <v>6.9144390671271898</v>
      </c>
      <c r="G23" s="24">
        <v>3.51869662556114</v>
      </c>
      <c r="H23" s="15">
        <v>10.983511811292701</v>
      </c>
      <c r="I23" s="15">
        <v>12.5435624551762</v>
      </c>
      <c r="J23" s="24">
        <v>9.6063944543359092</v>
      </c>
      <c r="K23" s="20" t="s">
        <v>80</v>
      </c>
      <c r="L23" s="20" t="s">
        <v>80</v>
      </c>
      <c r="M23" s="26" t="s">
        <v>80</v>
      </c>
      <c r="N23" s="20" t="s">
        <v>80</v>
      </c>
      <c r="O23" s="20" t="s">
        <v>80</v>
      </c>
      <c r="P23" s="26" t="s">
        <v>80</v>
      </c>
    </row>
    <row r="24" spans="1:16">
      <c r="A24" s="9" t="s">
        <v>182</v>
      </c>
      <c r="B24" s="15">
        <v>4.14533702379555</v>
      </c>
      <c r="C24" s="15">
        <v>5.5134335129841601</v>
      </c>
      <c r="D24" s="24">
        <v>2.9484486783809198</v>
      </c>
      <c r="E24" s="15">
        <v>3.8538383139506198</v>
      </c>
      <c r="F24" s="15">
        <v>5.4691658648194599</v>
      </c>
      <c r="G24" s="24">
        <v>2.43235324928798</v>
      </c>
      <c r="H24" s="15">
        <v>4.3915976071829901</v>
      </c>
      <c r="I24" s="15">
        <v>5.6166986139238997</v>
      </c>
      <c r="J24" s="24">
        <v>3.31015331752302</v>
      </c>
      <c r="K24" s="20" t="s">
        <v>80</v>
      </c>
      <c r="L24" s="20" t="s">
        <v>80</v>
      </c>
      <c r="M24" s="26" t="s">
        <v>80</v>
      </c>
      <c r="N24" s="20" t="s">
        <v>80</v>
      </c>
      <c r="O24" s="20" t="s">
        <v>80</v>
      </c>
      <c r="P24" s="26" t="s">
        <v>80</v>
      </c>
    </row>
    <row r="25" spans="1:16">
      <c r="A25" s="9" t="s">
        <v>183</v>
      </c>
      <c r="B25" s="15">
        <v>3.57024185591282</v>
      </c>
      <c r="C25" s="15">
        <v>5.0393691636778</v>
      </c>
      <c r="D25" s="24">
        <v>2.2849660245004002</v>
      </c>
      <c r="E25" s="15">
        <v>4.2552247572035098</v>
      </c>
      <c r="F25" s="15">
        <v>5.9303556843319898</v>
      </c>
      <c r="G25" s="24">
        <v>2.7811128391675402</v>
      </c>
      <c r="H25" s="15">
        <v>2.68509613868838</v>
      </c>
      <c r="I25" s="15">
        <v>3.8931087810560201</v>
      </c>
      <c r="J25" s="26" t="s">
        <v>80</v>
      </c>
      <c r="K25" s="20" t="s">
        <v>80</v>
      </c>
      <c r="L25" s="20" t="s">
        <v>80</v>
      </c>
      <c r="M25" s="26" t="s">
        <v>80</v>
      </c>
      <c r="N25" s="20" t="s">
        <v>80</v>
      </c>
      <c r="O25" s="20" t="s">
        <v>80</v>
      </c>
      <c r="P25" s="26" t="s">
        <v>80</v>
      </c>
    </row>
    <row r="26" spans="1:16">
      <c r="A26" s="9" t="s">
        <v>184</v>
      </c>
      <c r="B26" s="15">
        <v>11.4879932203369</v>
      </c>
      <c r="C26" s="15">
        <v>14.876790276842501</v>
      </c>
      <c r="D26" s="24">
        <v>8.5232814957183507</v>
      </c>
      <c r="E26" s="15">
        <v>13.459258298907701</v>
      </c>
      <c r="F26" s="15">
        <v>16.801192633876401</v>
      </c>
      <c r="G26" s="24">
        <v>10.5183626634151</v>
      </c>
      <c r="H26" s="15">
        <v>9.6289773678518706</v>
      </c>
      <c r="I26" s="15">
        <v>13.0524770043535</v>
      </c>
      <c r="J26" s="24">
        <v>6.6069211356095696</v>
      </c>
      <c r="K26" s="20" t="s">
        <v>80</v>
      </c>
      <c r="L26" s="20" t="s">
        <v>80</v>
      </c>
      <c r="M26" s="26" t="s">
        <v>80</v>
      </c>
      <c r="N26" s="20" t="s">
        <v>80</v>
      </c>
      <c r="O26" s="20" t="s">
        <v>80</v>
      </c>
      <c r="P26" s="26" t="s">
        <v>80</v>
      </c>
    </row>
    <row r="27" spans="1:16">
      <c r="A27" s="9" t="s">
        <v>185</v>
      </c>
      <c r="B27" s="15">
        <v>10.4002888285866</v>
      </c>
      <c r="C27" s="15">
        <v>14.4863407394819</v>
      </c>
      <c r="D27" s="24">
        <v>6.8255790405289396</v>
      </c>
      <c r="E27" s="15">
        <v>3.6813858683234999</v>
      </c>
      <c r="F27" s="15">
        <v>5.3122488131796697</v>
      </c>
      <c r="G27" s="24">
        <v>2.2462296875366001</v>
      </c>
      <c r="H27" s="15">
        <v>17.180106233300801</v>
      </c>
      <c r="I27" s="15">
        <v>23.735540190195401</v>
      </c>
      <c r="J27" s="24">
        <v>11.393369809186501</v>
      </c>
      <c r="K27" s="20" t="s">
        <v>80</v>
      </c>
      <c r="L27" s="20" t="s">
        <v>80</v>
      </c>
      <c r="M27" s="26" t="s">
        <v>80</v>
      </c>
      <c r="N27" s="20" t="s">
        <v>80</v>
      </c>
      <c r="O27" s="20" t="s">
        <v>80</v>
      </c>
      <c r="P27" s="26" t="s">
        <v>80</v>
      </c>
    </row>
    <row r="28" spans="1:16">
      <c r="A28" s="9" t="s">
        <v>186</v>
      </c>
      <c r="B28" s="15">
        <v>16.244634336870199</v>
      </c>
      <c r="C28" s="15">
        <v>20.714548143727999</v>
      </c>
      <c r="D28" s="24">
        <v>12.334100406906799</v>
      </c>
      <c r="E28" s="15">
        <v>8.8676476130378905</v>
      </c>
      <c r="F28" s="15">
        <v>11.8724526037625</v>
      </c>
      <c r="G28" s="24">
        <v>6.2234251367720903</v>
      </c>
      <c r="H28" s="15">
        <v>23.759538445950501</v>
      </c>
      <c r="I28" s="15">
        <v>29.5100075193508</v>
      </c>
      <c r="J28" s="24">
        <v>18.6833758209286</v>
      </c>
      <c r="K28" s="20" t="s">
        <v>80</v>
      </c>
      <c r="L28" s="20" t="s">
        <v>80</v>
      </c>
      <c r="M28" s="26" t="s">
        <v>80</v>
      </c>
      <c r="N28" s="20" t="s">
        <v>80</v>
      </c>
      <c r="O28" s="20" t="s">
        <v>80</v>
      </c>
      <c r="P28" s="26" t="s">
        <v>80</v>
      </c>
    </row>
    <row r="29" spans="1:16">
      <c r="A29" s="9" t="s">
        <v>187</v>
      </c>
      <c r="B29" s="15">
        <v>8.5307062197693906</v>
      </c>
      <c r="C29" s="15">
        <v>10.7125201180682</v>
      </c>
      <c r="D29" s="24">
        <v>6.6219317675475704</v>
      </c>
      <c r="E29" s="15">
        <v>8.6124464068415207</v>
      </c>
      <c r="F29" s="15">
        <v>11.6084470504072</v>
      </c>
      <c r="G29" s="24">
        <v>5.9759717387423796</v>
      </c>
      <c r="H29" s="15">
        <v>8.4365599594254999</v>
      </c>
      <c r="I29" s="15">
        <v>9.5034134525157796</v>
      </c>
      <c r="J29" s="24">
        <v>7.4948069026097697</v>
      </c>
      <c r="K29" s="20" t="s">
        <v>80</v>
      </c>
      <c r="L29" s="20" t="s">
        <v>80</v>
      </c>
      <c r="M29" s="26" t="s">
        <v>80</v>
      </c>
      <c r="N29" s="20" t="s">
        <v>80</v>
      </c>
      <c r="O29" s="20" t="s">
        <v>80</v>
      </c>
      <c r="P29" s="26" t="s">
        <v>80</v>
      </c>
    </row>
    <row r="30" spans="1:16">
      <c r="A30" s="9" t="s">
        <v>188</v>
      </c>
      <c r="B30" s="15">
        <v>10.239751096230201</v>
      </c>
      <c r="C30" s="15">
        <v>10.2223068263641</v>
      </c>
      <c r="D30" s="24">
        <v>10.2550123321606</v>
      </c>
      <c r="E30" s="15">
        <v>11.655685449063</v>
      </c>
      <c r="F30" s="15">
        <v>13.2566912464452</v>
      </c>
      <c r="G30" s="24">
        <v>10.2468034992732</v>
      </c>
      <c r="H30" s="15">
        <v>8.6075286603883008</v>
      </c>
      <c r="I30" s="15">
        <v>7.1653976035316997</v>
      </c>
      <c r="J30" s="24">
        <v>9.8805538132512094</v>
      </c>
      <c r="K30" s="20" t="s">
        <v>80</v>
      </c>
      <c r="L30" s="20" t="s">
        <v>80</v>
      </c>
      <c r="M30" s="26" t="s">
        <v>80</v>
      </c>
      <c r="N30" s="20" t="s">
        <v>80</v>
      </c>
      <c r="O30" s="20" t="s">
        <v>80</v>
      </c>
      <c r="P30" s="26" t="s">
        <v>80</v>
      </c>
    </row>
    <row r="31" spans="1:16">
      <c r="A31" s="9" t="s">
        <v>189</v>
      </c>
      <c r="B31" s="15">
        <v>14.628441103694801</v>
      </c>
      <c r="C31" s="15">
        <v>16.831714633982799</v>
      </c>
      <c r="D31" s="24">
        <v>12.7008925491873</v>
      </c>
      <c r="E31" s="15">
        <v>14.130706121956299</v>
      </c>
      <c r="F31" s="15">
        <v>17.275293641593599</v>
      </c>
      <c r="G31" s="24">
        <v>11.3634752954377</v>
      </c>
      <c r="H31" s="15">
        <v>14.786569082457101</v>
      </c>
      <c r="I31" s="15">
        <v>16.362258588595498</v>
      </c>
      <c r="J31" s="24">
        <v>13.3956466937606</v>
      </c>
      <c r="K31" s="20" t="s">
        <v>80</v>
      </c>
      <c r="L31" s="20" t="s">
        <v>80</v>
      </c>
      <c r="M31" s="26" t="s">
        <v>80</v>
      </c>
      <c r="N31" s="20" t="s">
        <v>80</v>
      </c>
      <c r="O31" s="20" t="s">
        <v>80</v>
      </c>
      <c r="P31" s="26" t="s">
        <v>80</v>
      </c>
    </row>
    <row r="32" spans="1:16">
      <c r="A32" s="9" t="s">
        <v>190</v>
      </c>
      <c r="B32" s="15">
        <v>4.7549107240387203</v>
      </c>
      <c r="C32" s="15">
        <v>5.3465888030567097</v>
      </c>
      <c r="D32" s="24">
        <v>4.2372772072434604</v>
      </c>
      <c r="E32" s="15">
        <v>3.7946001299043202</v>
      </c>
      <c r="F32" s="15">
        <v>5.3862592788362802</v>
      </c>
      <c r="G32" s="24">
        <v>2.3939432123500599</v>
      </c>
      <c r="H32" s="15">
        <v>5.5978456555464202</v>
      </c>
      <c r="I32" s="15">
        <v>5.23078028648602</v>
      </c>
      <c r="J32" s="24">
        <v>5.9218685280427099</v>
      </c>
      <c r="K32" s="20" t="s">
        <v>80</v>
      </c>
      <c r="L32" s="20" t="s">
        <v>80</v>
      </c>
      <c r="M32" s="26" t="s">
        <v>80</v>
      </c>
      <c r="N32" s="20" t="s">
        <v>80</v>
      </c>
      <c r="O32" s="20" t="s">
        <v>80</v>
      </c>
      <c r="P32" s="26" t="s">
        <v>80</v>
      </c>
    </row>
    <row r="33" spans="1:16">
      <c r="A33" s="9" t="s">
        <v>191</v>
      </c>
      <c r="B33" s="15">
        <v>10.0604466405949</v>
      </c>
      <c r="C33" s="15">
        <v>12.1324103625688</v>
      </c>
      <c r="D33" s="24">
        <v>8.2477753483651401</v>
      </c>
      <c r="E33" s="15">
        <v>8.9207995756559502</v>
      </c>
      <c r="F33" s="15">
        <v>11.97340510595</v>
      </c>
      <c r="G33" s="24">
        <v>6.2345127186741296</v>
      </c>
      <c r="H33" s="15">
        <v>11.577928645338099</v>
      </c>
      <c r="I33" s="15">
        <v>12.736112327826699</v>
      </c>
      <c r="J33" s="24">
        <v>10.555554879491099</v>
      </c>
      <c r="K33" s="20" t="s">
        <v>80</v>
      </c>
      <c r="L33" s="20" t="s">
        <v>80</v>
      </c>
      <c r="M33" s="26" t="s">
        <v>80</v>
      </c>
      <c r="N33" s="20" t="s">
        <v>80</v>
      </c>
      <c r="O33" s="20" t="s">
        <v>80</v>
      </c>
      <c r="P33" s="26" t="s">
        <v>80</v>
      </c>
    </row>
    <row r="34" spans="1:16">
      <c r="A34" s="9" t="s">
        <v>192</v>
      </c>
      <c r="B34" s="15">
        <v>18.506089897412799</v>
      </c>
      <c r="C34" s="15">
        <v>19.154550299213401</v>
      </c>
      <c r="D34" s="24">
        <v>17.938779986517201</v>
      </c>
      <c r="E34" s="15">
        <v>21.379941020917201</v>
      </c>
      <c r="F34" s="15">
        <v>21.661841318928701</v>
      </c>
      <c r="G34" s="24">
        <v>21.131869313645399</v>
      </c>
      <c r="H34" s="15">
        <v>15.902999450146501</v>
      </c>
      <c r="I34" s="15">
        <v>16.779422682466102</v>
      </c>
      <c r="J34" s="24">
        <v>15.129346588299001</v>
      </c>
      <c r="K34" s="20" t="s">
        <v>80</v>
      </c>
      <c r="L34" s="20" t="s">
        <v>80</v>
      </c>
      <c r="M34" s="26" t="s">
        <v>80</v>
      </c>
      <c r="N34" s="20" t="s">
        <v>80</v>
      </c>
      <c r="O34" s="20" t="s">
        <v>80</v>
      </c>
      <c r="P34" s="26" t="s">
        <v>80</v>
      </c>
    </row>
    <row r="35" spans="1:16">
      <c r="A35" s="9" t="s">
        <v>193</v>
      </c>
      <c r="B35" s="15">
        <v>11.074987535776501</v>
      </c>
      <c r="C35" s="15">
        <v>13.6540993344342</v>
      </c>
      <c r="D35" s="24">
        <v>8.8186343635191395</v>
      </c>
      <c r="E35" s="15">
        <v>11.5525075447795</v>
      </c>
      <c r="F35" s="15">
        <v>14.5065319060765</v>
      </c>
      <c r="G35" s="24">
        <v>8.9529719224379498</v>
      </c>
      <c r="H35" s="15">
        <v>10.6601716655489</v>
      </c>
      <c r="I35" s="15">
        <v>13.0334905473203</v>
      </c>
      <c r="J35" s="24">
        <v>8.5651508157482894</v>
      </c>
      <c r="K35" s="20" t="s">
        <v>80</v>
      </c>
      <c r="L35" s="20" t="s">
        <v>80</v>
      </c>
      <c r="M35" s="26" t="s">
        <v>80</v>
      </c>
      <c r="N35" s="20" t="s">
        <v>80</v>
      </c>
      <c r="O35" s="20" t="s">
        <v>80</v>
      </c>
      <c r="P35" s="26" t="s">
        <v>80</v>
      </c>
    </row>
    <row r="36" spans="1:16">
      <c r="A36" s="9" t="s">
        <v>194</v>
      </c>
      <c r="B36" s="15">
        <v>7.2986702853409797</v>
      </c>
      <c r="C36" s="15">
        <v>9.45724068738269</v>
      </c>
      <c r="D36" s="24">
        <v>5.4102305609667303</v>
      </c>
      <c r="E36" s="15">
        <v>4.6161398496292296</v>
      </c>
      <c r="F36" s="15">
        <v>7.1045593458359297</v>
      </c>
      <c r="G36" s="24">
        <v>2.42633559192894</v>
      </c>
      <c r="H36" s="15">
        <v>10.0424791711837</v>
      </c>
      <c r="I36" s="15">
        <v>11.934798066488201</v>
      </c>
      <c r="J36" s="24">
        <v>8.3720557103567206</v>
      </c>
      <c r="K36" s="20" t="s">
        <v>80</v>
      </c>
      <c r="L36" s="20" t="s">
        <v>80</v>
      </c>
      <c r="M36" s="26" t="s">
        <v>80</v>
      </c>
      <c r="N36" s="20" t="s">
        <v>80</v>
      </c>
      <c r="O36" s="20" t="s">
        <v>80</v>
      </c>
      <c r="P36" s="26" t="s">
        <v>80</v>
      </c>
    </row>
    <row r="37" spans="1:16">
      <c r="A37" s="9" t="s">
        <v>195</v>
      </c>
      <c r="B37" s="15">
        <v>12.9860335829334</v>
      </c>
      <c r="C37" s="15">
        <v>14.247664648338001</v>
      </c>
      <c r="D37" s="24">
        <v>11.8822872241578</v>
      </c>
      <c r="E37" s="15">
        <v>10.7484416768812</v>
      </c>
      <c r="F37" s="15">
        <v>13.5786428085976</v>
      </c>
      <c r="G37" s="24">
        <v>8.2578702527993695</v>
      </c>
      <c r="H37" s="15">
        <v>15.690031527976901</v>
      </c>
      <c r="I37" s="15">
        <v>15.473037732578801</v>
      </c>
      <c r="J37" s="24">
        <v>15.8815803877311</v>
      </c>
      <c r="K37" s="20" t="s">
        <v>80</v>
      </c>
      <c r="L37" s="20" t="s">
        <v>80</v>
      </c>
      <c r="M37" s="26" t="s">
        <v>80</v>
      </c>
      <c r="N37" s="20" t="s">
        <v>80</v>
      </c>
      <c r="O37" s="20" t="s">
        <v>80</v>
      </c>
      <c r="P37" s="26" t="s">
        <v>80</v>
      </c>
    </row>
    <row r="38" spans="1:16">
      <c r="A38" s="9" t="s">
        <v>196</v>
      </c>
      <c r="B38" s="15">
        <v>16.2925667818864</v>
      </c>
      <c r="C38" s="15">
        <v>19.8898063324181</v>
      </c>
      <c r="D38" s="24">
        <v>13.145497750045401</v>
      </c>
      <c r="E38" s="15">
        <v>16.153216407208902</v>
      </c>
      <c r="F38" s="15">
        <v>19.523495393099601</v>
      </c>
      <c r="G38" s="24">
        <v>13.187377534707</v>
      </c>
      <c r="H38" s="15">
        <v>16.472815474942099</v>
      </c>
      <c r="I38" s="15">
        <v>20.8124955145664</v>
      </c>
      <c r="J38" s="24">
        <v>12.642011180455301</v>
      </c>
      <c r="K38" s="20" t="s">
        <v>80</v>
      </c>
      <c r="L38" s="20" t="s">
        <v>80</v>
      </c>
      <c r="M38" s="26" t="s">
        <v>80</v>
      </c>
      <c r="N38" s="20" t="s">
        <v>80</v>
      </c>
      <c r="O38" s="20" t="s">
        <v>80</v>
      </c>
      <c r="P38" s="26" t="s">
        <v>80</v>
      </c>
    </row>
    <row r="39" spans="1:16">
      <c r="A39" s="9" t="s">
        <v>197</v>
      </c>
      <c r="B39" s="15">
        <v>8.4296483119695598</v>
      </c>
      <c r="C39" s="15">
        <v>10.847408674365999</v>
      </c>
      <c r="D39" s="24">
        <v>6.3144545207231104</v>
      </c>
      <c r="E39" s="15">
        <v>9.9579496872346098</v>
      </c>
      <c r="F39" s="15">
        <v>11.7603849183753</v>
      </c>
      <c r="G39" s="24">
        <v>8.3718102322923897</v>
      </c>
      <c r="H39" s="15">
        <v>7.0150309385384499</v>
      </c>
      <c r="I39" s="15">
        <v>10.121017990139601</v>
      </c>
      <c r="J39" s="24">
        <v>4.27325540963934</v>
      </c>
      <c r="K39" s="20" t="s">
        <v>80</v>
      </c>
      <c r="L39" s="20" t="s">
        <v>80</v>
      </c>
      <c r="M39" s="26" t="s">
        <v>80</v>
      </c>
      <c r="N39" s="20" t="s">
        <v>80</v>
      </c>
      <c r="O39" s="20" t="s">
        <v>80</v>
      </c>
      <c r="P39" s="26" t="s">
        <v>80</v>
      </c>
    </row>
    <row r="40" spans="1:16">
      <c r="A40" s="9" t="s">
        <v>198</v>
      </c>
      <c r="B40" s="15">
        <v>11.791589956831499</v>
      </c>
      <c r="C40" s="15">
        <v>14.2650668012946</v>
      </c>
      <c r="D40" s="24">
        <v>9.6276522293496196</v>
      </c>
      <c r="E40" s="15">
        <v>7.8963532599110797</v>
      </c>
      <c r="F40" s="15">
        <v>10.9224134798561</v>
      </c>
      <c r="G40" s="24">
        <v>5.2334262237765303</v>
      </c>
      <c r="H40" s="15">
        <v>15.378890658603201</v>
      </c>
      <c r="I40" s="15">
        <v>17.742677990842999</v>
      </c>
      <c r="J40" s="24">
        <v>13.2922836781536</v>
      </c>
      <c r="K40" s="20" t="s">
        <v>80</v>
      </c>
      <c r="L40" s="20" t="s">
        <v>80</v>
      </c>
      <c r="M40" s="26" t="s">
        <v>80</v>
      </c>
      <c r="N40" s="20" t="s">
        <v>80</v>
      </c>
      <c r="O40" s="20" t="s">
        <v>80</v>
      </c>
      <c r="P40" s="26" t="s">
        <v>80</v>
      </c>
    </row>
    <row r="41" spans="1:16">
      <c r="A41" s="9" t="s">
        <v>199</v>
      </c>
      <c r="B41" s="15">
        <v>9.0612381612843294</v>
      </c>
      <c r="C41" s="15">
        <v>9.7655947265345695</v>
      </c>
      <c r="D41" s="24">
        <v>8.4450271186960304</v>
      </c>
      <c r="E41" s="15">
        <v>9.6529140949010408</v>
      </c>
      <c r="F41" s="15">
        <v>10.9086761441632</v>
      </c>
      <c r="G41" s="24">
        <v>8.5478459637742006</v>
      </c>
      <c r="H41" s="15">
        <v>8.4458904150426193</v>
      </c>
      <c r="I41" s="15">
        <v>8.6703101527022799</v>
      </c>
      <c r="J41" s="24">
        <v>8.2477863873390795</v>
      </c>
      <c r="K41" s="20" t="s">
        <v>80</v>
      </c>
      <c r="L41" s="20" t="s">
        <v>80</v>
      </c>
      <c r="M41" s="26" t="s">
        <v>80</v>
      </c>
      <c r="N41" s="20" t="s">
        <v>80</v>
      </c>
      <c r="O41" s="20" t="s">
        <v>80</v>
      </c>
      <c r="P41" s="26" t="s">
        <v>80</v>
      </c>
    </row>
    <row r="42" spans="1:16">
      <c r="A42" s="9" t="s">
        <v>200</v>
      </c>
      <c r="B42" s="15">
        <v>9.5994573320862902</v>
      </c>
      <c r="C42" s="15">
        <v>11.8663165958537</v>
      </c>
      <c r="D42" s="24">
        <v>7.6162803742187002</v>
      </c>
      <c r="E42" s="15">
        <v>8.5218155227271808</v>
      </c>
      <c r="F42" s="15">
        <v>11.0233032686026</v>
      </c>
      <c r="G42" s="24">
        <v>6.3205112310459297</v>
      </c>
      <c r="H42" s="15">
        <v>10.7330917568451</v>
      </c>
      <c r="I42" s="15">
        <v>12.818762196955401</v>
      </c>
      <c r="J42" s="24">
        <v>8.8919893700548105</v>
      </c>
      <c r="K42" s="20" t="s">
        <v>80</v>
      </c>
      <c r="L42" s="20" t="s">
        <v>80</v>
      </c>
      <c r="M42" s="26" t="s">
        <v>80</v>
      </c>
      <c r="N42" s="20" t="s">
        <v>80</v>
      </c>
      <c r="O42" s="20" t="s">
        <v>80</v>
      </c>
      <c r="P42" s="26" t="s">
        <v>80</v>
      </c>
    </row>
    <row r="43" spans="1:16">
      <c r="A43" s="9" t="s">
        <v>201</v>
      </c>
      <c r="B43" s="15">
        <v>6.3339837694103096</v>
      </c>
      <c r="C43" s="15">
        <v>7.9933780165077497</v>
      </c>
      <c r="D43" s="24">
        <v>4.8822516361183403</v>
      </c>
      <c r="E43" s="15">
        <v>6.2374097311509802</v>
      </c>
      <c r="F43" s="15">
        <v>9.0975515991046798</v>
      </c>
      <c r="G43" s="24">
        <v>3.7204905181246799</v>
      </c>
      <c r="H43" s="15">
        <v>6.4056075252485902</v>
      </c>
      <c r="I43" s="15">
        <v>7.0204468756612002</v>
      </c>
      <c r="J43" s="24">
        <v>5.8628649261458401</v>
      </c>
      <c r="K43" s="20" t="s">
        <v>80</v>
      </c>
      <c r="L43" s="20" t="s">
        <v>80</v>
      </c>
      <c r="M43" s="26" t="s">
        <v>80</v>
      </c>
      <c r="N43" s="20" t="s">
        <v>80</v>
      </c>
      <c r="O43" s="20" t="s">
        <v>80</v>
      </c>
      <c r="P43" s="26" t="s">
        <v>80</v>
      </c>
    </row>
    <row r="44" spans="1:16">
      <c r="A44" s="9" t="s">
        <v>202</v>
      </c>
      <c r="B44" s="15">
        <v>3.8554874659812901</v>
      </c>
      <c r="C44" s="15">
        <v>4.1547663005186397</v>
      </c>
      <c r="D44" s="24">
        <v>3.59366137994297</v>
      </c>
      <c r="E44" s="15">
        <v>3.7655571773424099</v>
      </c>
      <c r="F44" s="15">
        <v>4.5245142879189997</v>
      </c>
      <c r="G44" s="24">
        <v>3.0976764141969801</v>
      </c>
      <c r="H44" s="15">
        <v>3.99218073006625</v>
      </c>
      <c r="I44" s="15">
        <v>3.8753967511157601</v>
      </c>
      <c r="J44" s="24">
        <v>4.0952704887594997</v>
      </c>
      <c r="K44" s="20" t="s">
        <v>80</v>
      </c>
      <c r="L44" s="20" t="s">
        <v>80</v>
      </c>
      <c r="M44" s="26" t="s">
        <v>80</v>
      </c>
      <c r="N44" s="20" t="s">
        <v>80</v>
      </c>
      <c r="O44" s="20" t="s">
        <v>80</v>
      </c>
      <c r="P44" s="26" t="s">
        <v>80</v>
      </c>
    </row>
    <row r="45" spans="1:16">
      <c r="A45" s="9" t="s">
        <v>203</v>
      </c>
      <c r="B45" s="15">
        <v>10.998260900760799</v>
      </c>
      <c r="C45" s="15">
        <v>14.045439262301</v>
      </c>
      <c r="D45" s="24">
        <v>8.3324165716884497</v>
      </c>
      <c r="E45" s="15">
        <v>11.57665590105</v>
      </c>
      <c r="F45" s="15">
        <v>15.126085625104199</v>
      </c>
      <c r="G45" s="24">
        <v>8.4531647316590401</v>
      </c>
      <c r="H45" s="15">
        <v>10.6279114393011</v>
      </c>
      <c r="I45" s="15">
        <v>13.090813438433299</v>
      </c>
      <c r="J45" s="24">
        <v>8.4538120888816497</v>
      </c>
      <c r="K45" s="20" t="s">
        <v>80</v>
      </c>
      <c r="L45" s="20" t="s">
        <v>80</v>
      </c>
      <c r="M45" s="26" t="s">
        <v>80</v>
      </c>
      <c r="N45" s="20" t="s">
        <v>80</v>
      </c>
      <c r="O45" s="20" t="s">
        <v>80</v>
      </c>
      <c r="P45" s="26" t="s">
        <v>80</v>
      </c>
    </row>
    <row r="46" spans="1:16">
      <c r="A46" s="9" t="s">
        <v>204</v>
      </c>
      <c r="B46" s="15">
        <v>12.322248973497301</v>
      </c>
      <c r="C46" s="15">
        <v>15.236514680576001</v>
      </c>
      <c r="D46" s="24">
        <v>9.7726841673534803</v>
      </c>
      <c r="E46" s="15">
        <v>10.290764618232201</v>
      </c>
      <c r="F46" s="15">
        <v>12.6545769066981</v>
      </c>
      <c r="G46" s="24">
        <v>8.2106144580289904</v>
      </c>
      <c r="H46" s="15">
        <v>14.001486548042299</v>
      </c>
      <c r="I46" s="15">
        <v>17.789072754498399</v>
      </c>
      <c r="J46" s="24">
        <v>10.658036945088</v>
      </c>
      <c r="K46" s="20" t="s">
        <v>80</v>
      </c>
      <c r="L46" s="20" t="s">
        <v>80</v>
      </c>
      <c r="M46" s="26" t="s">
        <v>80</v>
      </c>
      <c r="N46" s="20" t="s">
        <v>80</v>
      </c>
      <c r="O46" s="20" t="s">
        <v>80</v>
      </c>
      <c r="P46" s="26" t="s">
        <v>80</v>
      </c>
    </row>
    <row r="47" spans="1:16">
      <c r="A47" s="9" t="s">
        <v>205</v>
      </c>
      <c r="B47" s="15">
        <v>16.814388513821601</v>
      </c>
      <c r="C47" s="15">
        <v>18.950201142521799</v>
      </c>
      <c r="D47" s="24">
        <v>14.945858579360101</v>
      </c>
      <c r="E47" s="15">
        <v>16.810177269460802</v>
      </c>
      <c r="F47" s="15">
        <v>18.862471552108701</v>
      </c>
      <c r="G47" s="24">
        <v>15.0041623410907</v>
      </c>
      <c r="H47" s="15">
        <v>17.144799453844598</v>
      </c>
      <c r="I47" s="15">
        <v>19.316432667333899</v>
      </c>
      <c r="J47" s="24">
        <v>15.2278143848244</v>
      </c>
      <c r="K47" s="20" t="s">
        <v>80</v>
      </c>
      <c r="L47" s="20" t="s">
        <v>80</v>
      </c>
      <c r="M47" s="26" t="s">
        <v>80</v>
      </c>
      <c r="N47" s="20" t="s">
        <v>80</v>
      </c>
      <c r="O47" s="20" t="s">
        <v>80</v>
      </c>
      <c r="P47" s="26" t="s">
        <v>80</v>
      </c>
    </row>
    <row r="48" spans="1:16">
      <c r="A48" s="9" t="s">
        <v>206</v>
      </c>
      <c r="B48" s="15">
        <v>9.1243202088920601</v>
      </c>
      <c r="C48" s="15">
        <v>9.3212202441626992</v>
      </c>
      <c r="D48" s="24">
        <v>8.9520608987560308</v>
      </c>
      <c r="E48" s="15">
        <v>9.9812115709227296</v>
      </c>
      <c r="F48" s="15">
        <v>9.9892309723613106</v>
      </c>
      <c r="G48" s="24">
        <v>9.9741545134446099</v>
      </c>
      <c r="H48" s="15">
        <v>8.3612544270613807</v>
      </c>
      <c r="I48" s="15">
        <v>8.6790386175615097</v>
      </c>
      <c r="J48" s="24">
        <v>8.0807339668955596</v>
      </c>
      <c r="K48" s="20" t="s">
        <v>80</v>
      </c>
      <c r="L48" s="20" t="s">
        <v>80</v>
      </c>
      <c r="M48" s="26" t="s">
        <v>80</v>
      </c>
      <c r="N48" s="20" t="s">
        <v>80</v>
      </c>
      <c r="O48" s="20" t="s">
        <v>80</v>
      </c>
      <c r="P48" s="26" t="s">
        <v>80</v>
      </c>
    </row>
    <row r="49" spans="1:16">
      <c r="A49" s="9" t="s">
        <v>207</v>
      </c>
      <c r="B49" s="15">
        <v>19.0792768743663</v>
      </c>
      <c r="C49" s="15">
        <v>20.273989561641901</v>
      </c>
      <c r="D49" s="24">
        <v>18.034074505367201</v>
      </c>
      <c r="E49" s="15">
        <v>14.3883541623371</v>
      </c>
      <c r="F49" s="15">
        <v>19.067950198542501</v>
      </c>
      <c r="G49" s="24">
        <v>10.270318863216101</v>
      </c>
      <c r="H49" s="15">
        <v>24.001228961303902</v>
      </c>
      <c r="I49" s="15">
        <v>21.649891590663898</v>
      </c>
      <c r="J49" s="24">
        <v>26.076845876603901</v>
      </c>
      <c r="K49" s="20" t="s">
        <v>80</v>
      </c>
      <c r="L49" s="20" t="s">
        <v>80</v>
      </c>
      <c r="M49" s="26" t="s">
        <v>80</v>
      </c>
      <c r="N49" s="20" t="s">
        <v>80</v>
      </c>
      <c r="O49" s="20" t="s">
        <v>80</v>
      </c>
      <c r="P49" s="26" t="s">
        <v>80</v>
      </c>
    </row>
    <row r="50" spans="1:16">
      <c r="A50" s="9" t="s">
        <v>208</v>
      </c>
      <c r="B50" s="15">
        <v>8.9292365670082603</v>
      </c>
      <c r="C50" s="15">
        <v>8.1034060956254095</v>
      </c>
      <c r="D50" s="24">
        <v>9.6517198671975706</v>
      </c>
      <c r="E50" s="15">
        <v>8.25646710096043</v>
      </c>
      <c r="F50" s="15">
        <v>6.9227303170163896</v>
      </c>
      <c r="G50" s="24">
        <v>9.4301528450981404</v>
      </c>
      <c r="H50" s="15">
        <v>9.6378778889758703</v>
      </c>
      <c r="I50" s="15">
        <v>9.0428480383855607</v>
      </c>
      <c r="J50" s="24">
        <v>10.163133872407</v>
      </c>
      <c r="K50" s="20" t="s">
        <v>80</v>
      </c>
      <c r="L50" s="20" t="s">
        <v>80</v>
      </c>
      <c r="M50" s="26" t="s">
        <v>80</v>
      </c>
      <c r="N50" s="20" t="s">
        <v>80</v>
      </c>
      <c r="O50" s="20" t="s">
        <v>80</v>
      </c>
      <c r="P50" s="26" t="s">
        <v>80</v>
      </c>
    </row>
    <row r="51" spans="1:16">
      <c r="A51" s="9" t="s">
        <v>209</v>
      </c>
      <c r="B51" s="15">
        <v>12.418951688417099</v>
      </c>
      <c r="C51" s="15">
        <v>14.8002647156483</v>
      </c>
      <c r="D51" s="24">
        <v>10.335644091620701</v>
      </c>
      <c r="E51" s="15">
        <v>12.8109436228464</v>
      </c>
      <c r="F51" s="15">
        <v>14.414079726693201</v>
      </c>
      <c r="G51" s="24">
        <v>11.400187007561801</v>
      </c>
      <c r="H51" s="15">
        <v>12.1897859809912</v>
      </c>
      <c r="I51" s="15">
        <v>15.430719952927699</v>
      </c>
      <c r="J51" s="24">
        <v>9.3288875588768292</v>
      </c>
      <c r="K51" s="20" t="s">
        <v>80</v>
      </c>
      <c r="L51" s="20" t="s">
        <v>80</v>
      </c>
      <c r="M51" s="26" t="s">
        <v>80</v>
      </c>
      <c r="N51" s="20" t="s">
        <v>80</v>
      </c>
      <c r="O51" s="20" t="s">
        <v>80</v>
      </c>
      <c r="P51" s="26" t="s">
        <v>80</v>
      </c>
    </row>
    <row r="52" spans="1:16">
      <c r="A52" s="9" t="s">
        <v>210</v>
      </c>
      <c r="B52" s="15">
        <v>17.014882987747601</v>
      </c>
      <c r="C52" s="15">
        <v>18.0929601837165</v>
      </c>
      <c r="D52" s="24">
        <v>16.071719956843399</v>
      </c>
      <c r="E52" s="15">
        <v>17.765958799652399</v>
      </c>
      <c r="F52" s="15">
        <v>19.7512537929085</v>
      </c>
      <c r="G52" s="24">
        <v>16.0189031140455</v>
      </c>
      <c r="H52" s="15">
        <v>15.958538974269301</v>
      </c>
      <c r="I52" s="15">
        <v>16.351071047463599</v>
      </c>
      <c r="J52" s="24">
        <v>15.6120356519076</v>
      </c>
      <c r="K52" s="20" t="s">
        <v>80</v>
      </c>
      <c r="L52" s="20" t="s">
        <v>80</v>
      </c>
      <c r="M52" s="26" t="s">
        <v>80</v>
      </c>
      <c r="N52" s="20" t="s">
        <v>80</v>
      </c>
      <c r="O52" s="20" t="s">
        <v>80</v>
      </c>
      <c r="P52" s="26" t="s">
        <v>80</v>
      </c>
    </row>
    <row r="53" spans="1:16">
      <c r="A53" s="9" t="s">
        <v>211</v>
      </c>
      <c r="B53" s="15">
        <v>15.887236679249501</v>
      </c>
      <c r="C53" s="15">
        <v>17.192886435069799</v>
      </c>
      <c r="D53" s="24">
        <v>14.7449802753451</v>
      </c>
      <c r="E53" s="15">
        <v>15.904456251500401</v>
      </c>
      <c r="F53" s="15">
        <v>17.100109832267599</v>
      </c>
      <c r="G53" s="24">
        <v>14.8522834543133</v>
      </c>
      <c r="H53" s="15">
        <v>16.012908572642299</v>
      </c>
      <c r="I53" s="15">
        <v>17.2935156537777</v>
      </c>
      <c r="J53" s="24">
        <v>14.8824669130796</v>
      </c>
      <c r="K53" s="20" t="s">
        <v>80</v>
      </c>
      <c r="L53" s="20" t="s">
        <v>80</v>
      </c>
      <c r="M53" s="26" t="s">
        <v>80</v>
      </c>
      <c r="N53" s="20" t="s">
        <v>80</v>
      </c>
      <c r="O53" s="20" t="s">
        <v>80</v>
      </c>
      <c r="P53" s="26" t="s">
        <v>80</v>
      </c>
    </row>
    <row r="54" spans="1:16">
      <c r="A54" s="9" t="s">
        <v>212</v>
      </c>
      <c r="B54" s="15">
        <v>14.959482180524899</v>
      </c>
      <c r="C54" s="15">
        <v>16.996045689308801</v>
      </c>
      <c r="D54" s="24">
        <v>13.1777810010959</v>
      </c>
      <c r="E54" s="15">
        <v>11.2601952684727</v>
      </c>
      <c r="F54" s="15">
        <v>13.630267448781201</v>
      </c>
      <c r="G54" s="24">
        <v>9.1745364157720104</v>
      </c>
      <c r="H54" s="15">
        <v>18.827156141604799</v>
      </c>
      <c r="I54" s="15">
        <v>20.518773767378999</v>
      </c>
      <c r="J54" s="24">
        <v>17.333899494507399</v>
      </c>
      <c r="K54" s="20" t="s">
        <v>80</v>
      </c>
      <c r="L54" s="20" t="s">
        <v>80</v>
      </c>
      <c r="M54" s="26" t="s">
        <v>80</v>
      </c>
      <c r="N54" s="20" t="s">
        <v>80</v>
      </c>
      <c r="O54" s="20" t="s">
        <v>80</v>
      </c>
      <c r="P54" s="26" t="s">
        <v>80</v>
      </c>
    </row>
    <row r="55" spans="1:16">
      <c r="A55" s="9" t="s">
        <v>213</v>
      </c>
      <c r="B55" s="15">
        <v>8.2407218069812895</v>
      </c>
      <c r="C55" s="15">
        <v>9.9748945014251191</v>
      </c>
      <c r="D55" s="24">
        <v>6.7235692498929298</v>
      </c>
      <c r="E55" s="15">
        <v>8.4621024396930604</v>
      </c>
      <c r="F55" s="15">
        <v>10.5822842932852</v>
      </c>
      <c r="G55" s="24">
        <v>6.5963465825426804</v>
      </c>
      <c r="H55" s="15">
        <v>8.3325498642810896</v>
      </c>
      <c r="I55" s="15">
        <v>9.7115132254725705</v>
      </c>
      <c r="J55" s="24">
        <v>7.1152852922944803</v>
      </c>
      <c r="K55" s="20" t="s">
        <v>80</v>
      </c>
      <c r="L55" s="20" t="s">
        <v>80</v>
      </c>
      <c r="M55" s="26" t="s">
        <v>80</v>
      </c>
      <c r="N55" s="20" t="s">
        <v>80</v>
      </c>
      <c r="O55" s="20" t="s">
        <v>80</v>
      </c>
      <c r="P55" s="26" t="s">
        <v>80</v>
      </c>
    </row>
    <row r="56" spans="1:16">
      <c r="A56" s="9" t="s">
        <v>214</v>
      </c>
      <c r="B56" s="15">
        <v>10.4384241646324</v>
      </c>
      <c r="C56" s="15">
        <v>12.0783532031801</v>
      </c>
      <c r="D56" s="24">
        <v>9.0037212989676192</v>
      </c>
      <c r="E56" s="15">
        <v>8.6581051314638202</v>
      </c>
      <c r="F56" s="15">
        <v>11.8195849351804</v>
      </c>
      <c r="G56" s="24">
        <v>5.87600912821138</v>
      </c>
      <c r="H56" s="15">
        <v>12.460353333910399</v>
      </c>
      <c r="I56" s="15">
        <v>12.813805040224601</v>
      </c>
      <c r="J56" s="24">
        <v>12.1483477708093</v>
      </c>
      <c r="K56" s="20" t="s">
        <v>80</v>
      </c>
      <c r="L56" s="20" t="s">
        <v>80</v>
      </c>
      <c r="M56" s="26" t="s">
        <v>80</v>
      </c>
      <c r="N56" s="20" t="s">
        <v>80</v>
      </c>
      <c r="O56" s="20" t="s">
        <v>80</v>
      </c>
      <c r="P56" s="26" t="s">
        <v>80</v>
      </c>
    </row>
    <row r="57" spans="1:16">
      <c r="A57" s="9" t="s">
        <v>215</v>
      </c>
      <c r="B57" s="15">
        <v>9.0533104760878906</v>
      </c>
      <c r="C57" s="15">
        <v>12.4411043470017</v>
      </c>
      <c r="D57" s="24">
        <v>6.0894763950804096</v>
      </c>
      <c r="E57" s="15">
        <v>8.2079190225408798</v>
      </c>
      <c r="F57" s="15">
        <v>11.7371778345619</v>
      </c>
      <c r="G57" s="24">
        <v>5.10217821602859</v>
      </c>
      <c r="H57" s="15">
        <v>10.247401540977201</v>
      </c>
      <c r="I57" s="15">
        <v>13.371354153118199</v>
      </c>
      <c r="J57" s="24">
        <v>7.4897671133019399</v>
      </c>
      <c r="K57" s="20" t="s">
        <v>80</v>
      </c>
      <c r="L57" s="20" t="s">
        <v>80</v>
      </c>
      <c r="M57" s="26" t="s">
        <v>80</v>
      </c>
      <c r="N57" s="20" t="s">
        <v>80</v>
      </c>
      <c r="O57" s="20" t="s">
        <v>80</v>
      </c>
      <c r="P57" s="26" t="s">
        <v>80</v>
      </c>
    </row>
    <row r="58" spans="1:16">
      <c r="A58" s="9" t="s">
        <v>216</v>
      </c>
      <c r="B58" s="15">
        <v>13.659435385077799</v>
      </c>
      <c r="C58" s="15">
        <v>14.055095470896999</v>
      </c>
      <c r="D58" s="24">
        <v>13.3132895180246</v>
      </c>
      <c r="E58" s="15">
        <v>15.882155332024899</v>
      </c>
      <c r="F58" s="15">
        <v>17.840065573096599</v>
      </c>
      <c r="G58" s="24">
        <v>14.1591981744278</v>
      </c>
      <c r="H58" s="15">
        <v>11.531138041381601</v>
      </c>
      <c r="I58" s="15">
        <v>10.6166817891447</v>
      </c>
      <c r="J58" s="24">
        <v>12.3383641286054</v>
      </c>
      <c r="K58" s="20" t="s">
        <v>80</v>
      </c>
      <c r="L58" s="20" t="s">
        <v>80</v>
      </c>
      <c r="M58" s="26" t="s">
        <v>80</v>
      </c>
      <c r="N58" s="20" t="s">
        <v>80</v>
      </c>
      <c r="O58" s="20" t="s">
        <v>80</v>
      </c>
      <c r="P58" s="26" t="s">
        <v>80</v>
      </c>
    </row>
    <row r="59" spans="1:16">
      <c r="A59" s="9" t="s">
        <v>217</v>
      </c>
      <c r="B59" s="15">
        <v>3.9963149450056799</v>
      </c>
      <c r="C59" s="15">
        <v>4.34041270010189</v>
      </c>
      <c r="D59" s="24">
        <v>3.6952787271565599</v>
      </c>
      <c r="E59" s="15">
        <v>3.9501910836415299</v>
      </c>
      <c r="F59" s="15">
        <v>4.8397804426860098</v>
      </c>
      <c r="G59" s="24">
        <v>3.16735419902058</v>
      </c>
      <c r="H59" s="15">
        <v>3.81809570338479</v>
      </c>
      <c r="I59" s="15">
        <v>3.8318784146865998</v>
      </c>
      <c r="J59" s="24">
        <v>3.8059291682571801</v>
      </c>
      <c r="K59" s="20" t="s">
        <v>80</v>
      </c>
      <c r="L59" s="20" t="s">
        <v>80</v>
      </c>
      <c r="M59" s="26" t="s">
        <v>80</v>
      </c>
      <c r="N59" s="20" t="s">
        <v>80</v>
      </c>
      <c r="O59" s="20" t="s">
        <v>80</v>
      </c>
      <c r="P59" s="26" t="s">
        <v>80</v>
      </c>
    </row>
    <row r="60" spans="1:16">
      <c r="A60" s="9" t="s">
        <v>218</v>
      </c>
      <c r="B60" s="15">
        <v>4.3573808568054604</v>
      </c>
      <c r="C60" s="15">
        <v>4.4081580291546896</v>
      </c>
      <c r="D60" s="24">
        <v>4.3129581086453896</v>
      </c>
      <c r="E60" s="15">
        <v>5.1394054396252198</v>
      </c>
      <c r="F60" s="15">
        <v>5.3188521162131597</v>
      </c>
      <c r="G60" s="24">
        <v>4.9814927175052297</v>
      </c>
      <c r="H60" s="15">
        <v>3.6162806531561902</v>
      </c>
      <c r="I60" s="15">
        <v>3.6761401144967598</v>
      </c>
      <c r="J60" s="24">
        <v>3.5634403793398302</v>
      </c>
      <c r="K60" s="20" t="s">
        <v>80</v>
      </c>
      <c r="L60" s="20" t="s">
        <v>80</v>
      </c>
      <c r="M60" s="26" t="s">
        <v>80</v>
      </c>
      <c r="N60" s="20" t="s">
        <v>80</v>
      </c>
      <c r="O60" s="20" t="s">
        <v>80</v>
      </c>
      <c r="P60" s="26" t="s">
        <v>80</v>
      </c>
    </row>
    <row r="61" spans="1:16">
      <c r="A61" s="9" t="s">
        <v>219</v>
      </c>
      <c r="B61" s="15">
        <v>5.9093372513394398</v>
      </c>
      <c r="C61" s="15">
        <v>6.6238638132478496</v>
      </c>
      <c r="D61" s="24">
        <v>5.28422891929148</v>
      </c>
      <c r="E61" s="15">
        <v>5.3184409528988699</v>
      </c>
      <c r="F61" s="15">
        <v>6.2107553046897497</v>
      </c>
      <c r="G61" s="24">
        <v>4.5332060800258098</v>
      </c>
      <c r="H61" s="15">
        <v>6.5306109414648601</v>
      </c>
      <c r="I61" s="15">
        <v>7.0616367049745596</v>
      </c>
      <c r="J61" s="24">
        <v>6.0618538541308</v>
      </c>
      <c r="K61" s="20" t="s">
        <v>80</v>
      </c>
      <c r="L61" s="20" t="s">
        <v>80</v>
      </c>
      <c r="M61" s="26" t="s">
        <v>80</v>
      </c>
      <c r="N61" s="20" t="s">
        <v>80</v>
      </c>
      <c r="O61" s="20" t="s">
        <v>80</v>
      </c>
      <c r="P61" s="26" t="s">
        <v>80</v>
      </c>
    </row>
    <row r="62" spans="1:16">
      <c r="A62" s="9" t="s">
        <v>220</v>
      </c>
      <c r="B62" s="15">
        <v>11.853464652906901</v>
      </c>
      <c r="C62" s="15">
        <v>14.236619796909499</v>
      </c>
      <c r="D62" s="24">
        <v>9.7685454679571908</v>
      </c>
      <c r="E62" s="15">
        <v>11.2901496894868</v>
      </c>
      <c r="F62" s="15">
        <v>14.184753814498301</v>
      </c>
      <c r="G62" s="24">
        <v>8.7429037580956699</v>
      </c>
      <c r="H62" s="15">
        <v>12.6863528531497</v>
      </c>
      <c r="I62" s="15">
        <v>14.570689153510401</v>
      </c>
      <c r="J62" s="24">
        <v>11.0229759392369</v>
      </c>
      <c r="K62" s="20" t="s">
        <v>80</v>
      </c>
      <c r="L62" s="20" t="s">
        <v>80</v>
      </c>
      <c r="M62" s="26" t="s">
        <v>80</v>
      </c>
      <c r="N62" s="20" t="s">
        <v>80</v>
      </c>
      <c r="O62" s="20" t="s">
        <v>80</v>
      </c>
      <c r="P62" s="26" t="s">
        <v>80</v>
      </c>
    </row>
    <row r="63" spans="1:16">
      <c r="A63" s="9" t="s">
        <v>221</v>
      </c>
      <c r="B63" s="15">
        <v>11.262426384953001</v>
      </c>
      <c r="C63" s="15">
        <v>11.8023418891974</v>
      </c>
      <c r="D63" s="24">
        <v>10.7900777022061</v>
      </c>
      <c r="E63" s="15">
        <v>13.9850285933958</v>
      </c>
      <c r="F63" s="15">
        <v>14.9884037496708</v>
      </c>
      <c r="G63" s="24">
        <v>13.1020604312224</v>
      </c>
      <c r="H63" s="15">
        <v>8.6459687805630896</v>
      </c>
      <c r="I63" s="15">
        <v>8.8938588429854804</v>
      </c>
      <c r="J63" s="24">
        <v>8.4271465846828502</v>
      </c>
      <c r="K63" s="20" t="s">
        <v>80</v>
      </c>
      <c r="L63" s="20" t="s">
        <v>80</v>
      </c>
      <c r="M63" s="26" t="s">
        <v>80</v>
      </c>
      <c r="N63" s="20" t="s">
        <v>80</v>
      </c>
      <c r="O63" s="20" t="s">
        <v>80</v>
      </c>
      <c r="P63" s="26" t="s">
        <v>80</v>
      </c>
    </row>
    <row r="64" spans="1:16">
      <c r="A64" s="11" t="s">
        <v>222</v>
      </c>
      <c r="B64" s="16">
        <v>1.8162145219432799</v>
      </c>
      <c r="C64" s="16">
        <v>2.3693729610142502</v>
      </c>
      <c r="D64" s="25">
        <v>1.3322801692687301</v>
      </c>
      <c r="E64" s="16">
        <v>1.46653837048159</v>
      </c>
      <c r="F64" s="28" t="s">
        <v>80</v>
      </c>
      <c r="G64" s="29" t="s">
        <v>80</v>
      </c>
      <c r="H64" s="16">
        <v>2.1587018891863599</v>
      </c>
      <c r="I64" s="16">
        <v>2.4393519044129102</v>
      </c>
      <c r="J64" s="29" t="s">
        <v>80</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S71"/>
  <sheetViews>
    <sheetView zoomScale="55" workbookViewId="0"/>
  </sheetViews>
  <sheetFormatPr defaultColWidth="10.90625" defaultRowHeight="15"/>
  <cols>
    <col min="1" max="1" width="51.6796875" customWidth="1"/>
    <col min="2" max="44" width="13.6796875" customWidth="1"/>
  </cols>
  <sheetData>
    <row r="1" spans="1:45" ht="39.9" customHeight="1">
      <c r="A1" s="10" t="s">
        <v>258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c r="A3" s="9" t="s">
        <v>161</v>
      </c>
      <c r="B3" s="36">
        <v>21.046246025691801</v>
      </c>
      <c r="C3" s="32">
        <v>19.900902902869699</v>
      </c>
      <c r="D3" s="32">
        <v>19.473500721573799</v>
      </c>
      <c r="E3" s="32">
        <v>21.097311699208301</v>
      </c>
      <c r="F3" s="15">
        <v>23.529411764705898</v>
      </c>
      <c r="G3" s="20" t="s">
        <v>80</v>
      </c>
      <c r="H3" s="15">
        <v>35.195530726256997</v>
      </c>
      <c r="I3" s="15">
        <v>21.782178217821802</v>
      </c>
      <c r="J3" s="15">
        <v>14.285714285714301</v>
      </c>
      <c r="K3" s="15">
        <v>21.6216216216216</v>
      </c>
      <c r="L3" s="15">
        <v>22.429906542056099</v>
      </c>
      <c r="M3" s="15">
        <v>33.3333333333333</v>
      </c>
      <c r="N3" s="15">
        <v>19.4444444444444</v>
      </c>
      <c r="O3" s="15">
        <v>26.612903225806502</v>
      </c>
      <c r="P3" s="15">
        <v>20.6611570247934</v>
      </c>
      <c r="Q3" s="20" t="s">
        <v>80</v>
      </c>
      <c r="R3" s="15">
        <v>19.148936170212799</v>
      </c>
      <c r="S3" s="15">
        <v>10.869565217391299</v>
      </c>
      <c r="T3" s="15">
        <v>11.6279069767442</v>
      </c>
      <c r="U3" s="15">
        <v>26.785714285714299</v>
      </c>
      <c r="V3" s="20" t="s">
        <v>80</v>
      </c>
      <c r="W3" s="20" t="s">
        <v>80</v>
      </c>
      <c r="X3" s="15">
        <v>7.20720720720721</v>
      </c>
      <c r="Y3" s="15">
        <v>21.969696969697001</v>
      </c>
      <c r="Z3" s="15">
        <v>20.689655172413801</v>
      </c>
      <c r="AA3" s="15">
        <v>19.565217391304301</v>
      </c>
      <c r="AB3" s="15">
        <v>27.272727272727298</v>
      </c>
      <c r="AC3" s="15">
        <v>26.1904761904762</v>
      </c>
      <c r="AD3" s="15">
        <v>26.086956521739101</v>
      </c>
      <c r="AE3" s="15">
        <v>24.2424242424242</v>
      </c>
      <c r="AF3" s="15">
        <v>25</v>
      </c>
      <c r="AG3" s="20" t="s">
        <v>80</v>
      </c>
      <c r="AH3" s="15">
        <v>22.580645161290299</v>
      </c>
      <c r="AI3" s="15">
        <v>17.8571428571429</v>
      </c>
      <c r="AJ3" s="32">
        <v>18.052898849084599</v>
      </c>
      <c r="AK3" s="15">
        <v>19.230769230769202</v>
      </c>
      <c r="AL3" s="15">
        <v>16.7755991285403</v>
      </c>
      <c r="AM3" s="15">
        <v>20.202020202020201</v>
      </c>
      <c r="AN3" s="15">
        <v>24.087591240875899</v>
      </c>
      <c r="AO3" s="15">
        <v>19.461077844311401</v>
      </c>
      <c r="AP3" s="15">
        <v>17.910447761194</v>
      </c>
      <c r="AQ3" s="15">
        <v>19.117647058823501</v>
      </c>
      <c r="AR3" s="24">
        <v>14.8484848484848</v>
      </c>
      <c r="AS3" s="38"/>
    </row>
    <row r="4" spans="1:45">
      <c r="A4" s="9" t="s">
        <v>162</v>
      </c>
      <c r="B4" s="36">
        <v>9.6275013879961193</v>
      </c>
      <c r="C4" s="32">
        <v>9.5158344097915908</v>
      </c>
      <c r="D4" s="32">
        <v>10.0998950425366</v>
      </c>
      <c r="E4" s="32">
        <v>12.3193103270991</v>
      </c>
      <c r="F4" s="15">
        <v>9.8039215686274499</v>
      </c>
      <c r="G4" s="20" t="s">
        <v>80</v>
      </c>
      <c r="H4" s="15">
        <v>15.6424581005587</v>
      </c>
      <c r="I4" s="15">
        <v>11.881188118811901</v>
      </c>
      <c r="J4" s="15">
        <v>8.5714285714285694</v>
      </c>
      <c r="K4" s="20" t="s">
        <v>80</v>
      </c>
      <c r="L4" s="15">
        <v>23.364485981308398</v>
      </c>
      <c r="M4" s="15">
        <v>11.9047619047619</v>
      </c>
      <c r="N4" s="15">
        <v>15.2777777777778</v>
      </c>
      <c r="O4" s="15">
        <v>14.5161290322581</v>
      </c>
      <c r="P4" s="15">
        <v>9.9173553719008307</v>
      </c>
      <c r="Q4" s="20" t="s">
        <v>80</v>
      </c>
      <c r="R4" s="20" t="s">
        <v>80</v>
      </c>
      <c r="S4" s="15">
        <v>10.869565217391299</v>
      </c>
      <c r="T4" s="15">
        <v>11.6279069767442</v>
      </c>
      <c r="U4" s="15">
        <v>17.8571428571429</v>
      </c>
      <c r="V4" s="20" t="s">
        <v>80</v>
      </c>
      <c r="W4" s="15">
        <v>10.869565217391299</v>
      </c>
      <c r="X4" s="15">
        <v>8.1081081081081106</v>
      </c>
      <c r="Y4" s="15">
        <v>12.8787878787879</v>
      </c>
      <c r="Z4" s="20" t="s">
        <v>80</v>
      </c>
      <c r="AA4" s="15">
        <v>19.565217391304301</v>
      </c>
      <c r="AB4" s="20" t="s">
        <v>80</v>
      </c>
      <c r="AC4" s="20" t="s">
        <v>80</v>
      </c>
      <c r="AD4" s="15">
        <v>17.3913043478261</v>
      </c>
      <c r="AE4" s="20" t="s">
        <v>80</v>
      </c>
      <c r="AF4" s="15">
        <v>15.909090909090899</v>
      </c>
      <c r="AG4" s="20" t="s">
        <v>80</v>
      </c>
      <c r="AH4" s="15">
        <v>7.5268817204301097</v>
      </c>
      <c r="AI4" s="15">
        <v>8.9285714285714306</v>
      </c>
      <c r="AJ4" s="32">
        <v>8.1582247665582202</v>
      </c>
      <c r="AK4" s="15">
        <v>7.1005917159763303</v>
      </c>
      <c r="AL4" s="15">
        <v>5.4466230936819198</v>
      </c>
      <c r="AM4" s="15">
        <v>7.0707070707070701</v>
      </c>
      <c r="AN4" s="15">
        <v>11.6788321167883</v>
      </c>
      <c r="AO4" s="15">
        <v>7.7844311377245496</v>
      </c>
      <c r="AP4" s="15">
        <v>5.9701492537313401</v>
      </c>
      <c r="AQ4" s="15">
        <v>10.294117647058799</v>
      </c>
      <c r="AR4" s="24">
        <v>11.5151515151515</v>
      </c>
      <c r="AS4" s="38"/>
    </row>
    <row r="5" spans="1:45">
      <c r="A5" s="9" t="s">
        <v>163</v>
      </c>
      <c r="B5" s="36">
        <v>10.404927245985601</v>
      </c>
      <c r="C5" s="32">
        <v>10.7920917611112</v>
      </c>
      <c r="D5" s="32">
        <v>11.459777047371499</v>
      </c>
      <c r="E5" s="32">
        <v>11.2598772661593</v>
      </c>
      <c r="F5" s="15">
        <v>9.8039215686274499</v>
      </c>
      <c r="G5" s="20" t="s">
        <v>80</v>
      </c>
      <c r="H5" s="15">
        <v>13.966480446927401</v>
      </c>
      <c r="I5" s="15">
        <v>7.9207920792079198</v>
      </c>
      <c r="J5" s="15">
        <v>7.1428571428571397</v>
      </c>
      <c r="K5" s="20" t="s">
        <v>80</v>
      </c>
      <c r="L5" s="15">
        <v>11.214953271028</v>
      </c>
      <c r="M5" s="15">
        <v>23.8095238095238</v>
      </c>
      <c r="N5" s="15">
        <v>6.9444444444444402</v>
      </c>
      <c r="O5" s="15">
        <v>10.4838709677419</v>
      </c>
      <c r="P5" s="15">
        <v>16.528925619834698</v>
      </c>
      <c r="Q5" s="20" t="s">
        <v>80</v>
      </c>
      <c r="R5" s="20" t="s">
        <v>80</v>
      </c>
      <c r="S5" s="20" t="s">
        <v>80</v>
      </c>
      <c r="T5" s="20" t="s">
        <v>80</v>
      </c>
      <c r="U5" s="15">
        <v>10.714285714285699</v>
      </c>
      <c r="V5" s="15">
        <v>18.421052631578899</v>
      </c>
      <c r="W5" s="20" t="s">
        <v>80</v>
      </c>
      <c r="X5" s="15">
        <v>10.8108108108108</v>
      </c>
      <c r="Y5" s="15">
        <v>12.8787878787879</v>
      </c>
      <c r="Z5" s="20" t="s">
        <v>80</v>
      </c>
      <c r="AA5" s="20" t="s">
        <v>80</v>
      </c>
      <c r="AB5" s="20" t="s">
        <v>80</v>
      </c>
      <c r="AC5" s="15">
        <v>11.9047619047619</v>
      </c>
      <c r="AD5" s="15">
        <v>15.2173913043478</v>
      </c>
      <c r="AE5" s="15">
        <v>18.181818181818201</v>
      </c>
      <c r="AF5" s="15">
        <v>11.363636363636401</v>
      </c>
      <c r="AG5" s="20" t="s">
        <v>80</v>
      </c>
      <c r="AH5" s="15">
        <v>9.67741935483871</v>
      </c>
      <c r="AI5" s="15">
        <v>8.9285714285714306</v>
      </c>
      <c r="AJ5" s="32">
        <v>11.6346607052674</v>
      </c>
      <c r="AK5" s="15">
        <v>11.538461538461499</v>
      </c>
      <c r="AL5" s="15">
        <v>6.7538126361655797</v>
      </c>
      <c r="AM5" s="15">
        <v>8.5858585858585901</v>
      </c>
      <c r="AN5" s="15">
        <v>16.058394160583902</v>
      </c>
      <c r="AO5" s="15">
        <v>10.7784431137725</v>
      </c>
      <c r="AP5" s="15">
        <v>13.6460554371002</v>
      </c>
      <c r="AQ5" s="15">
        <v>10.294117647058799</v>
      </c>
      <c r="AR5" s="24">
        <v>12.1212121212121</v>
      </c>
      <c r="AS5" s="38"/>
    </row>
    <row r="6" spans="1:45">
      <c r="A6" s="9" t="s">
        <v>164</v>
      </c>
      <c r="B6" s="36">
        <v>13.3200141643004</v>
      </c>
      <c r="C6" s="32">
        <v>13.297983932378999</v>
      </c>
      <c r="D6" s="32">
        <v>14.1444473320649</v>
      </c>
      <c r="E6" s="32">
        <v>16.808508798589301</v>
      </c>
      <c r="F6" s="15">
        <v>9.8039215686274499</v>
      </c>
      <c r="G6" s="20" t="s">
        <v>80</v>
      </c>
      <c r="H6" s="15">
        <v>26.256983240223501</v>
      </c>
      <c r="I6" s="15">
        <v>17.821782178217799</v>
      </c>
      <c r="J6" s="15">
        <v>14.285714285714301</v>
      </c>
      <c r="K6" s="15">
        <v>13.5135135135135</v>
      </c>
      <c r="L6" s="15">
        <v>19.6261682242991</v>
      </c>
      <c r="M6" s="15">
        <v>19.047619047619001</v>
      </c>
      <c r="N6" s="15">
        <v>14.5833333333333</v>
      </c>
      <c r="O6" s="15">
        <v>8.8709677419354804</v>
      </c>
      <c r="P6" s="15">
        <v>27.272727272727298</v>
      </c>
      <c r="Q6" s="20" t="s">
        <v>80</v>
      </c>
      <c r="R6" s="15">
        <v>14.893617021276601</v>
      </c>
      <c r="S6" s="15">
        <v>13.0434782608696</v>
      </c>
      <c r="T6" s="15">
        <v>11.6279069767442</v>
      </c>
      <c r="U6" s="15">
        <v>17.8571428571429</v>
      </c>
      <c r="V6" s="20" t="s">
        <v>80</v>
      </c>
      <c r="W6" s="15">
        <v>13.0434782608696</v>
      </c>
      <c r="X6" s="15">
        <v>6.3063063063063103</v>
      </c>
      <c r="Y6" s="15">
        <v>17.424242424242401</v>
      </c>
      <c r="Z6" s="15">
        <v>24.137931034482801</v>
      </c>
      <c r="AA6" s="15">
        <v>23.913043478260899</v>
      </c>
      <c r="AB6" s="15">
        <v>27.272727272727298</v>
      </c>
      <c r="AC6" s="20" t="s">
        <v>80</v>
      </c>
      <c r="AD6" s="15">
        <v>21.739130434782599</v>
      </c>
      <c r="AE6" s="15">
        <v>36.363636363636402</v>
      </c>
      <c r="AF6" s="15">
        <v>20.454545454545499</v>
      </c>
      <c r="AG6" s="20" t="s">
        <v>80</v>
      </c>
      <c r="AH6" s="15">
        <v>13.9784946236559</v>
      </c>
      <c r="AI6" s="15">
        <v>8.9285714285714306</v>
      </c>
      <c r="AJ6" s="32">
        <v>11.8137753758476</v>
      </c>
      <c r="AK6" s="15">
        <v>12.5739644970414</v>
      </c>
      <c r="AL6" s="15">
        <v>7.8431372549019596</v>
      </c>
      <c r="AM6" s="15">
        <v>12.1212121212121</v>
      </c>
      <c r="AN6" s="15">
        <v>7.2992700729926998</v>
      </c>
      <c r="AO6" s="15">
        <v>10.7784431137725</v>
      </c>
      <c r="AP6" s="15">
        <v>15.778251599147101</v>
      </c>
      <c r="AQ6" s="15">
        <v>12.5</v>
      </c>
      <c r="AR6" s="24">
        <v>16.969696969697001</v>
      </c>
      <c r="AS6" s="38"/>
    </row>
    <row r="7" spans="1:45">
      <c r="A7" s="9" t="s">
        <v>165</v>
      </c>
      <c r="B7" s="36">
        <v>11.445858685249799</v>
      </c>
      <c r="C7" s="32">
        <v>11.0548805829701</v>
      </c>
      <c r="D7" s="32">
        <v>10.886366885788901</v>
      </c>
      <c r="E7" s="32">
        <v>13.086600125445299</v>
      </c>
      <c r="F7" s="20" t="s">
        <v>80</v>
      </c>
      <c r="G7" s="20" t="s">
        <v>80</v>
      </c>
      <c r="H7" s="15">
        <v>18.435754189944099</v>
      </c>
      <c r="I7" s="15">
        <v>9.9009900990098991</v>
      </c>
      <c r="J7" s="15">
        <v>15.714285714285699</v>
      </c>
      <c r="K7" s="20" t="s">
        <v>80</v>
      </c>
      <c r="L7" s="15">
        <v>15.887850467289701</v>
      </c>
      <c r="M7" s="15">
        <v>16.6666666666667</v>
      </c>
      <c r="N7" s="15">
        <v>13.8888888888889</v>
      </c>
      <c r="O7" s="15">
        <v>8.0645161290322598</v>
      </c>
      <c r="P7" s="15">
        <v>10.7438016528926</v>
      </c>
      <c r="Q7" s="15">
        <v>17.647058823529399</v>
      </c>
      <c r="R7" s="15">
        <v>12.7659574468085</v>
      </c>
      <c r="S7" s="15">
        <v>13.0434782608696</v>
      </c>
      <c r="T7" s="15">
        <v>13.953488372093</v>
      </c>
      <c r="U7" s="15">
        <v>14.285714285714301</v>
      </c>
      <c r="V7" s="20" t="s">
        <v>80</v>
      </c>
      <c r="W7" s="15">
        <v>10.869565217391299</v>
      </c>
      <c r="X7" s="15">
        <v>9.0090090090090094</v>
      </c>
      <c r="Y7" s="15">
        <v>13.636363636363599</v>
      </c>
      <c r="Z7" s="20" t="s">
        <v>80</v>
      </c>
      <c r="AA7" s="15">
        <v>17.3913043478261</v>
      </c>
      <c r="AB7" s="20" t="s">
        <v>80</v>
      </c>
      <c r="AC7" s="15">
        <v>11.9047619047619</v>
      </c>
      <c r="AD7" s="15">
        <v>21.739130434782599</v>
      </c>
      <c r="AE7" s="20" t="s">
        <v>80</v>
      </c>
      <c r="AF7" s="15">
        <v>13.636363636363599</v>
      </c>
      <c r="AG7" s="20" t="s">
        <v>80</v>
      </c>
      <c r="AH7" s="15">
        <v>8.6021505376344098</v>
      </c>
      <c r="AI7" s="20" t="s">
        <v>80</v>
      </c>
      <c r="AJ7" s="32">
        <v>8.9614781498340399</v>
      </c>
      <c r="AK7" s="15">
        <v>7.3964497041420101</v>
      </c>
      <c r="AL7" s="15">
        <v>8.0610021786492396</v>
      </c>
      <c r="AM7" s="15">
        <v>10.1010101010101</v>
      </c>
      <c r="AN7" s="15">
        <v>11.6788321167883</v>
      </c>
      <c r="AO7" s="15">
        <v>10.179640718562901</v>
      </c>
      <c r="AP7" s="15">
        <v>11.727078891258</v>
      </c>
      <c r="AQ7" s="15">
        <v>11.764705882352899</v>
      </c>
      <c r="AR7" s="24">
        <v>11.2121212121212</v>
      </c>
      <c r="AS7" s="38"/>
    </row>
    <row r="8" spans="1:45">
      <c r="A8" s="9" t="s">
        <v>166</v>
      </c>
      <c r="B8" s="36">
        <v>2.4856594057021</v>
      </c>
      <c r="C8" s="32">
        <v>2.3992723426820799</v>
      </c>
      <c r="D8" s="32">
        <v>2.88305496649091</v>
      </c>
      <c r="E8" s="32">
        <v>4.0906893636307702</v>
      </c>
      <c r="F8" s="20" t="s">
        <v>80</v>
      </c>
      <c r="G8" s="20" t="s">
        <v>80</v>
      </c>
      <c r="H8" s="15">
        <v>3.91061452513966</v>
      </c>
      <c r="I8" s="20" t="s">
        <v>80</v>
      </c>
      <c r="J8" s="15">
        <v>7.1428571428571397</v>
      </c>
      <c r="K8" s="20" t="s">
        <v>80</v>
      </c>
      <c r="L8" s="15">
        <v>6.5420560747663501</v>
      </c>
      <c r="M8" s="15">
        <v>8.3333333333333304</v>
      </c>
      <c r="N8" s="20" t="s">
        <v>80</v>
      </c>
      <c r="O8" s="20" t="s">
        <v>80</v>
      </c>
      <c r="P8" s="15">
        <v>6.61157024793388</v>
      </c>
      <c r="Q8" s="20" t="s">
        <v>80</v>
      </c>
      <c r="R8" s="15">
        <v>10.6382978723404</v>
      </c>
      <c r="S8" s="20" t="s">
        <v>80</v>
      </c>
      <c r="T8" s="20" t="s">
        <v>80</v>
      </c>
      <c r="U8" s="15">
        <v>10.714285714285699</v>
      </c>
      <c r="V8" s="20" t="s">
        <v>80</v>
      </c>
      <c r="W8" s="20" t="s">
        <v>80</v>
      </c>
      <c r="X8" s="20" t="s">
        <v>80</v>
      </c>
      <c r="Y8" s="15">
        <v>6.0606060606060597</v>
      </c>
      <c r="Z8" s="20" t="s">
        <v>80</v>
      </c>
      <c r="AA8" s="20" t="s">
        <v>80</v>
      </c>
      <c r="AB8" s="20" t="s">
        <v>80</v>
      </c>
      <c r="AC8" s="20" t="s">
        <v>80</v>
      </c>
      <c r="AD8" s="20" t="s">
        <v>80</v>
      </c>
      <c r="AE8" s="20" t="s">
        <v>80</v>
      </c>
      <c r="AF8" s="20" t="s">
        <v>80</v>
      </c>
      <c r="AG8" s="20" t="s">
        <v>80</v>
      </c>
      <c r="AH8" s="20" t="s">
        <v>80</v>
      </c>
      <c r="AI8" s="20" t="s">
        <v>80</v>
      </c>
      <c r="AJ8" s="32">
        <v>1.82654795336658</v>
      </c>
      <c r="AK8" s="15">
        <v>1.7751479289940799</v>
      </c>
      <c r="AL8" s="15">
        <v>1.0893246187363801</v>
      </c>
      <c r="AM8" s="15">
        <v>3.0303030303030298</v>
      </c>
      <c r="AN8" s="20" t="s">
        <v>80</v>
      </c>
      <c r="AO8" s="15">
        <v>1.79640718562874</v>
      </c>
      <c r="AP8" s="15">
        <v>1.7057569296375299</v>
      </c>
      <c r="AQ8" s="15">
        <v>3.6764705882352899</v>
      </c>
      <c r="AR8" s="24">
        <v>2.7272727272727302</v>
      </c>
      <c r="AS8" s="38"/>
    </row>
    <row r="9" spans="1:45">
      <c r="A9" s="9" t="s">
        <v>167</v>
      </c>
      <c r="B9" s="36">
        <v>6.5154896858226596</v>
      </c>
      <c r="C9" s="32">
        <v>6.4870657969001302</v>
      </c>
      <c r="D9" s="32">
        <v>6.8534196459650598</v>
      </c>
      <c r="E9" s="32">
        <v>8.7702150708080406</v>
      </c>
      <c r="F9" s="15">
        <v>11.764705882352899</v>
      </c>
      <c r="G9" s="20" t="s">
        <v>80</v>
      </c>
      <c r="H9" s="15">
        <v>10.614525139664799</v>
      </c>
      <c r="I9" s="15">
        <v>12.8712871287129</v>
      </c>
      <c r="J9" s="20" t="s">
        <v>80</v>
      </c>
      <c r="K9" s="20" t="s">
        <v>80</v>
      </c>
      <c r="L9" s="15">
        <v>7.4766355140186898</v>
      </c>
      <c r="M9" s="15">
        <v>8.3333333333333304</v>
      </c>
      <c r="N9" s="15">
        <v>6.25</v>
      </c>
      <c r="O9" s="15">
        <v>6.4516129032258096</v>
      </c>
      <c r="P9" s="15">
        <v>10.7438016528926</v>
      </c>
      <c r="Q9" s="20" t="s">
        <v>80</v>
      </c>
      <c r="R9" s="20" t="s">
        <v>80</v>
      </c>
      <c r="S9" s="20" t="s">
        <v>80</v>
      </c>
      <c r="T9" s="20" t="s">
        <v>80</v>
      </c>
      <c r="U9" s="15">
        <v>10.714285714285699</v>
      </c>
      <c r="V9" s="15">
        <v>13.157894736842101</v>
      </c>
      <c r="W9" s="20" t="s">
        <v>80</v>
      </c>
      <c r="X9" s="15">
        <v>7.20720720720721</v>
      </c>
      <c r="Y9" s="15">
        <v>11.363636363636401</v>
      </c>
      <c r="Z9" s="20" t="s">
        <v>80</v>
      </c>
      <c r="AA9" s="20" t="s">
        <v>80</v>
      </c>
      <c r="AB9" s="20" t="s">
        <v>80</v>
      </c>
      <c r="AC9" s="20" t="s">
        <v>80</v>
      </c>
      <c r="AD9" s="15">
        <v>10.869565217391299</v>
      </c>
      <c r="AE9" s="20" t="s">
        <v>80</v>
      </c>
      <c r="AF9" s="20" t="s">
        <v>80</v>
      </c>
      <c r="AG9" s="20" t="s">
        <v>80</v>
      </c>
      <c r="AH9" s="20" t="s">
        <v>80</v>
      </c>
      <c r="AI9" s="15">
        <v>10.714285714285699</v>
      </c>
      <c r="AJ9" s="32">
        <v>5.1764983742064397</v>
      </c>
      <c r="AK9" s="15">
        <v>5.0295857988165702</v>
      </c>
      <c r="AL9" s="15">
        <v>3.7037037037037002</v>
      </c>
      <c r="AM9" s="15">
        <v>6.5656565656565702</v>
      </c>
      <c r="AN9" s="15">
        <v>4.3795620437956204</v>
      </c>
      <c r="AO9" s="15">
        <v>5.6886227544910204</v>
      </c>
      <c r="AP9" s="15">
        <v>4.2643923240938202</v>
      </c>
      <c r="AQ9" s="15">
        <v>5.8823529411764701</v>
      </c>
      <c r="AR9" s="24">
        <v>3.9393939393939399</v>
      </c>
      <c r="AS9" s="38"/>
    </row>
    <row r="10" spans="1:45">
      <c r="A10" s="9" t="s">
        <v>168</v>
      </c>
      <c r="B10" s="36">
        <v>17.081788786613501</v>
      </c>
      <c r="C10" s="32">
        <v>16.753103035682301</v>
      </c>
      <c r="D10" s="32">
        <v>18.526913310229901</v>
      </c>
      <c r="E10" s="32">
        <v>15.5454767352239</v>
      </c>
      <c r="F10" s="15">
        <v>15.6862745098039</v>
      </c>
      <c r="G10" s="20" t="s">
        <v>80</v>
      </c>
      <c r="H10" s="15">
        <v>20.670391061452499</v>
      </c>
      <c r="I10" s="15">
        <v>16.8316831683168</v>
      </c>
      <c r="J10" s="15">
        <v>8.5714285714285694</v>
      </c>
      <c r="K10" s="15">
        <v>21.6216216216216</v>
      </c>
      <c r="L10" s="15">
        <v>14.953271028037401</v>
      </c>
      <c r="M10" s="15">
        <v>14.285714285714301</v>
      </c>
      <c r="N10" s="15">
        <v>16.6666666666667</v>
      </c>
      <c r="O10" s="15">
        <v>15.322580645161301</v>
      </c>
      <c r="P10" s="15">
        <v>24.793388429752099</v>
      </c>
      <c r="Q10" s="20" t="s">
        <v>80</v>
      </c>
      <c r="R10" s="15">
        <v>12.7659574468085</v>
      </c>
      <c r="S10" s="20" t="s">
        <v>80</v>
      </c>
      <c r="T10" s="20" t="s">
        <v>80</v>
      </c>
      <c r="U10" s="15">
        <v>12.5</v>
      </c>
      <c r="V10" s="15">
        <v>21.052631578947398</v>
      </c>
      <c r="W10" s="20" t="s">
        <v>80</v>
      </c>
      <c r="X10" s="15">
        <v>8.1081081081081106</v>
      </c>
      <c r="Y10" s="15">
        <v>15.909090909090899</v>
      </c>
      <c r="Z10" s="15">
        <v>17.241379310344801</v>
      </c>
      <c r="AA10" s="15">
        <v>10.869565217391299</v>
      </c>
      <c r="AB10" s="15">
        <v>22.727272727272702</v>
      </c>
      <c r="AC10" s="20" t="s">
        <v>80</v>
      </c>
      <c r="AD10" s="15">
        <v>26.086956521739101</v>
      </c>
      <c r="AE10" s="15">
        <v>21.2121212121212</v>
      </c>
      <c r="AF10" s="15">
        <v>13.636363636363599</v>
      </c>
      <c r="AG10" s="20" t="s">
        <v>80</v>
      </c>
      <c r="AH10" s="15">
        <v>7.5268817204301097</v>
      </c>
      <c r="AI10" s="20" t="s">
        <v>80</v>
      </c>
      <c r="AJ10" s="32">
        <v>21.135242998535801</v>
      </c>
      <c r="AK10" s="15">
        <v>19.378698224852101</v>
      </c>
      <c r="AL10" s="15">
        <v>18.518518518518501</v>
      </c>
      <c r="AM10" s="15">
        <v>19.191919191919201</v>
      </c>
      <c r="AN10" s="15">
        <v>21.167883211678799</v>
      </c>
      <c r="AO10" s="15">
        <v>19.161676646706599</v>
      </c>
      <c r="AP10" s="15">
        <v>14.712153518123699</v>
      </c>
      <c r="AQ10" s="15">
        <v>26.470588235294102</v>
      </c>
      <c r="AR10" s="24">
        <v>24.545454545454501</v>
      </c>
      <c r="AS10" s="38"/>
    </row>
    <row r="11" spans="1:45">
      <c r="A11" s="9" t="s">
        <v>169</v>
      </c>
      <c r="B11" s="36">
        <v>15.3790368882698</v>
      </c>
      <c r="C11" s="32">
        <v>15.3706963302782</v>
      </c>
      <c r="D11" s="32">
        <v>15.788478581541799</v>
      </c>
      <c r="E11" s="32">
        <v>17.5018049650248</v>
      </c>
      <c r="F11" s="15">
        <v>11.764705882352899</v>
      </c>
      <c r="G11" s="20" t="s">
        <v>80</v>
      </c>
      <c r="H11" s="15">
        <v>25.698324022346402</v>
      </c>
      <c r="I11" s="15">
        <v>19.801980198019798</v>
      </c>
      <c r="J11" s="15">
        <v>17.1428571428571</v>
      </c>
      <c r="K11" s="15">
        <v>16.2162162162162</v>
      </c>
      <c r="L11" s="15">
        <v>11.214953271028</v>
      </c>
      <c r="M11" s="15">
        <v>17.8571428571429</v>
      </c>
      <c r="N11" s="15">
        <v>15.2777777777778</v>
      </c>
      <c r="O11" s="15">
        <v>12.0967741935484</v>
      </c>
      <c r="P11" s="15">
        <v>26.446280991735499</v>
      </c>
      <c r="Q11" s="15">
        <v>20.588235294117599</v>
      </c>
      <c r="R11" s="15">
        <v>17.021276595744698</v>
      </c>
      <c r="S11" s="20" t="s">
        <v>80</v>
      </c>
      <c r="T11" s="15">
        <v>18.604651162790699</v>
      </c>
      <c r="U11" s="15">
        <v>21.428571428571399</v>
      </c>
      <c r="V11" s="15">
        <v>23.684210526315798</v>
      </c>
      <c r="W11" s="15">
        <v>13.0434782608696</v>
      </c>
      <c r="X11" s="15">
        <v>14.4144144144144</v>
      </c>
      <c r="Y11" s="15">
        <v>17.424242424242401</v>
      </c>
      <c r="Z11" s="15">
        <v>17.241379310344801</v>
      </c>
      <c r="AA11" s="15">
        <v>21.739130434782599</v>
      </c>
      <c r="AB11" s="20" t="s">
        <v>80</v>
      </c>
      <c r="AC11" s="15">
        <v>14.285714285714301</v>
      </c>
      <c r="AD11" s="15">
        <v>30.434782608695699</v>
      </c>
      <c r="AE11" s="15">
        <v>18.181818181818201</v>
      </c>
      <c r="AF11" s="15">
        <v>18.181818181818201</v>
      </c>
      <c r="AG11" s="20" t="s">
        <v>80</v>
      </c>
      <c r="AH11" s="15">
        <v>8.6021505376344098</v>
      </c>
      <c r="AI11" s="15">
        <v>8.9285714285714306</v>
      </c>
      <c r="AJ11" s="32">
        <v>14.289563558743501</v>
      </c>
      <c r="AK11" s="15">
        <v>12.7218934911243</v>
      </c>
      <c r="AL11" s="15">
        <v>13.5076252723312</v>
      </c>
      <c r="AM11" s="15">
        <v>19.696969696969699</v>
      </c>
      <c r="AN11" s="15">
        <v>9.4890510948905096</v>
      </c>
      <c r="AO11" s="15">
        <v>17.365269461077801</v>
      </c>
      <c r="AP11" s="15">
        <v>13.2196162046908</v>
      </c>
      <c r="AQ11" s="15">
        <v>23.529411764705898</v>
      </c>
      <c r="AR11" s="24">
        <v>14.2424242424242</v>
      </c>
      <c r="AS11" s="38"/>
    </row>
    <row r="12" spans="1:45">
      <c r="A12" s="9" t="s">
        <v>170</v>
      </c>
      <c r="B12" s="36">
        <v>13.718292537910401</v>
      </c>
      <c r="C12" s="32">
        <v>12.4160677846195</v>
      </c>
      <c r="D12" s="32">
        <v>12.133245741783201</v>
      </c>
      <c r="E12" s="32">
        <v>14.4763142534606</v>
      </c>
      <c r="F12" s="15">
        <v>13.7254901960784</v>
      </c>
      <c r="G12" s="20" t="s">
        <v>80</v>
      </c>
      <c r="H12" s="15">
        <v>18.994413407821199</v>
      </c>
      <c r="I12" s="15">
        <v>17.821782178217799</v>
      </c>
      <c r="J12" s="15">
        <v>17.1428571428571</v>
      </c>
      <c r="K12" s="15">
        <v>16.2162162162162</v>
      </c>
      <c r="L12" s="15">
        <v>13.0841121495327</v>
      </c>
      <c r="M12" s="15">
        <v>15.476190476190499</v>
      </c>
      <c r="N12" s="15">
        <v>15.9722222222222</v>
      </c>
      <c r="O12" s="15">
        <v>14.5161290322581</v>
      </c>
      <c r="P12" s="15">
        <v>13.223140495867799</v>
      </c>
      <c r="Q12" s="20" t="s">
        <v>80</v>
      </c>
      <c r="R12" s="15">
        <v>12.7659574468085</v>
      </c>
      <c r="S12" s="15">
        <v>13.0434782608696</v>
      </c>
      <c r="T12" s="15">
        <v>13.953488372093</v>
      </c>
      <c r="U12" s="15">
        <v>17.8571428571429</v>
      </c>
      <c r="V12" s="15">
        <v>13.157894736842101</v>
      </c>
      <c r="W12" s="15">
        <v>15.2173913043478</v>
      </c>
      <c r="X12" s="15">
        <v>7.20720720720721</v>
      </c>
      <c r="Y12" s="15">
        <v>15.909090909090899</v>
      </c>
      <c r="Z12" s="20" t="s">
        <v>80</v>
      </c>
      <c r="AA12" s="15">
        <v>19.565217391304301</v>
      </c>
      <c r="AB12" s="20" t="s">
        <v>80</v>
      </c>
      <c r="AC12" s="15">
        <v>19.047619047619001</v>
      </c>
      <c r="AD12" s="15">
        <v>17.3913043478261</v>
      </c>
      <c r="AE12" s="20" t="s">
        <v>80</v>
      </c>
      <c r="AF12" s="15">
        <v>22.727272727272702</v>
      </c>
      <c r="AG12" s="20" t="s">
        <v>80</v>
      </c>
      <c r="AH12" s="15">
        <v>11.8279569892473</v>
      </c>
      <c r="AI12" s="20" t="s">
        <v>80</v>
      </c>
      <c r="AJ12" s="32">
        <v>10.083396614695801</v>
      </c>
      <c r="AK12" s="15">
        <v>11.982248520710099</v>
      </c>
      <c r="AL12" s="15">
        <v>9.3681917211329004</v>
      </c>
      <c r="AM12" s="15">
        <v>13.1313131313131</v>
      </c>
      <c r="AN12" s="15">
        <v>15.3284671532847</v>
      </c>
      <c r="AO12" s="15">
        <v>10.4790419161677</v>
      </c>
      <c r="AP12" s="15">
        <v>7.8891257995735602</v>
      </c>
      <c r="AQ12" s="15">
        <v>16.176470588235301</v>
      </c>
      <c r="AR12" s="24">
        <v>10.6060606060606</v>
      </c>
      <c r="AS12" s="38"/>
    </row>
    <row r="13" spans="1:45">
      <c r="A13" s="9" t="s">
        <v>171</v>
      </c>
      <c r="B13" s="36">
        <v>10.2328218593206</v>
      </c>
      <c r="C13" s="32">
        <v>10.0536579090183</v>
      </c>
      <c r="D13" s="32">
        <v>9.9973148728299801</v>
      </c>
      <c r="E13" s="32">
        <v>13.007313932354499</v>
      </c>
      <c r="F13" s="15">
        <v>19.6078431372549</v>
      </c>
      <c r="G13" s="20" t="s">
        <v>80</v>
      </c>
      <c r="H13" s="15">
        <v>13.407821229050301</v>
      </c>
      <c r="I13" s="15">
        <v>8.9108910891089099</v>
      </c>
      <c r="J13" s="15">
        <v>10</v>
      </c>
      <c r="K13" s="20" t="s">
        <v>80</v>
      </c>
      <c r="L13" s="15">
        <v>12.1495327102804</v>
      </c>
      <c r="M13" s="15">
        <v>13.0952380952381</v>
      </c>
      <c r="N13" s="15">
        <v>15.9722222222222</v>
      </c>
      <c r="O13" s="15">
        <v>6.4516129032258096</v>
      </c>
      <c r="P13" s="15">
        <v>20.6611570247934</v>
      </c>
      <c r="Q13" s="15">
        <v>17.647058823529399</v>
      </c>
      <c r="R13" s="15">
        <v>12.7659574468085</v>
      </c>
      <c r="S13" s="15">
        <v>10.869565217391299</v>
      </c>
      <c r="T13" s="20" t="s">
        <v>80</v>
      </c>
      <c r="U13" s="15">
        <v>23.214285714285701</v>
      </c>
      <c r="V13" s="20" t="s">
        <v>80</v>
      </c>
      <c r="W13" s="20" t="s">
        <v>80</v>
      </c>
      <c r="X13" s="15">
        <v>10.8108108108108</v>
      </c>
      <c r="Y13" s="15">
        <v>13.636363636363599</v>
      </c>
      <c r="Z13" s="20" t="s">
        <v>80</v>
      </c>
      <c r="AA13" s="15">
        <v>13.0434782608696</v>
      </c>
      <c r="AB13" s="20" t="s">
        <v>80</v>
      </c>
      <c r="AC13" s="15">
        <v>14.285714285714301</v>
      </c>
      <c r="AD13" s="20" t="s">
        <v>80</v>
      </c>
      <c r="AE13" s="20" t="s">
        <v>80</v>
      </c>
      <c r="AF13" s="15">
        <v>11.363636363636401</v>
      </c>
      <c r="AG13" s="20" t="s">
        <v>80</v>
      </c>
      <c r="AH13" s="15">
        <v>7.5268817204301097</v>
      </c>
      <c r="AI13" s="15">
        <v>10.714285714285699</v>
      </c>
      <c r="AJ13" s="32">
        <v>7.3639971042926202</v>
      </c>
      <c r="AK13" s="15">
        <v>6.95266272189349</v>
      </c>
      <c r="AL13" s="15">
        <v>4.7930283224400902</v>
      </c>
      <c r="AM13" s="15">
        <v>9.5959595959596005</v>
      </c>
      <c r="AN13" s="15">
        <v>9.4890510948905096</v>
      </c>
      <c r="AO13" s="15">
        <v>8.0838323353293404</v>
      </c>
      <c r="AP13" s="15">
        <v>6.3965884861407201</v>
      </c>
      <c r="AQ13" s="15">
        <v>13.235294117647101</v>
      </c>
      <c r="AR13" s="24">
        <v>8.4848484848484809</v>
      </c>
      <c r="AS13" s="38"/>
    </row>
    <row r="14" spans="1:45">
      <c r="A14" s="9" t="s">
        <v>172</v>
      </c>
      <c r="B14" s="36">
        <v>14.627234360471499</v>
      </c>
      <c r="C14" s="32">
        <v>14.0602365334792</v>
      </c>
      <c r="D14" s="32">
        <v>14.214379951632599</v>
      </c>
      <c r="E14" s="32">
        <v>15.9663564609821</v>
      </c>
      <c r="F14" s="15">
        <v>13.7254901960784</v>
      </c>
      <c r="G14" s="20" t="s">
        <v>80</v>
      </c>
      <c r="H14" s="15">
        <v>22.346368715083798</v>
      </c>
      <c r="I14" s="15">
        <v>9.9009900990098991</v>
      </c>
      <c r="J14" s="15">
        <v>10</v>
      </c>
      <c r="K14" s="15">
        <v>21.6216216216216</v>
      </c>
      <c r="L14" s="15">
        <v>16.822429906542101</v>
      </c>
      <c r="M14" s="15">
        <v>21.428571428571399</v>
      </c>
      <c r="N14" s="15">
        <v>11.8055555555556</v>
      </c>
      <c r="O14" s="15">
        <v>12.0967741935484</v>
      </c>
      <c r="P14" s="15">
        <v>17.355371900826398</v>
      </c>
      <c r="Q14" s="20" t="s">
        <v>80</v>
      </c>
      <c r="R14" s="15">
        <v>12.7659574468085</v>
      </c>
      <c r="S14" s="15">
        <v>10.869565217391299</v>
      </c>
      <c r="T14" s="15">
        <v>13.953488372093</v>
      </c>
      <c r="U14" s="15">
        <v>26.785714285714299</v>
      </c>
      <c r="V14" s="15">
        <v>13.157894736842101</v>
      </c>
      <c r="W14" s="20" t="s">
        <v>80</v>
      </c>
      <c r="X14" s="15">
        <v>11.7117117117117</v>
      </c>
      <c r="Y14" s="15">
        <v>15.909090909090899</v>
      </c>
      <c r="Z14" s="15">
        <v>17.241379310344801</v>
      </c>
      <c r="AA14" s="15">
        <v>13.0434782608696</v>
      </c>
      <c r="AB14" s="20" t="s">
        <v>80</v>
      </c>
      <c r="AC14" s="15">
        <v>14.285714285714301</v>
      </c>
      <c r="AD14" s="15">
        <v>26.086956521739101</v>
      </c>
      <c r="AE14" s="20" t="s">
        <v>80</v>
      </c>
      <c r="AF14" s="15">
        <v>15.909090909090899</v>
      </c>
      <c r="AG14" s="15">
        <v>33.3333333333333</v>
      </c>
      <c r="AH14" s="15">
        <v>16.129032258064498</v>
      </c>
      <c r="AI14" s="20" t="s">
        <v>80</v>
      </c>
      <c r="AJ14" s="32">
        <v>12.6816516082361</v>
      </c>
      <c r="AK14" s="15">
        <v>12.4260355029586</v>
      </c>
      <c r="AL14" s="15">
        <v>12.4183006535948</v>
      </c>
      <c r="AM14" s="15">
        <v>13.1313131313131</v>
      </c>
      <c r="AN14" s="15">
        <v>10.9489051094891</v>
      </c>
      <c r="AO14" s="15">
        <v>10.7784431137725</v>
      </c>
      <c r="AP14" s="15">
        <v>14.0724946695096</v>
      </c>
      <c r="AQ14" s="15">
        <v>16.911764705882401</v>
      </c>
      <c r="AR14" s="24">
        <v>13.636363636363599</v>
      </c>
      <c r="AS14" s="38"/>
    </row>
    <row r="15" spans="1:45">
      <c r="A15" s="9" t="s">
        <v>173</v>
      </c>
      <c r="B15" s="36">
        <v>8.5928605591753797</v>
      </c>
      <c r="C15" s="32">
        <v>8.3434739885976104</v>
      </c>
      <c r="D15" s="32">
        <v>8.7301363915362096</v>
      </c>
      <c r="E15" s="32">
        <v>10.3319477450238</v>
      </c>
      <c r="F15" s="20" t="s">
        <v>80</v>
      </c>
      <c r="G15" s="20" t="s">
        <v>80</v>
      </c>
      <c r="H15" s="15">
        <v>12.290502793296101</v>
      </c>
      <c r="I15" s="20" t="s">
        <v>80</v>
      </c>
      <c r="J15" s="15">
        <v>14.285714285714301</v>
      </c>
      <c r="K15" s="20" t="s">
        <v>80</v>
      </c>
      <c r="L15" s="15">
        <v>14.953271028037401</v>
      </c>
      <c r="M15" s="15">
        <v>19.047619047619001</v>
      </c>
      <c r="N15" s="15">
        <v>12.5</v>
      </c>
      <c r="O15" s="15">
        <v>8.8709677419354804</v>
      </c>
      <c r="P15" s="15">
        <v>13.223140495867799</v>
      </c>
      <c r="Q15" s="20" t="s">
        <v>80</v>
      </c>
      <c r="R15" s="20" t="s">
        <v>80</v>
      </c>
      <c r="S15" s="20" t="s">
        <v>80</v>
      </c>
      <c r="T15" s="20" t="s">
        <v>80</v>
      </c>
      <c r="U15" s="15">
        <v>19.6428571428571</v>
      </c>
      <c r="V15" s="20" t="s">
        <v>80</v>
      </c>
      <c r="W15" s="20" t="s">
        <v>80</v>
      </c>
      <c r="X15" s="15">
        <v>4.5045045045045002</v>
      </c>
      <c r="Y15" s="15">
        <v>13.636363636363599</v>
      </c>
      <c r="Z15" s="20" t="s">
        <v>80</v>
      </c>
      <c r="AA15" s="15">
        <v>15.2173913043478</v>
      </c>
      <c r="AB15" s="20" t="s">
        <v>80</v>
      </c>
      <c r="AC15" s="20" t="s">
        <v>80</v>
      </c>
      <c r="AD15" s="15">
        <v>17.3913043478261</v>
      </c>
      <c r="AE15" s="20" t="s">
        <v>80</v>
      </c>
      <c r="AF15" s="15">
        <v>15.909090909090899</v>
      </c>
      <c r="AG15" s="20" t="s">
        <v>80</v>
      </c>
      <c r="AH15" s="15">
        <v>5.3763440860215104</v>
      </c>
      <c r="AI15" s="20" t="s">
        <v>80</v>
      </c>
      <c r="AJ15" s="32">
        <v>7.3287810370763902</v>
      </c>
      <c r="AK15" s="15">
        <v>5.4733727810650903</v>
      </c>
      <c r="AL15" s="15">
        <v>5.6644880174291901</v>
      </c>
      <c r="AM15" s="15">
        <v>9.0909090909090899</v>
      </c>
      <c r="AN15" s="15">
        <v>8.7591240875912408</v>
      </c>
      <c r="AO15" s="15">
        <v>8.3832335329341294</v>
      </c>
      <c r="AP15" s="15">
        <v>7.8891257995735602</v>
      </c>
      <c r="AQ15" s="15">
        <v>9.5588235294117592</v>
      </c>
      <c r="AR15" s="24">
        <v>9.3939393939393891</v>
      </c>
      <c r="AS15" s="38"/>
    </row>
    <row r="16" spans="1:45">
      <c r="A16" s="9" t="s">
        <v>174</v>
      </c>
      <c r="B16" s="36">
        <v>5.7324915437842803</v>
      </c>
      <c r="C16" s="32">
        <v>5.5859116838301803</v>
      </c>
      <c r="D16" s="32">
        <v>6.7683080868607801</v>
      </c>
      <c r="E16" s="32">
        <v>9.5654408339602703</v>
      </c>
      <c r="F16" s="15">
        <v>11.764705882352899</v>
      </c>
      <c r="G16" s="20" t="s">
        <v>80</v>
      </c>
      <c r="H16" s="15">
        <v>10.055865921787699</v>
      </c>
      <c r="I16" s="20" t="s">
        <v>80</v>
      </c>
      <c r="J16" s="20" t="s">
        <v>80</v>
      </c>
      <c r="K16" s="20" t="s">
        <v>80</v>
      </c>
      <c r="L16" s="15">
        <v>10.2803738317757</v>
      </c>
      <c r="M16" s="15">
        <v>5.9523809523809499</v>
      </c>
      <c r="N16" s="15">
        <v>8.3333333333333304</v>
      </c>
      <c r="O16" s="15">
        <v>4.8387096774193497</v>
      </c>
      <c r="P16" s="15">
        <v>14.876033057851201</v>
      </c>
      <c r="Q16" s="15">
        <v>14.705882352941201</v>
      </c>
      <c r="R16" s="20" t="s">
        <v>80</v>
      </c>
      <c r="S16" s="20" t="s">
        <v>80</v>
      </c>
      <c r="T16" s="20" t="s">
        <v>80</v>
      </c>
      <c r="U16" s="15">
        <v>14.285714285714301</v>
      </c>
      <c r="V16" s="20" t="s">
        <v>80</v>
      </c>
      <c r="W16" s="20" t="s">
        <v>80</v>
      </c>
      <c r="X16" s="15">
        <v>6.3063063063063103</v>
      </c>
      <c r="Y16" s="15">
        <v>15.1515151515152</v>
      </c>
      <c r="Z16" s="20" t="s">
        <v>80</v>
      </c>
      <c r="AA16" s="20" t="s">
        <v>80</v>
      </c>
      <c r="AB16" s="20" t="s">
        <v>80</v>
      </c>
      <c r="AC16" s="15">
        <v>11.9047619047619</v>
      </c>
      <c r="AD16" s="15">
        <v>10.869565217391299</v>
      </c>
      <c r="AE16" s="20" t="s">
        <v>80</v>
      </c>
      <c r="AF16" s="20" t="s">
        <v>80</v>
      </c>
      <c r="AG16" s="20" t="s">
        <v>80</v>
      </c>
      <c r="AH16" s="15">
        <v>5.3763440860215104</v>
      </c>
      <c r="AI16" s="15">
        <v>10.714285714285699</v>
      </c>
      <c r="AJ16" s="32">
        <v>4.3212178326006097</v>
      </c>
      <c r="AK16" s="15">
        <v>4.14201183431953</v>
      </c>
      <c r="AL16" s="15">
        <v>2.8322440087145999</v>
      </c>
      <c r="AM16" s="15">
        <v>4.0404040404040398</v>
      </c>
      <c r="AN16" s="15">
        <v>10.2189781021898</v>
      </c>
      <c r="AO16" s="15">
        <v>5.3892215568862296</v>
      </c>
      <c r="AP16" s="15">
        <v>4.0511727078891298</v>
      </c>
      <c r="AQ16" s="15">
        <v>9.5588235294117592</v>
      </c>
      <c r="AR16" s="24">
        <v>5.1515151515151496</v>
      </c>
      <c r="AS16" s="38"/>
    </row>
    <row r="17" spans="1:45">
      <c r="A17" s="9" t="s">
        <v>175</v>
      </c>
      <c r="B17" s="36">
        <v>9.8846775743843907</v>
      </c>
      <c r="C17" s="32">
        <v>9.0132857489868492</v>
      </c>
      <c r="D17" s="32">
        <v>8.6533922851300993</v>
      </c>
      <c r="E17" s="32">
        <v>9.9149459493408099</v>
      </c>
      <c r="F17" s="20" t="s">
        <v>80</v>
      </c>
      <c r="G17" s="20" t="s">
        <v>80</v>
      </c>
      <c r="H17" s="15">
        <v>20.670391061452499</v>
      </c>
      <c r="I17" s="15">
        <v>5.9405940594059397</v>
      </c>
      <c r="J17" s="15">
        <v>7.1428571428571397</v>
      </c>
      <c r="K17" s="20" t="s">
        <v>80</v>
      </c>
      <c r="L17" s="15">
        <v>10.2803738317757</v>
      </c>
      <c r="M17" s="15">
        <v>15.476190476190499</v>
      </c>
      <c r="N17" s="15">
        <v>8.3333333333333304</v>
      </c>
      <c r="O17" s="15">
        <v>4.8387096774193497</v>
      </c>
      <c r="P17" s="15">
        <v>9.9173553719008307</v>
      </c>
      <c r="Q17" s="20" t="s">
        <v>80</v>
      </c>
      <c r="R17" s="20" t="s">
        <v>80</v>
      </c>
      <c r="S17" s="20" t="s">
        <v>80</v>
      </c>
      <c r="T17" s="20" t="s">
        <v>80</v>
      </c>
      <c r="U17" s="20" t="s">
        <v>80</v>
      </c>
      <c r="V17" s="20" t="s">
        <v>80</v>
      </c>
      <c r="W17" s="20" t="s">
        <v>80</v>
      </c>
      <c r="X17" s="15">
        <v>5.4054054054054097</v>
      </c>
      <c r="Y17" s="15">
        <v>11.363636363636401</v>
      </c>
      <c r="Z17" s="20" t="s">
        <v>80</v>
      </c>
      <c r="AA17" s="20" t="s">
        <v>80</v>
      </c>
      <c r="AB17" s="20" t="s">
        <v>80</v>
      </c>
      <c r="AC17" s="15">
        <v>11.9047619047619</v>
      </c>
      <c r="AD17" s="15">
        <v>15.2173913043478</v>
      </c>
      <c r="AE17" s="15">
        <v>15.1515151515152</v>
      </c>
      <c r="AF17" s="20" t="s">
        <v>80</v>
      </c>
      <c r="AG17" s="20" t="s">
        <v>80</v>
      </c>
      <c r="AH17" s="15">
        <v>10.752688172042999</v>
      </c>
      <c r="AI17" s="20" t="s">
        <v>80</v>
      </c>
      <c r="AJ17" s="32">
        <v>7.54971364130546</v>
      </c>
      <c r="AK17" s="15">
        <v>7.2485207100591698</v>
      </c>
      <c r="AL17" s="15">
        <v>9.3681917211329004</v>
      </c>
      <c r="AM17" s="15">
        <v>10.1010101010101</v>
      </c>
      <c r="AN17" s="15">
        <v>5.8394160583941597</v>
      </c>
      <c r="AO17" s="15">
        <v>8.3832335329341294</v>
      </c>
      <c r="AP17" s="15">
        <v>11.087420042643901</v>
      </c>
      <c r="AQ17" s="15">
        <v>3.6764705882352899</v>
      </c>
      <c r="AR17" s="24">
        <v>5.1515151515151496</v>
      </c>
      <c r="AS17" s="38"/>
    </row>
    <row r="18" spans="1:45">
      <c r="A18" s="9" t="s">
        <v>176</v>
      </c>
      <c r="B18" s="36">
        <v>5.4093888466835098</v>
      </c>
      <c r="C18" s="32">
        <v>5.79972341680506</v>
      </c>
      <c r="D18" s="32">
        <v>5.5568887543764003</v>
      </c>
      <c r="E18" s="32">
        <v>6.4060983851069198</v>
      </c>
      <c r="F18" s="20" t="s">
        <v>80</v>
      </c>
      <c r="G18" s="20" t="s">
        <v>80</v>
      </c>
      <c r="H18" s="15">
        <v>11.173184357541899</v>
      </c>
      <c r="I18" s="15">
        <v>5.9405940594059397</v>
      </c>
      <c r="J18" s="15">
        <v>8.5714285714285694</v>
      </c>
      <c r="K18" s="20" t="s">
        <v>80</v>
      </c>
      <c r="L18" s="15">
        <v>7.4766355140186898</v>
      </c>
      <c r="M18" s="20" t="s">
        <v>80</v>
      </c>
      <c r="N18" s="15">
        <v>4.8611111111111098</v>
      </c>
      <c r="O18" s="15">
        <v>4.8387096774193497</v>
      </c>
      <c r="P18" s="15">
        <v>4.95867768595041</v>
      </c>
      <c r="Q18" s="20" t="s">
        <v>80</v>
      </c>
      <c r="R18" s="20" t="s">
        <v>80</v>
      </c>
      <c r="S18" s="20" t="s">
        <v>80</v>
      </c>
      <c r="T18" s="20" t="s">
        <v>80</v>
      </c>
      <c r="U18" s="20" t="s">
        <v>80</v>
      </c>
      <c r="V18" s="20" t="s">
        <v>80</v>
      </c>
      <c r="W18" s="20" t="s">
        <v>80</v>
      </c>
      <c r="X18" s="20" t="s">
        <v>80</v>
      </c>
      <c r="Y18" s="15">
        <v>9.8484848484848495</v>
      </c>
      <c r="Z18" s="20" t="s">
        <v>80</v>
      </c>
      <c r="AA18" s="20" t="s">
        <v>80</v>
      </c>
      <c r="AB18" s="20" t="s">
        <v>80</v>
      </c>
      <c r="AC18" s="20" t="s">
        <v>80</v>
      </c>
      <c r="AD18" s="20" t="s">
        <v>80</v>
      </c>
      <c r="AE18" s="20" t="s">
        <v>80</v>
      </c>
      <c r="AF18" s="20" t="s">
        <v>80</v>
      </c>
      <c r="AG18" s="20" t="s">
        <v>80</v>
      </c>
      <c r="AH18" s="20" t="s">
        <v>80</v>
      </c>
      <c r="AI18" s="15">
        <v>10.714285714285699</v>
      </c>
      <c r="AJ18" s="32">
        <v>4.81395204057924</v>
      </c>
      <c r="AK18" s="15">
        <v>4.14201183431953</v>
      </c>
      <c r="AL18" s="15">
        <v>3.4858387799564299</v>
      </c>
      <c r="AM18" s="15">
        <v>10.1010101010101</v>
      </c>
      <c r="AN18" s="15">
        <v>3.6496350364963499</v>
      </c>
      <c r="AO18" s="15">
        <v>4.7904191616766498</v>
      </c>
      <c r="AP18" s="15">
        <v>4.6908315565032002</v>
      </c>
      <c r="AQ18" s="15">
        <v>8.8235294117646994</v>
      </c>
      <c r="AR18" s="24">
        <v>1.8181818181818199</v>
      </c>
      <c r="AS18" s="38"/>
    </row>
    <row r="19" spans="1:45">
      <c r="A19" s="9" t="s">
        <v>177</v>
      </c>
      <c r="B19" s="36">
        <v>12.821723986790101</v>
      </c>
      <c r="C19" s="32">
        <v>12.324250155870899</v>
      </c>
      <c r="D19" s="32">
        <v>12.8725273053892</v>
      </c>
      <c r="E19" s="32">
        <v>13.694783324682399</v>
      </c>
      <c r="F19" s="15">
        <v>9.8039215686274499</v>
      </c>
      <c r="G19" s="20" t="s">
        <v>80</v>
      </c>
      <c r="H19" s="15">
        <v>23.463687150837998</v>
      </c>
      <c r="I19" s="15">
        <v>7.9207920792079198</v>
      </c>
      <c r="J19" s="15">
        <v>11.4285714285714</v>
      </c>
      <c r="K19" s="15">
        <v>16.2162162162162</v>
      </c>
      <c r="L19" s="15">
        <v>16.822429906542101</v>
      </c>
      <c r="M19" s="15">
        <v>29.761904761904798</v>
      </c>
      <c r="N19" s="15">
        <v>9.0277777777777803</v>
      </c>
      <c r="O19" s="15">
        <v>10.4838709677419</v>
      </c>
      <c r="P19" s="15">
        <v>22.3140495867769</v>
      </c>
      <c r="Q19" s="20" t="s">
        <v>80</v>
      </c>
      <c r="R19" s="15">
        <v>10.6382978723404</v>
      </c>
      <c r="S19" s="20" t="s">
        <v>80</v>
      </c>
      <c r="T19" s="20" t="s">
        <v>80</v>
      </c>
      <c r="U19" s="15">
        <v>8.9285714285714306</v>
      </c>
      <c r="V19" s="15">
        <v>18.421052631578899</v>
      </c>
      <c r="W19" s="15">
        <v>10.869565217391299</v>
      </c>
      <c r="X19" s="15">
        <v>5.4054054054054097</v>
      </c>
      <c r="Y19" s="15">
        <v>25</v>
      </c>
      <c r="Z19" s="15">
        <v>17.241379310344801</v>
      </c>
      <c r="AA19" s="15">
        <v>10.869565217391299</v>
      </c>
      <c r="AB19" s="20" t="s">
        <v>80</v>
      </c>
      <c r="AC19" s="15">
        <v>14.285714285714301</v>
      </c>
      <c r="AD19" s="20" t="s">
        <v>80</v>
      </c>
      <c r="AE19" s="20" t="s">
        <v>80</v>
      </c>
      <c r="AF19" s="20" t="s">
        <v>80</v>
      </c>
      <c r="AG19" s="20" t="s">
        <v>80</v>
      </c>
      <c r="AH19" s="15">
        <v>12.9032258064516</v>
      </c>
      <c r="AI19" s="15">
        <v>8.9285714285714306</v>
      </c>
      <c r="AJ19" s="32">
        <v>12.153171138469601</v>
      </c>
      <c r="AK19" s="15">
        <v>11.094674556213</v>
      </c>
      <c r="AL19" s="15">
        <v>11.3289760348584</v>
      </c>
      <c r="AM19" s="15">
        <v>10.1010101010101</v>
      </c>
      <c r="AN19" s="15">
        <v>15.3284671532847</v>
      </c>
      <c r="AO19" s="15">
        <v>13.473053892215599</v>
      </c>
      <c r="AP19" s="15">
        <v>14.712153518123699</v>
      </c>
      <c r="AQ19" s="15">
        <v>16.176470588235301</v>
      </c>
      <c r="AR19" s="24">
        <v>13.030303030302999</v>
      </c>
      <c r="AS19" s="38"/>
    </row>
    <row r="20" spans="1:45">
      <c r="A20" s="9" t="s">
        <v>178</v>
      </c>
      <c r="B20" s="36">
        <v>12.6038598136868</v>
      </c>
      <c r="C20" s="32">
        <v>11.845845425044301</v>
      </c>
      <c r="D20" s="32">
        <v>12.3696180000717</v>
      </c>
      <c r="E20" s="32">
        <v>14.844506513728399</v>
      </c>
      <c r="F20" s="20" t="s">
        <v>80</v>
      </c>
      <c r="G20" s="20" t="s">
        <v>80</v>
      </c>
      <c r="H20" s="15">
        <v>12.290502793296101</v>
      </c>
      <c r="I20" s="15">
        <v>11.881188118811901</v>
      </c>
      <c r="J20" s="20" t="s">
        <v>80</v>
      </c>
      <c r="K20" s="15">
        <v>21.6216216216216</v>
      </c>
      <c r="L20" s="15">
        <v>8.4112149532710294</v>
      </c>
      <c r="M20" s="15">
        <v>22.619047619047599</v>
      </c>
      <c r="N20" s="15">
        <v>14.5833333333333</v>
      </c>
      <c r="O20" s="15">
        <v>15.322580645161301</v>
      </c>
      <c r="P20" s="15">
        <v>31.404958677686</v>
      </c>
      <c r="Q20" s="20" t="s">
        <v>80</v>
      </c>
      <c r="R20" s="15">
        <v>12.7659574468085</v>
      </c>
      <c r="S20" s="20" t="s">
        <v>80</v>
      </c>
      <c r="T20" s="15">
        <v>16.2790697674419</v>
      </c>
      <c r="U20" s="15">
        <v>16.071428571428601</v>
      </c>
      <c r="V20" s="15">
        <v>21.052631578947398</v>
      </c>
      <c r="W20" s="20" t="s">
        <v>80</v>
      </c>
      <c r="X20" s="15">
        <v>8.1081081081081106</v>
      </c>
      <c r="Y20" s="15">
        <v>17.424242424242401</v>
      </c>
      <c r="Z20" s="20" t="s">
        <v>80</v>
      </c>
      <c r="AA20" s="15">
        <v>10.869565217391299</v>
      </c>
      <c r="AB20" s="20" t="s">
        <v>80</v>
      </c>
      <c r="AC20" s="15">
        <v>14.285714285714301</v>
      </c>
      <c r="AD20" s="15">
        <v>26.086956521739101</v>
      </c>
      <c r="AE20" s="20" t="s">
        <v>80</v>
      </c>
      <c r="AF20" s="15">
        <v>15.909090909090899</v>
      </c>
      <c r="AG20" s="20" t="s">
        <v>80</v>
      </c>
      <c r="AH20" s="15">
        <v>13.9784946236559</v>
      </c>
      <c r="AI20" s="15">
        <v>8.9285714285714306</v>
      </c>
      <c r="AJ20" s="32">
        <v>10.2044452643732</v>
      </c>
      <c r="AK20" s="15">
        <v>11.094674556213</v>
      </c>
      <c r="AL20" s="15">
        <v>10.0217864923747</v>
      </c>
      <c r="AM20" s="15">
        <v>11.1111111111111</v>
      </c>
      <c r="AN20" s="15">
        <v>18.248175182481699</v>
      </c>
      <c r="AO20" s="15">
        <v>11.6766467065868</v>
      </c>
      <c r="AP20" s="15">
        <v>10.8742004264392</v>
      </c>
      <c r="AQ20" s="15">
        <v>15.4411764705882</v>
      </c>
      <c r="AR20" s="24">
        <v>7.5757575757575797</v>
      </c>
      <c r="AS20" s="38"/>
    </row>
    <row r="21" spans="1:45">
      <c r="A21" s="9" t="s">
        <v>179</v>
      </c>
      <c r="B21" s="36">
        <v>5.4283707713785097</v>
      </c>
      <c r="C21" s="32">
        <v>5.2949275589697598</v>
      </c>
      <c r="D21" s="32">
        <v>6.1437095014785097</v>
      </c>
      <c r="E21" s="32">
        <v>8.20544941727373</v>
      </c>
      <c r="F21" s="20" t="s">
        <v>80</v>
      </c>
      <c r="G21" s="20" t="s">
        <v>80</v>
      </c>
      <c r="H21" s="15">
        <v>9.4972067039106101</v>
      </c>
      <c r="I21" s="15">
        <v>6.9306930693069297</v>
      </c>
      <c r="J21" s="20" t="s">
        <v>80</v>
      </c>
      <c r="K21" s="20" t="s">
        <v>80</v>
      </c>
      <c r="L21" s="15">
        <v>11.214953271028</v>
      </c>
      <c r="M21" s="15">
        <v>13.0952380952381</v>
      </c>
      <c r="N21" s="15">
        <v>7.6388888888888902</v>
      </c>
      <c r="O21" s="15">
        <v>4.0322580645161299</v>
      </c>
      <c r="P21" s="15">
        <v>10.7438016528926</v>
      </c>
      <c r="Q21" s="20" t="s">
        <v>80</v>
      </c>
      <c r="R21" s="15">
        <v>10.6382978723404</v>
      </c>
      <c r="S21" s="20" t="s">
        <v>80</v>
      </c>
      <c r="T21" s="20" t="s">
        <v>80</v>
      </c>
      <c r="U21" s="15">
        <v>14.285714285714301</v>
      </c>
      <c r="V21" s="20" t="s">
        <v>80</v>
      </c>
      <c r="W21" s="20" t="s">
        <v>80</v>
      </c>
      <c r="X21" s="15">
        <v>4.5045045045045002</v>
      </c>
      <c r="Y21" s="15">
        <v>13.636363636363599</v>
      </c>
      <c r="Z21" s="20" t="s">
        <v>80</v>
      </c>
      <c r="AA21" s="20" t="s">
        <v>80</v>
      </c>
      <c r="AB21" s="20" t="s">
        <v>80</v>
      </c>
      <c r="AC21" s="20" t="s">
        <v>80</v>
      </c>
      <c r="AD21" s="20" t="s">
        <v>80</v>
      </c>
      <c r="AE21" s="20" t="s">
        <v>80</v>
      </c>
      <c r="AF21" s="20" t="s">
        <v>80</v>
      </c>
      <c r="AG21" s="20" t="s">
        <v>80</v>
      </c>
      <c r="AH21" s="15">
        <v>6.4516129032258096</v>
      </c>
      <c r="AI21" s="20" t="s">
        <v>80</v>
      </c>
      <c r="AJ21" s="32">
        <v>4.33998257432662</v>
      </c>
      <c r="AK21" s="15">
        <v>3.4023668639053302</v>
      </c>
      <c r="AL21" s="15">
        <v>4.1394335511982598</v>
      </c>
      <c r="AM21" s="15">
        <v>6.0606060606060597</v>
      </c>
      <c r="AN21" s="15">
        <v>6.5693430656934302</v>
      </c>
      <c r="AO21" s="15">
        <v>4.4910179640718599</v>
      </c>
      <c r="AP21" s="15">
        <v>4.9040511727078897</v>
      </c>
      <c r="AQ21" s="15">
        <v>8.0882352941176503</v>
      </c>
      <c r="AR21" s="24">
        <v>5.1515151515151496</v>
      </c>
      <c r="AS21" s="38"/>
    </row>
    <row r="22" spans="1:45">
      <c r="A22" s="9" t="s">
        <v>180</v>
      </c>
      <c r="B22" s="36">
        <v>10.8232154664533</v>
      </c>
      <c r="C22" s="32">
        <v>10.6493811449484</v>
      </c>
      <c r="D22" s="32">
        <v>10.4989445610386</v>
      </c>
      <c r="E22" s="32">
        <v>14.2992859257345</v>
      </c>
      <c r="F22" s="15">
        <v>19.6078431372549</v>
      </c>
      <c r="G22" s="20" t="s">
        <v>80</v>
      </c>
      <c r="H22" s="15">
        <v>15.6424581005587</v>
      </c>
      <c r="I22" s="15">
        <v>15.841584158415801</v>
      </c>
      <c r="J22" s="15">
        <v>14.285714285714301</v>
      </c>
      <c r="K22" s="20" t="s">
        <v>80</v>
      </c>
      <c r="L22" s="15">
        <v>13.0841121495327</v>
      </c>
      <c r="M22" s="15">
        <v>20.238095238095202</v>
      </c>
      <c r="N22" s="15">
        <v>13.1944444444444</v>
      </c>
      <c r="O22" s="15">
        <v>12.0967741935484</v>
      </c>
      <c r="P22" s="15">
        <v>14.876033057851201</v>
      </c>
      <c r="Q22" s="15">
        <v>26.470588235294102</v>
      </c>
      <c r="R22" s="20" t="s">
        <v>80</v>
      </c>
      <c r="S22" s="20" t="s">
        <v>80</v>
      </c>
      <c r="T22" s="15">
        <v>13.953488372093</v>
      </c>
      <c r="U22" s="15">
        <v>14.285714285714301</v>
      </c>
      <c r="V22" s="20" t="s">
        <v>80</v>
      </c>
      <c r="W22" s="20" t="s">
        <v>80</v>
      </c>
      <c r="X22" s="15">
        <v>8.1081081081081106</v>
      </c>
      <c r="Y22" s="15">
        <v>18.181818181818201</v>
      </c>
      <c r="Z22" s="20" t="s">
        <v>80</v>
      </c>
      <c r="AA22" s="15">
        <v>13.0434782608696</v>
      </c>
      <c r="AB22" s="20" t="s">
        <v>80</v>
      </c>
      <c r="AC22" s="15">
        <v>28.571428571428601</v>
      </c>
      <c r="AD22" s="15">
        <v>26.086956521739101</v>
      </c>
      <c r="AE22" s="20" t="s">
        <v>80</v>
      </c>
      <c r="AF22" s="15">
        <v>15.909090909090899</v>
      </c>
      <c r="AG22" s="15">
        <v>33.3333333333333</v>
      </c>
      <c r="AH22" s="15">
        <v>7.5268817204301097</v>
      </c>
      <c r="AI22" s="20" t="s">
        <v>80</v>
      </c>
      <c r="AJ22" s="32">
        <v>7.17419055140049</v>
      </c>
      <c r="AK22" s="15">
        <v>7.1005917159763303</v>
      </c>
      <c r="AL22" s="15">
        <v>7.6252723311546804</v>
      </c>
      <c r="AM22" s="15">
        <v>7.0707070707070701</v>
      </c>
      <c r="AN22" s="15">
        <v>14.5985401459854</v>
      </c>
      <c r="AO22" s="15">
        <v>9.5808383233532908</v>
      </c>
      <c r="AP22" s="15">
        <v>7.6759061833688698</v>
      </c>
      <c r="AQ22" s="15">
        <v>8.8235294117646994</v>
      </c>
      <c r="AR22" s="24">
        <v>7.2727272727272698</v>
      </c>
      <c r="AS22" s="38"/>
    </row>
    <row r="23" spans="1:45">
      <c r="A23" s="9" t="s">
        <v>181</v>
      </c>
      <c r="B23" s="36">
        <v>7.2788847199500397</v>
      </c>
      <c r="C23" s="32">
        <v>7.5087096531186202</v>
      </c>
      <c r="D23" s="32">
        <v>7.9483324253710901</v>
      </c>
      <c r="E23" s="32">
        <v>9.5984134025219205</v>
      </c>
      <c r="F23" s="20" t="s">
        <v>80</v>
      </c>
      <c r="G23" s="20" t="s">
        <v>80</v>
      </c>
      <c r="H23" s="15">
        <v>15.083798882681601</v>
      </c>
      <c r="I23" s="15">
        <v>6.9306930693069297</v>
      </c>
      <c r="J23" s="15">
        <v>7.1428571428571397</v>
      </c>
      <c r="K23" s="20" t="s">
        <v>80</v>
      </c>
      <c r="L23" s="15">
        <v>10.2803738317757</v>
      </c>
      <c r="M23" s="15">
        <v>11.9047619047619</v>
      </c>
      <c r="N23" s="15">
        <v>11.1111111111111</v>
      </c>
      <c r="O23" s="15">
        <v>4.8387096774193497</v>
      </c>
      <c r="P23" s="15">
        <v>17.355371900826398</v>
      </c>
      <c r="Q23" s="20" t="s">
        <v>80</v>
      </c>
      <c r="R23" s="20" t="s">
        <v>80</v>
      </c>
      <c r="S23" s="20" t="s">
        <v>80</v>
      </c>
      <c r="T23" s="20" t="s">
        <v>80</v>
      </c>
      <c r="U23" s="15">
        <v>10.714285714285699</v>
      </c>
      <c r="V23" s="20" t="s">
        <v>80</v>
      </c>
      <c r="W23" s="20" t="s">
        <v>80</v>
      </c>
      <c r="X23" s="15">
        <v>10.8108108108108</v>
      </c>
      <c r="Y23" s="15">
        <v>11.363636363636401</v>
      </c>
      <c r="Z23" s="20" t="s">
        <v>80</v>
      </c>
      <c r="AA23" s="15">
        <v>13.0434782608696</v>
      </c>
      <c r="AB23" s="20" t="s">
        <v>80</v>
      </c>
      <c r="AC23" s="20" t="s">
        <v>80</v>
      </c>
      <c r="AD23" s="20" t="s">
        <v>80</v>
      </c>
      <c r="AE23" s="20" t="s">
        <v>80</v>
      </c>
      <c r="AF23" s="20" t="s">
        <v>80</v>
      </c>
      <c r="AG23" s="20" t="s">
        <v>80</v>
      </c>
      <c r="AH23" s="20" t="s">
        <v>80</v>
      </c>
      <c r="AI23" s="20" t="s">
        <v>80</v>
      </c>
      <c r="AJ23" s="32">
        <v>6.5047480684566601</v>
      </c>
      <c r="AK23" s="15">
        <v>6.3609467455621296</v>
      </c>
      <c r="AL23" s="15">
        <v>4.1394335511982598</v>
      </c>
      <c r="AM23" s="15">
        <v>7.0707070707070701</v>
      </c>
      <c r="AN23" s="15">
        <v>10.2189781021898</v>
      </c>
      <c r="AO23" s="15">
        <v>7.4850299401197598</v>
      </c>
      <c r="AP23" s="15">
        <v>5.1172707889125801</v>
      </c>
      <c r="AQ23" s="15">
        <v>8.0882352941176503</v>
      </c>
      <c r="AR23" s="24">
        <v>8.1818181818181799</v>
      </c>
      <c r="AS23" s="38"/>
    </row>
    <row r="24" spans="1:45">
      <c r="A24" s="9" t="s">
        <v>182</v>
      </c>
      <c r="B24" s="36">
        <v>4.4512455467420997</v>
      </c>
      <c r="C24" s="32">
        <v>4.3088989391367303</v>
      </c>
      <c r="D24" s="32">
        <v>4.14533702379555</v>
      </c>
      <c r="E24" s="32">
        <v>5.5134335129841601</v>
      </c>
      <c r="F24" s="20" t="s">
        <v>80</v>
      </c>
      <c r="G24" s="20" t="s">
        <v>80</v>
      </c>
      <c r="H24" s="15">
        <v>8.9385474860335208</v>
      </c>
      <c r="I24" s="20" t="s">
        <v>80</v>
      </c>
      <c r="J24" s="15">
        <v>8.5714285714285694</v>
      </c>
      <c r="K24" s="20" t="s">
        <v>80</v>
      </c>
      <c r="L24" s="15">
        <v>10.2803738317757</v>
      </c>
      <c r="M24" s="20" t="s">
        <v>80</v>
      </c>
      <c r="N24" s="20" t="s">
        <v>80</v>
      </c>
      <c r="O24" s="20" t="s">
        <v>80</v>
      </c>
      <c r="P24" s="20" t="s">
        <v>80</v>
      </c>
      <c r="Q24" s="20" t="s">
        <v>80</v>
      </c>
      <c r="R24" s="20" t="s">
        <v>80</v>
      </c>
      <c r="S24" s="20" t="s">
        <v>80</v>
      </c>
      <c r="T24" s="20" t="s">
        <v>80</v>
      </c>
      <c r="U24" s="20" t="s">
        <v>80</v>
      </c>
      <c r="V24" s="20" t="s">
        <v>80</v>
      </c>
      <c r="W24" s="20" t="s">
        <v>80</v>
      </c>
      <c r="X24" s="20" t="s">
        <v>80</v>
      </c>
      <c r="Y24" s="15">
        <v>6.0606060606060597</v>
      </c>
      <c r="Z24" s="20" t="s">
        <v>80</v>
      </c>
      <c r="AA24" s="20" t="s">
        <v>80</v>
      </c>
      <c r="AB24" s="20" t="s">
        <v>80</v>
      </c>
      <c r="AC24" s="20" t="s">
        <v>80</v>
      </c>
      <c r="AD24" s="15">
        <v>10.869565217391299</v>
      </c>
      <c r="AE24" s="20" t="s">
        <v>80</v>
      </c>
      <c r="AF24" s="20" t="s">
        <v>80</v>
      </c>
      <c r="AG24" s="20" t="s">
        <v>80</v>
      </c>
      <c r="AH24" s="15">
        <v>7.5268817204301097</v>
      </c>
      <c r="AI24" s="20" t="s">
        <v>80</v>
      </c>
      <c r="AJ24" s="32">
        <v>2.9484486783809198</v>
      </c>
      <c r="AK24" s="15">
        <v>4.5857988165680501</v>
      </c>
      <c r="AL24" s="15">
        <v>2.8322440087145999</v>
      </c>
      <c r="AM24" s="20" t="s">
        <v>80</v>
      </c>
      <c r="AN24" s="20" t="s">
        <v>80</v>
      </c>
      <c r="AO24" s="15">
        <v>2.9940119760478998</v>
      </c>
      <c r="AP24" s="15">
        <v>3.41151385927505</v>
      </c>
      <c r="AQ24" s="15">
        <v>3.6764705882352899</v>
      </c>
      <c r="AR24" s="24">
        <v>4.5454545454545503</v>
      </c>
      <c r="AS24" s="38"/>
    </row>
    <row r="25" spans="1:45">
      <c r="A25" s="9" t="s">
        <v>183</v>
      </c>
      <c r="B25" s="36">
        <v>3.2530387665106701</v>
      </c>
      <c r="C25" s="32">
        <v>3.1942850945255299</v>
      </c>
      <c r="D25" s="32">
        <v>3.57024185591282</v>
      </c>
      <c r="E25" s="32">
        <v>5.0393691636778</v>
      </c>
      <c r="F25" s="20" t="s">
        <v>80</v>
      </c>
      <c r="G25" s="20" t="s">
        <v>80</v>
      </c>
      <c r="H25" s="15">
        <v>6.1452513966480398</v>
      </c>
      <c r="I25" s="20" t="s">
        <v>80</v>
      </c>
      <c r="J25" s="20" t="s">
        <v>80</v>
      </c>
      <c r="K25" s="20" t="s">
        <v>80</v>
      </c>
      <c r="L25" s="15">
        <v>6.5420560747663501</v>
      </c>
      <c r="M25" s="15">
        <v>8.3333333333333304</v>
      </c>
      <c r="N25" s="15">
        <v>5.5555555555555598</v>
      </c>
      <c r="O25" s="15">
        <v>4.8387096774193497</v>
      </c>
      <c r="P25" s="15">
        <v>5.7851239669421499</v>
      </c>
      <c r="Q25" s="20" t="s">
        <v>80</v>
      </c>
      <c r="R25" s="20" t="s">
        <v>80</v>
      </c>
      <c r="S25" s="20" t="s">
        <v>80</v>
      </c>
      <c r="T25" s="20" t="s">
        <v>80</v>
      </c>
      <c r="U25" s="15">
        <v>12.5</v>
      </c>
      <c r="V25" s="20" t="s">
        <v>80</v>
      </c>
      <c r="W25" s="20" t="s">
        <v>80</v>
      </c>
      <c r="X25" s="20" t="s">
        <v>80</v>
      </c>
      <c r="Y25" s="15">
        <v>9.0909090909090899</v>
      </c>
      <c r="Z25" s="20" t="s">
        <v>80</v>
      </c>
      <c r="AA25" s="20" t="s">
        <v>80</v>
      </c>
      <c r="AB25" s="20" t="s">
        <v>80</v>
      </c>
      <c r="AC25" s="20" t="s">
        <v>80</v>
      </c>
      <c r="AD25" s="20" t="s">
        <v>80</v>
      </c>
      <c r="AE25" s="20" t="s">
        <v>80</v>
      </c>
      <c r="AF25" s="20" t="s">
        <v>80</v>
      </c>
      <c r="AG25" s="20" t="s">
        <v>80</v>
      </c>
      <c r="AH25" s="20" t="s">
        <v>80</v>
      </c>
      <c r="AI25" s="20" t="s">
        <v>80</v>
      </c>
      <c r="AJ25" s="32">
        <v>2.2849660245004002</v>
      </c>
      <c r="AK25" s="15">
        <v>1.62721893491124</v>
      </c>
      <c r="AL25" s="15">
        <v>1.7429193899782101</v>
      </c>
      <c r="AM25" s="20" t="s">
        <v>80</v>
      </c>
      <c r="AN25" s="15">
        <v>4.3795620437956204</v>
      </c>
      <c r="AO25" s="15">
        <v>3.5928143712574898</v>
      </c>
      <c r="AP25" s="15">
        <v>2.1321961620469101</v>
      </c>
      <c r="AQ25" s="15">
        <v>4.4117647058823497</v>
      </c>
      <c r="AR25" s="24">
        <v>2.4242424242424199</v>
      </c>
      <c r="AS25" s="38"/>
    </row>
    <row r="26" spans="1:45">
      <c r="A26" s="9" t="s">
        <v>184</v>
      </c>
      <c r="B26" s="36">
        <v>11.558222336867599</v>
      </c>
      <c r="C26" s="32">
        <v>11.1463304267302</v>
      </c>
      <c r="D26" s="32">
        <v>11.4879932203369</v>
      </c>
      <c r="E26" s="32">
        <v>14.876790276842501</v>
      </c>
      <c r="F26" s="15">
        <v>15.6862745098039</v>
      </c>
      <c r="G26" s="20" t="s">
        <v>80</v>
      </c>
      <c r="H26" s="15">
        <v>22.346368715083798</v>
      </c>
      <c r="I26" s="15">
        <v>13.8613861386139</v>
      </c>
      <c r="J26" s="15">
        <v>15.714285714285699</v>
      </c>
      <c r="K26" s="20" t="s">
        <v>80</v>
      </c>
      <c r="L26" s="15">
        <v>19.6261682242991</v>
      </c>
      <c r="M26" s="15">
        <v>11.9047619047619</v>
      </c>
      <c r="N26" s="15">
        <v>16.6666666666667</v>
      </c>
      <c r="O26" s="15">
        <v>12.0967741935484</v>
      </c>
      <c r="P26" s="15">
        <v>16.528925619834698</v>
      </c>
      <c r="Q26" s="20" t="s">
        <v>80</v>
      </c>
      <c r="R26" s="15">
        <v>10.6382978723404</v>
      </c>
      <c r="S26" s="15">
        <v>10.869565217391299</v>
      </c>
      <c r="T26" s="20" t="s">
        <v>80</v>
      </c>
      <c r="U26" s="15">
        <v>16.071428571428601</v>
      </c>
      <c r="V26" s="15">
        <v>18.421052631578899</v>
      </c>
      <c r="W26" s="20" t="s">
        <v>80</v>
      </c>
      <c r="X26" s="15">
        <v>5.4054054054054097</v>
      </c>
      <c r="Y26" s="15">
        <v>16.6666666666667</v>
      </c>
      <c r="Z26" s="15">
        <v>17.241379310344801</v>
      </c>
      <c r="AA26" s="15">
        <v>19.565217391304301</v>
      </c>
      <c r="AB26" s="15">
        <v>27.272727272727298</v>
      </c>
      <c r="AC26" s="15">
        <v>11.9047619047619</v>
      </c>
      <c r="AD26" s="15">
        <v>10.869565217391299</v>
      </c>
      <c r="AE26" s="15">
        <v>21.2121212121212</v>
      </c>
      <c r="AF26" s="15">
        <v>18.181818181818201</v>
      </c>
      <c r="AG26" s="20" t="s">
        <v>80</v>
      </c>
      <c r="AH26" s="15">
        <v>8.6021505376344098</v>
      </c>
      <c r="AI26" s="15">
        <v>12.5</v>
      </c>
      <c r="AJ26" s="32">
        <v>8.5232814957183507</v>
      </c>
      <c r="AK26" s="15">
        <v>6.8047337278106497</v>
      </c>
      <c r="AL26" s="15">
        <v>8.9324618736383403</v>
      </c>
      <c r="AM26" s="15">
        <v>9.5959595959596005</v>
      </c>
      <c r="AN26" s="15">
        <v>5.10948905109489</v>
      </c>
      <c r="AO26" s="15">
        <v>9.2814371257485</v>
      </c>
      <c r="AP26" s="15">
        <v>10.021321961620499</v>
      </c>
      <c r="AQ26" s="15">
        <v>11.0294117647059</v>
      </c>
      <c r="AR26" s="24">
        <v>9.6969696969697008</v>
      </c>
      <c r="AS26" s="38"/>
    </row>
    <row r="27" spans="1:45">
      <c r="A27" s="9" t="s">
        <v>185</v>
      </c>
      <c r="B27" s="36">
        <v>9.58892706314737</v>
      </c>
      <c r="C27" s="32">
        <v>9.9181563306815406</v>
      </c>
      <c r="D27" s="32">
        <v>10.4002888285866</v>
      </c>
      <c r="E27" s="32">
        <v>14.4863407394819</v>
      </c>
      <c r="F27" s="15">
        <v>13.7254901960784</v>
      </c>
      <c r="G27" s="20" t="s">
        <v>80</v>
      </c>
      <c r="H27" s="15">
        <v>14.525139664804501</v>
      </c>
      <c r="I27" s="15">
        <v>9.9009900990098991</v>
      </c>
      <c r="J27" s="15">
        <v>15.714285714285699</v>
      </c>
      <c r="K27" s="15">
        <v>13.5135135135135</v>
      </c>
      <c r="L27" s="15">
        <v>14.953271028037401</v>
      </c>
      <c r="M27" s="15">
        <v>15.476190476190499</v>
      </c>
      <c r="N27" s="15">
        <v>20.1388888888889</v>
      </c>
      <c r="O27" s="15">
        <v>10.4838709677419</v>
      </c>
      <c r="P27" s="15">
        <v>21.4876033057851</v>
      </c>
      <c r="Q27" s="15">
        <v>26.470588235294102</v>
      </c>
      <c r="R27" s="15">
        <v>17.021276595744698</v>
      </c>
      <c r="S27" s="15">
        <v>15.2173913043478</v>
      </c>
      <c r="T27" s="20" t="s">
        <v>80</v>
      </c>
      <c r="U27" s="15">
        <v>19.6428571428571</v>
      </c>
      <c r="V27" s="20" t="s">
        <v>80</v>
      </c>
      <c r="W27" s="15">
        <v>15.2173913043478</v>
      </c>
      <c r="X27" s="15">
        <v>5.4054054054054097</v>
      </c>
      <c r="Y27" s="15">
        <v>9.0909090909090899</v>
      </c>
      <c r="Z27" s="20" t="s">
        <v>80</v>
      </c>
      <c r="AA27" s="15">
        <v>19.565217391304301</v>
      </c>
      <c r="AB27" s="20" t="s">
        <v>80</v>
      </c>
      <c r="AC27" s="15">
        <v>26.1904761904762</v>
      </c>
      <c r="AD27" s="15">
        <v>10.869565217391299</v>
      </c>
      <c r="AE27" s="20" t="s">
        <v>80</v>
      </c>
      <c r="AF27" s="20" t="s">
        <v>80</v>
      </c>
      <c r="AG27" s="20" t="s">
        <v>80</v>
      </c>
      <c r="AH27" s="15">
        <v>9.67741935483871</v>
      </c>
      <c r="AI27" s="15">
        <v>12.5</v>
      </c>
      <c r="AJ27" s="32">
        <v>6.8255790405289396</v>
      </c>
      <c r="AK27" s="15">
        <v>5.7692307692307701</v>
      </c>
      <c r="AL27" s="15">
        <v>6.5359477124182996</v>
      </c>
      <c r="AM27" s="15">
        <v>9.5959595959596005</v>
      </c>
      <c r="AN27" s="15">
        <v>7.2992700729926998</v>
      </c>
      <c r="AO27" s="15">
        <v>7.1856287425149699</v>
      </c>
      <c r="AP27" s="15">
        <v>5.7569296375266497</v>
      </c>
      <c r="AQ27" s="15">
        <v>13.235294117647101</v>
      </c>
      <c r="AR27" s="24">
        <v>7.8787878787878798</v>
      </c>
      <c r="AS27" s="38"/>
    </row>
    <row r="28" spans="1:45">
      <c r="A28" s="9" t="s">
        <v>186</v>
      </c>
      <c r="B28" s="36">
        <v>17.599537843594899</v>
      </c>
      <c r="C28" s="32">
        <v>17.120797378836599</v>
      </c>
      <c r="D28" s="32">
        <v>16.244634336870199</v>
      </c>
      <c r="E28" s="32">
        <v>20.714548143727999</v>
      </c>
      <c r="F28" s="15">
        <v>27.4509803921569</v>
      </c>
      <c r="G28" s="20" t="s">
        <v>80</v>
      </c>
      <c r="H28" s="15">
        <v>26.815642458100601</v>
      </c>
      <c r="I28" s="15">
        <v>24.752475247524799</v>
      </c>
      <c r="J28" s="15">
        <v>15.714285714285699</v>
      </c>
      <c r="K28" s="15">
        <v>29.729729729729701</v>
      </c>
      <c r="L28" s="15">
        <v>16.822429906542101</v>
      </c>
      <c r="M28" s="15">
        <v>30.952380952380999</v>
      </c>
      <c r="N28" s="15">
        <v>29.8611111111111</v>
      </c>
      <c r="O28" s="15">
        <v>12.9032258064516</v>
      </c>
      <c r="P28" s="15">
        <v>34.710743801652903</v>
      </c>
      <c r="Q28" s="20" t="s">
        <v>80</v>
      </c>
      <c r="R28" s="20" t="s">
        <v>80</v>
      </c>
      <c r="S28" s="15">
        <v>17.3913043478261</v>
      </c>
      <c r="T28" s="20" t="s">
        <v>80</v>
      </c>
      <c r="U28" s="15">
        <v>19.6428571428571</v>
      </c>
      <c r="V28" s="15">
        <v>21.052631578947398</v>
      </c>
      <c r="W28" s="20" t="s">
        <v>80</v>
      </c>
      <c r="X28" s="15">
        <v>9.0090090090090094</v>
      </c>
      <c r="Y28" s="15">
        <v>22.727272727272702</v>
      </c>
      <c r="Z28" s="15">
        <v>34.482758620689701</v>
      </c>
      <c r="AA28" s="15">
        <v>10.869565217391299</v>
      </c>
      <c r="AB28" s="15">
        <v>31.818181818181799</v>
      </c>
      <c r="AC28" s="15">
        <v>16.6666666666667</v>
      </c>
      <c r="AD28" s="15">
        <v>15.2173913043478</v>
      </c>
      <c r="AE28" s="20" t="s">
        <v>80</v>
      </c>
      <c r="AF28" s="15">
        <v>18.181818181818201</v>
      </c>
      <c r="AG28" s="20" t="s">
        <v>80</v>
      </c>
      <c r="AH28" s="15">
        <v>12.9032258064516</v>
      </c>
      <c r="AI28" s="20" t="s">
        <v>80</v>
      </c>
      <c r="AJ28" s="32">
        <v>12.334100406906799</v>
      </c>
      <c r="AK28" s="15">
        <v>15.5325443786982</v>
      </c>
      <c r="AL28" s="15">
        <v>9.5860566448801805</v>
      </c>
      <c r="AM28" s="15">
        <v>13.1313131313131</v>
      </c>
      <c r="AN28" s="15">
        <v>10.2189781021898</v>
      </c>
      <c r="AO28" s="15">
        <v>14.0718562874252</v>
      </c>
      <c r="AP28" s="15">
        <v>13.2196162046908</v>
      </c>
      <c r="AQ28" s="15">
        <v>12.5</v>
      </c>
      <c r="AR28" s="24">
        <v>11.2121212121212</v>
      </c>
      <c r="AS28" s="38"/>
    </row>
    <row r="29" spans="1:45">
      <c r="A29" s="9" t="s">
        <v>187</v>
      </c>
      <c r="B29" s="36">
        <v>9.2462001212724996</v>
      </c>
      <c r="C29" s="32">
        <v>8.7129699662323201</v>
      </c>
      <c r="D29" s="32">
        <v>8.5307062197693906</v>
      </c>
      <c r="E29" s="32">
        <v>10.7125201180682</v>
      </c>
      <c r="F29" s="20" t="s">
        <v>80</v>
      </c>
      <c r="G29" s="20" t="s">
        <v>80</v>
      </c>
      <c r="H29" s="15">
        <v>7.8212290502793298</v>
      </c>
      <c r="I29" s="15">
        <v>8.9108910891089099</v>
      </c>
      <c r="J29" s="15">
        <v>8.5714285714285694</v>
      </c>
      <c r="K29" s="20" t="s">
        <v>80</v>
      </c>
      <c r="L29" s="15">
        <v>14.018691588785</v>
      </c>
      <c r="M29" s="15">
        <v>11.9047619047619</v>
      </c>
      <c r="N29" s="15">
        <v>11.1111111111111</v>
      </c>
      <c r="O29" s="15">
        <v>9.67741935483871</v>
      </c>
      <c r="P29" s="15">
        <v>15.702479338843</v>
      </c>
      <c r="Q29" s="15">
        <v>20.588235294117599</v>
      </c>
      <c r="R29" s="20" t="s">
        <v>80</v>
      </c>
      <c r="S29" s="20" t="s">
        <v>80</v>
      </c>
      <c r="T29" s="20" t="s">
        <v>80</v>
      </c>
      <c r="U29" s="15">
        <v>17.8571428571429</v>
      </c>
      <c r="V29" s="15">
        <v>13.157894736842101</v>
      </c>
      <c r="W29" s="20" t="s">
        <v>80</v>
      </c>
      <c r="X29" s="15">
        <v>7.20720720720721</v>
      </c>
      <c r="Y29" s="15">
        <v>12.8787878787879</v>
      </c>
      <c r="Z29" s="20" t="s">
        <v>80</v>
      </c>
      <c r="AA29" s="20" t="s">
        <v>80</v>
      </c>
      <c r="AB29" s="20" t="s">
        <v>80</v>
      </c>
      <c r="AC29" s="15">
        <v>19.047619047619001</v>
      </c>
      <c r="AD29" s="15">
        <v>19.565217391304301</v>
      </c>
      <c r="AE29" s="20" t="s">
        <v>80</v>
      </c>
      <c r="AF29" s="15">
        <v>11.363636363636401</v>
      </c>
      <c r="AG29" s="20" t="s">
        <v>80</v>
      </c>
      <c r="AH29" s="20" t="s">
        <v>80</v>
      </c>
      <c r="AI29" s="15">
        <v>10.714285714285699</v>
      </c>
      <c r="AJ29" s="32">
        <v>6.6219317675475704</v>
      </c>
      <c r="AK29" s="15">
        <v>7.3964497041420101</v>
      </c>
      <c r="AL29" s="15">
        <v>3.9215686274509798</v>
      </c>
      <c r="AM29" s="15">
        <v>6.5656565656565702</v>
      </c>
      <c r="AN29" s="15">
        <v>10.9489051094891</v>
      </c>
      <c r="AO29" s="15">
        <v>6.5868263473053901</v>
      </c>
      <c r="AP29" s="15">
        <v>6.6098081023454096</v>
      </c>
      <c r="AQ29" s="15">
        <v>10.294117647058799</v>
      </c>
      <c r="AR29" s="24">
        <v>7.5757575757575797</v>
      </c>
      <c r="AS29" s="38"/>
    </row>
    <row r="30" spans="1:45">
      <c r="A30" s="9" t="s">
        <v>188</v>
      </c>
      <c r="B30" s="36">
        <v>10.1101111094081</v>
      </c>
      <c r="C30" s="32">
        <v>10.127537765361399</v>
      </c>
      <c r="D30" s="32">
        <v>10.239751096230201</v>
      </c>
      <c r="E30" s="32">
        <v>10.2223068263641</v>
      </c>
      <c r="F30" s="15">
        <v>11.764705882352899</v>
      </c>
      <c r="G30" s="20" t="s">
        <v>80</v>
      </c>
      <c r="H30" s="15">
        <v>13.407821229050301</v>
      </c>
      <c r="I30" s="15">
        <v>9.9009900990098991</v>
      </c>
      <c r="J30" s="15">
        <v>7.1428571428571397</v>
      </c>
      <c r="K30" s="15">
        <v>16.2162162162162</v>
      </c>
      <c r="L30" s="15">
        <v>8.4112149532710294</v>
      </c>
      <c r="M30" s="15">
        <v>9.5238095238095202</v>
      </c>
      <c r="N30" s="15">
        <v>10.4166666666667</v>
      </c>
      <c r="O30" s="15">
        <v>8.8709677419354804</v>
      </c>
      <c r="P30" s="15">
        <v>19.008264462809901</v>
      </c>
      <c r="Q30" s="20" t="s">
        <v>80</v>
      </c>
      <c r="R30" s="15">
        <v>17.021276595744698</v>
      </c>
      <c r="S30" s="20" t="s">
        <v>80</v>
      </c>
      <c r="T30" s="20" t="s">
        <v>80</v>
      </c>
      <c r="U30" s="20" t="s">
        <v>80</v>
      </c>
      <c r="V30" s="20" t="s">
        <v>80</v>
      </c>
      <c r="W30" s="20" t="s">
        <v>80</v>
      </c>
      <c r="X30" s="15">
        <v>4.5045045045045002</v>
      </c>
      <c r="Y30" s="15">
        <v>12.8787878787879</v>
      </c>
      <c r="Z30" s="20" t="s">
        <v>80</v>
      </c>
      <c r="AA30" s="20" t="s">
        <v>80</v>
      </c>
      <c r="AB30" s="20" t="s">
        <v>80</v>
      </c>
      <c r="AC30" s="20" t="s">
        <v>80</v>
      </c>
      <c r="AD30" s="15">
        <v>10.869565217391299</v>
      </c>
      <c r="AE30" s="20" t="s">
        <v>80</v>
      </c>
      <c r="AF30" s="20" t="s">
        <v>80</v>
      </c>
      <c r="AG30" s="20" t="s">
        <v>80</v>
      </c>
      <c r="AH30" s="15">
        <v>8.6021505376344098</v>
      </c>
      <c r="AI30" s="20" t="s">
        <v>80</v>
      </c>
      <c r="AJ30" s="32">
        <v>10.2550123321606</v>
      </c>
      <c r="AK30" s="15">
        <v>9.7633136094674597</v>
      </c>
      <c r="AL30" s="15">
        <v>9.5860566448801805</v>
      </c>
      <c r="AM30" s="15">
        <v>10.1010101010101</v>
      </c>
      <c r="AN30" s="15">
        <v>11.6788321167883</v>
      </c>
      <c r="AO30" s="15">
        <v>7.7844311377245496</v>
      </c>
      <c r="AP30" s="15">
        <v>10.8742004264392</v>
      </c>
      <c r="AQ30" s="15">
        <v>15.4411764705882</v>
      </c>
      <c r="AR30" s="24">
        <v>8.1818181818181799</v>
      </c>
      <c r="AS30" s="38"/>
    </row>
    <row r="31" spans="1:45">
      <c r="A31" s="9" t="s">
        <v>189</v>
      </c>
      <c r="B31" s="36">
        <v>14.5558272876762</v>
      </c>
      <c r="C31" s="32">
        <v>14.2558580513036</v>
      </c>
      <c r="D31" s="32">
        <v>14.628441103694801</v>
      </c>
      <c r="E31" s="32">
        <v>16.831714633982799</v>
      </c>
      <c r="F31" s="15">
        <v>17.647058823529399</v>
      </c>
      <c r="G31" s="20" t="s">
        <v>80</v>
      </c>
      <c r="H31" s="15">
        <v>21.229050279329599</v>
      </c>
      <c r="I31" s="15">
        <v>13.8613861386139</v>
      </c>
      <c r="J31" s="15">
        <v>10</v>
      </c>
      <c r="K31" s="15">
        <v>29.729729729729701</v>
      </c>
      <c r="L31" s="15">
        <v>14.953271028037401</v>
      </c>
      <c r="M31" s="15">
        <v>19.047619047619001</v>
      </c>
      <c r="N31" s="15">
        <v>18.0555555555556</v>
      </c>
      <c r="O31" s="15">
        <v>8.8709677419354804</v>
      </c>
      <c r="P31" s="15">
        <v>28.099173553719002</v>
      </c>
      <c r="Q31" s="15">
        <v>17.647058823529399</v>
      </c>
      <c r="R31" s="15">
        <v>23.404255319148898</v>
      </c>
      <c r="S31" s="20" t="s">
        <v>80</v>
      </c>
      <c r="T31" s="20" t="s">
        <v>80</v>
      </c>
      <c r="U31" s="15">
        <v>23.214285714285701</v>
      </c>
      <c r="V31" s="15">
        <v>21.052631578947398</v>
      </c>
      <c r="W31" s="15">
        <v>13.0434782608696</v>
      </c>
      <c r="X31" s="15">
        <v>9.0090090090090094</v>
      </c>
      <c r="Y31" s="15">
        <v>18.939393939393899</v>
      </c>
      <c r="Z31" s="15">
        <v>20.689655172413801</v>
      </c>
      <c r="AA31" s="15">
        <v>13.0434782608696</v>
      </c>
      <c r="AB31" s="20" t="s">
        <v>80</v>
      </c>
      <c r="AC31" s="15">
        <v>16.6666666666667</v>
      </c>
      <c r="AD31" s="15">
        <v>21.739130434782599</v>
      </c>
      <c r="AE31" s="20" t="s">
        <v>80</v>
      </c>
      <c r="AF31" s="20" t="s">
        <v>80</v>
      </c>
      <c r="AG31" s="20" t="s">
        <v>80</v>
      </c>
      <c r="AH31" s="15">
        <v>12.9032258064516</v>
      </c>
      <c r="AI31" s="15">
        <v>12.5</v>
      </c>
      <c r="AJ31" s="32">
        <v>12.7008925491873</v>
      </c>
      <c r="AK31" s="15">
        <v>12.1301775147929</v>
      </c>
      <c r="AL31" s="15">
        <v>11.764705882352899</v>
      </c>
      <c r="AM31" s="15">
        <v>12.6262626262626</v>
      </c>
      <c r="AN31" s="15">
        <v>18.248175182481699</v>
      </c>
      <c r="AO31" s="15">
        <v>12.275449101796401</v>
      </c>
      <c r="AP31" s="15">
        <v>12.3667377398721</v>
      </c>
      <c r="AQ31" s="15">
        <v>13.235294117647101</v>
      </c>
      <c r="AR31" s="24">
        <v>9.6969696969697008</v>
      </c>
      <c r="AS31" s="38"/>
    </row>
    <row r="32" spans="1:45">
      <c r="A32" s="9" t="s">
        <v>190</v>
      </c>
      <c r="B32" s="36">
        <v>4.4676446380830601</v>
      </c>
      <c r="C32" s="32">
        <v>4.4036600252259701</v>
      </c>
      <c r="D32" s="32">
        <v>4.7549107240387203</v>
      </c>
      <c r="E32" s="32">
        <v>5.3465888030567097</v>
      </c>
      <c r="F32" s="20" t="s">
        <v>80</v>
      </c>
      <c r="G32" s="20" t="s">
        <v>80</v>
      </c>
      <c r="H32" s="15">
        <v>6.7039106145251397</v>
      </c>
      <c r="I32" s="15">
        <v>5.9405940594059397</v>
      </c>
      <c r="J32" s="20" t="s">
        <v>80</v>
      </c>
      <c r="K32" s="20" t="s">
        <v>80</v>
      </c>
      <c r="L32" s="15">
        <v>4.6728971962616797</v>
      </c>
      <c r="M32" s="15">
        <v>5.9523809523809499</v>
      </c>
      <c r="N32" s="15">
        <v>5.5555555555555598</v>
      </c>
      <c r="O32" s="15">
        <v>4.0322580645161299</v>
      </c>
      <c r="P32" s="15">
        <v>7.4380165289256199</v>
      </c>
      <c r="Q32" s="15">
        <v>14.705882352941201</v>
      </c>
      <c r="R32" s="20" t="s">
        <v>80</v>
      </c>
      <c r="S32" s="20" t="s">
        <v>80</v>
      </c>
      <c r="T32" s="20" t="s">
        <v>80</v>
      </c>
      <c r="U32" s="15">
        <v>10.714285714285699</v>
      </c>
      <c r="V32" s="20" t="s">
        <v>80</v>
      </c>
      <c r="W32" s="20" t="s">
        <v>80</v>
      </c>
      <c r="X32" s="20" t="s">
        <v>80</v>
      </c>
      <c r="Y32" s="15">
        <v>9.0909090909090899</v>
      </c>
      <c r="Z32" s="20" t="s">
        <v>80</v>
      </c>
      <c r="AA32" s="20" t="s">
        <v>80</v>
      </c>
      <c r="AB32" s="20" t="s">
        <v>80</v>
      </c>
      <c r="AC32" s="20" t="s">
        <v>80</v>
      </c>
      <c r="AD32" s="20" t="s">
        <v>80</v>
      </c>
      <c r="AE32" s="20" t="s">
        <v>80</v>
      </c>
      <c r="AF32" s="20" t="s">
        <v>80</v>
      </c>
      <c r="AG32" s="20" t="s">
        <v>80</v>
      </c>
      <c r="AH32" s="20" t="s">
        <v>80</v>
      </c>
      <c r="AI32" s="20" t="s">
        <v>80</v>
      </c>
      <c r="AJ32" s="32">
        <v>4.2372772072434604</v>
      </c>
      <c r="AK32" s="15">
        <v>3.55029585798817</v>
      </c>
      <c r="AL32" s="15">
        <v>1.7429193899782101</v>
      </c>
      <c r="AM32" s="15">
        <v>5.0505050505050502</v>
      </c>
      <c r="AN32" s="15">
        <v>11.6788321167883</v>
      </c>
      <c r="AO32" s="15">
        <v>4.19161676646707</v>
      </c>
      <c r="AP32" s="15">
        <v>3.19829424307036</v>
      </c>
      <c r="AQ32" s="15">
        <v>11.764705882352899</v>
      </c>
      <c r="AR32" s="24">
        <v>3.6363636363636398</v>
      </c>
      <c r="AS32" s="38"/>
    </row>
    <row r="33" spans="1:45">
      <c r="A33" s="9" t="s">
        <v>191</v>
      </c>
      <c r="B33" s="36">
        <v>9.5550964472049706</v>
      </c>
      <c r="C33" s="32">
        <v>9.7452060251110293</v>
      </c>
      <c r="D33" s="32">
        <v>10.0604466405949</v>
      </c>
      <c r="E33" s="32">
        <v>12.1324103625688</v>
      </c>
      <c r="F33" s="15">
        <v>15.6862745098039</v>
      </c>
      <c r="G33" s="20" t="s">
        <v>80</v>
      </c>
      <c r="H33" s="15">
        <v>17.318435754189899</v>
      </c>
      <c r="I33" s="15">
        <v>9.9009900990098991</v>
      </c>
      <c r="J33" s="15">
        <v>11.4285714285714</v>
      </c>
      <c r="K33" s="20" t="s">
        <v>80</v>
      </c>
      <c r="L33" s="15">
        <v>12.1495327102804</v>
      </c>
      <c r="M33" s="15">
        <v>8.3333333333333304</v>
      </c>
      <c r="N33" s="15">
        <v>15.2777777777778</v>
      </c>
      <c r="O33" s="15">
        <v>8.8709677419354804</v>
      </c>
      <c r="P33" s="15">
        <v>18.181818181818201</v>
      </c>
      <c r="Q33" s="15">
        <v>14.705882352941201</v>
      </c>
      <c r="R33" s="20" t="s">
        <v>80</v>
      </c>
      <c r="S33" s="20" t="s">
        <v>80</v>
      </c>
      <c r="T33" s="20" t="s">
        <v>80</v>
      </c>
      <c r="U33" s="15">
        <v>16.071428571428601</v>
      </c>
      <c r="V33" s="20" t="s">
        <v>80</v>
      </c>
      <c r="W33" s="15">
        <v>10.869565217391299</v>
      </c>
      <c r="X33" s="15">
        <v>4.5045045045045002</v>
      </c>
      <c r="Y33" s="15">
        <v>10.6060606060606</v>
      </c>
      <c r="Z33" s="15">
        <v>17.241379310344801</v>
      </c>
      <c r="AA33" s="15">
        <v>21.739130434782599</v>
      </c>
      <c r="AB33" s="20" t="s">
        <v>80</v>
      </c>
      <c r="AC33" s="15">
        <v>16.6666666666667</v>
      </c>
      <c r="AD33" s="15">
        <v>15.2173913043478</v>
      </c>
      <c r="AE33" s="20" t="s">
        <v>80</v>
      </c>
      <c r="AF33" s="15">
        <v>15.909090909090899</v>
      </c>
      <c r="AG33" s="20" t="s">
        <v>80</v>
      </c>
      <c r="AH33" s="15">
        <v>7.5268817204301097</v>
      </c>
      <c r="AI33" s="15">
        <v>8.9285714285714306</v>
      </c>
      <c r="AJ33" s="32">
        <v>8.2477753483651401</v>
      </c>
      <c r="AK33" s="15">
        <v>6.3609467455621296</v>
      </c>
      <c r="AL33" s="15">
        <v>6.97167755991285</v>
      </c>
      <c r="AM33" s="15">
        <v>5.5555555555555598</v>
      </c>
      <c r="AN33" s="15">
        <v>11.6788321167883</v>
      </c>
      <c r="AO33" s="15">
        <v>9.5808383233532908</v>
      </c>
      <c r="AP33" s="15">
        <v>9.8081023454157794</v>
      </c>
      <c r="AQ33" s="15">
        <v>13.235294117647101</v>
      </c>
      <c r="AR33" s="24">
        <v>10</v>
      </c>
      <c r="AS33" s="38"/>
    </row>
    <row r="34" spans="1:45">
      <c r="A34" s="9" t="s">
        <v>192</v>
      </c>
      <c r="B34" s="36">
        <v>19.740940613097202</v>
      </c>
      <c r="C34" s="32">
        <v>19.225060588592999</v>
      </c>
      <c r="D34" s="32">
        <v>18.506089897412799</v>
      </c>
      <c r="E34" s="32">
        <v>19.154550299213401</v>
      </c>
      <c r="F34" s="15">
        <v>11.764705882352899</v>
      </c>
      <c r="G34" s="20" t="s">
        <v>80</v>
      </c>
      <c r="H34" s="15">
        <v>27.374301675977701</v>
      </c>
      <c r="I34" s="15">
        <v>23.762376237623801</v>
      </c>
      <c r="J34" s="15">
        <v>14.285714285714301</v>
      </c>
      <c r="K34" s="15">
        <v>13.5135135135135</v>
      </c>
      <c r="L34" s="15">
        <v>19.6261682242991</v>
      </c>
      <c r="M34" s="15">
        <v>25</v>
      </c>
      <c r="N34" s="15">
        <v>18.0555555555556</v>
      </c>
      <c r="O34" s="15">
        <v>24.193548387096801</v>
      </c>
      <c r="P34" s="15">
        <v>24.793388429752099</v>
      </c>
      <c r="Q34" s="15">
        <v>17.647058823529399</v>
      </c>
      <c r="R34" s="20" t="s">
        <v>80</v>
      </c>
      <c r="S34" s="15">
        <v>10.869565217391299</v>
      </c>
      <c r="T34" s="15">
        <v>13.953488372093</v>
      </c>
      <c r="U34" s="15">
        <v>19.6428571428571</v>
      </c>
      <c r="V34" s="15">
        <v>21.052631578947398</v>
      </c>
      <c r="W34" s="15">
        <v>21.739130434782599</v>
      </c>
      <c r="X34" s="15">
        <v>8.1081081081081106</v>
      </c>
      <c r="Y34" s="15">
        <v>19.696969696969699</v>
      </c>
      <c r="Z34" s="20" t="s">
        <v>80</v>
      </c>
      <c r="AA34" s="15">
        <v>19.565217391304301</v>
      </c>
      <c r="AB34" s="20" t="s">
        <v>80</v>
      </c>
      <c r="AC34" s="15">
        <v>19.047619047619001</v>
      </c>
      <c r="AD34" s="15">
        <v>15.2173913043478</v>
      </c>
      <c r="AE34" s="15">
        <v>18.181818181818201</v>
      </c>
      <c r="AF34" s="15">
        <v>29.545454545454501</v>
      </c>
      <c r="AG34" s="15">
        <v>33.3333333333333</v>
      </c>
      <c r="AH34" s="15">
        <v>8.6021505376344098</v>
      </c>
      <c r="AI34" s="15">
        <v>8.9285714285714306</v>
      </c>
      <c r="AJ34" s="32">
        <v>17.938779986517201</v>
      </c>
      <c r="AK34" s="15">
        <v>18.491124260355001</v>
      </c>
      <c r="AL34" s="15">
        <v>15.4684095860566</v>
      </c>
      <c r="AM34" s="15">
        <v>18.686868686868699</v>
      </c>
      <c r="AN34" s="15">
        <v>11.6788321167883</v>
      </c>
      <c r="AO34" s="15">
        <v>20.6586826347305</v>
      </c>
      <c r="AP34" s="15">
        <v>17.910447761194</v>
      </c>
      <c r="AQ34" s="15">
        <v>19.117647058823501</v>
      </c>
      <c r="AR34" s="24">
        <v>18.484848484848499</v>
      </c>
      <c r="AS34" s="38"/>
    </row>
    <row r="35" spans="1:45">
      <c r="A35" s="9" t="s">
        <v>193</v>
      </c>
      <c r="B35" s="36">
        <v>11.265976099813701</v>
      </c>
      <c r="C35" s="32">
        <v>10.744908808084601</v>
      </c>
      <c r="D35" s="32">
        <v>11.074987535776501</v>
      </c>
      <c r="E35" s="32">
        <v>13.6540993344342</v>
      </c>
      <c r="F35" s="15">
        <v>13.7254901960784</v>
      </c>
      <c r="G35" s="20" t="s">
        <v>80</v>
      </c>
      <c r="H35" s="15">
        <v>15.083798882681601</v>
      </c>
      <c r="I35" s="15">
        <v>14.8514851485149</v>
      </c>
      <c r="J35" s="15">
        <v>8.5714285714285694</v>
      </c>
      <c r="K35" s="15">
        <v>18.918918918918902</v>
      </c>
      <c r="L35" s="15">
        <v>14.953271028037401</v>
      </c>
      <c r="M35" s="15">
        <v>15.476190476190499</v>
      </c>
      <c r="N35" s="15">
        <v>10.4166666666667</v>
      </c>
      <c r="O35" s="15">
        <v>9.67741935483871</v>
      </c>
      <c r="P35" s="15">
        <v>23.1404958677686</v>
      </c>
      <c r="Q35" s="15">
        <v>17.647058823529399</v>
      </c>
      <c r="R35" s="20" t="s">
        <v>80</v>
      </c>
      <c r="S35" s="15">
        <v>10.869565217391299</v>
      </c>
      <c r="T35" s="20" t="s">
        <v>80</v>
      </c>
      <c r="U35" s="15">
        <v>12.5</v>
      </c>
      <c r="V35" s="15">
        <v>28.947368421052602</v>
      </c>
      <c r="W35" s="15">
        <v>15.2173913043478</v>
      </c>
      <c r="X35" s="15">
        <v>9.9099099099099099</v>
      </c>
      <c r="Y35" s="15">
        <v>8.3333333333333304</v>
      </c>
      <c r="Z35" s="15">
        <v>24.137931034482801</v>
      </c>
      <c r="AA35" s="15">
        <v>17.3913043478261</v>
      </c>
      <c r="AB35" s="20" t="s">
        <v>80</v>
      </c>
      <c r="AC35" s="15">
        <v>11.9047619047619</v>
      </c>
      <c r="AD35" s="15">
        <v>17.3913043478261</v>
      </c>
      <c r="AE35" s="15">
        <v>24.2424242424242</v>
      </c>
      <c r="AF35" s="15">
        <v>15.909090909090899</v>
      </c>
      <c r="AG35" s="20" t="s">
        <v>80</v>
      </c>
      <c r="AH35" s="15">
        <v>5.3763440860215104</v>
      </c>
      <c r="AI35" s="20" t="s">
        <v>80</v>
      </c>
      <c r="AJ35" s="32">
        <v>8.8186343635191395</v>
      </c>
      <c r="AK35" s="15">
        <v>6.8047337278106497</v>
      </c>
      <c r="AL35" s="15">
        <v>8.7145969498910691</v>
      </c>
      <c r="AM35" s="15">
        <v>8.0808080808080796</v>
      </c>
      <c r="AN35" s="15">
        <v>13.138686131386899</v>
      </c>
      <c r="AO35" s="15">
        <v>11.0778443113772</v>
      </c>
      <c r="AP35" s="15">
        <v>10.8742004264392</v>
      </c>
      <c r="AQ35" s="15">
        <v>11.0294117647059</v>
      </c>
      <c r="AR35" s="24">
        <v>10.6060606060606</v>
      </c>
      <c r="AS35" s="38"/>
    </row>
    <row r="36" spans="1:45">
      <c r="A36" s="9" t="s">
        <v>194</v>
      </c>
      <c r="B36" s="36">
        <v>6.8900706240652898</v>
      </c>
      <c r="C36" s="32">
        <v>6.5221261455985102</v>
      </c>
      <c r="D36" s="32">
        <v>7.2986702853409797</v>
      </c>
      <c r="E36" s="32">
        <v>9.45724068738269</v>
      </c>
      <c r="F36" s="20" t="s">
        <v>80</v>
      </c>
      <c r="G36" s="20" t="s">
        <v>80</v>
      </c>
      <c r="H36" s="15">
        <v>10.055865921787699</v>
      </c>
      <c r="I36" s="15">
        <v>5.9405940594059397</v>
      </c>
      <c r="J36" s="15">
        <v>7.1428571428571397</v>
      </c>
      <c r="K36" s="15">
        <v>13.5135135135135</v>
      </c>
      <c r="L36" s="15">
        <v>9.3457943925233593</v>
      </c>
      <c r="M36" s="15">
        <v>14.285714285714301</v>
      </c>
      <c r="N36" s="15">
        <v>9.7222222222222197</v>
      </c>
      <c r="O36" s="15">
        <v>6.4516129032258096</v>
      </c>
      <c r="P36" s="15">
        <v>9.9173553719008307</v>
      </c>
      <c r="Q36" s="20" t="s">
        <v>80</v>
      </c>
      <c r="R36" s="20" t="s">
        <v>80</v>
      </c>
      <c r="S36" s="20" t="s">
        <v>80</v>
      </c>
      <c r="T36" s="20" t="s">
        <v>80</v>
      </c>
      <c r="U36" s="15">
        <v>17.8571428571429</v>
      </c>
      <c r="V36" s="20" t="s">
        <v>80</v>
      </c>
      <c r="W36" s="20" t="s">
        <v>80</v>
      </c>
      <c r="X36" s="20" t="s">
        <v>80</v>
      </c>
      <c r="Y36" s="15">
        <v>13.636363636363599</v>
      </c>
      <c r="Z36" s="20" t="s">
        <v>80</v>
      </c>
      <c r="AA36" s="15">
        <v>17.3913043478261</v>
      </c>
      <c r="AB36" s="20" t="s">
        <v>80</v>
      </c>
      <c r="AC36" s="20" t="s">
        <v>80</v>
      </c>
      <c r="AD36" s="15">
        <v>17.3913043478261</v>
      </c>
      <c r="AE36" s="20" t="s">
        <v>80</v>
      </c>
      <c r="AF36" s="15">
        <v>11.363636363636401</v>
      </c>
      <c r="AG36" s="20" t="s">
        <v>80</v>
      </c>
      <c r="AH36" s="20" t="s">
        <v>80</v>
      </c>
      <c r="AI36" s="20" t="s">
        <v>80</v>
      </c>
      <c r="AJ36" s="32">
        <v>5.4102305609667303</v>
      </c>
      <c r="AK36" s="15">
        <v>5.9171597633136104</v>
      </c>
      <c r="AL36" s="15">
        <v>5.4466230936819198</v>
      </c>
      <c r="AM36" s="15">
        <v>4.0404040404040398</v>
      </c>
      <c r="AN36" s="15">
        <v>5.10948905109489</v>
      </c>
      <c r="AO36" s="15">
        <v>6.2874251497006002</v>
      </c>
      <c r="AP36" s="15">
        <v>6.6098081023454096</v>
      </c>
      <c r="AQ36" s="15">
        <v>5.8823529411764701</v>
      </c>
      <c r="AR36" s="24">
        <v>4.5454545454545503</v>
      </c>
      <c r="AS36" s="38"/>
    </row>
    <row r="37" spans="1:45">
      <c r="A37" s="9" t="s">
        <v>195</v>
      </c>
      <c r="B37" s="36">
        <v>11.9070620275164</v>
      </c>
      <c r="C37" s="32">
        <v>12.068950733314299</v>
      </c>
      <c r="D37" s="32">
        <v>12.9860335829334</v>
      </c>
      <c r="E37" s="32">
        <v>14.247664648338001</v>
      </c>
      <c r="F37" s="15">
        <v>11.764705882352899</v>
      </c>
      <c r="G37" s="20" t="s">
        <v>80</v>
      </c>
      <c r="H37" s="15">
        <v>17.318435754189899</v>
      </c>
      <c r="I37" s="15">
        <v>16.8316831683168</v>
      </c>
      <c r="J37" s="15">
        <v>20</v>
      </c>
      <c r="K37" s="20" t="s">
        <v>80</v>
      </c>
      <c r="L37" s="15">
        <v>9.3457943925233593</v>
      </c>
      <c r="M37" s="15">
        <v>19.047619047619001</v>
      </c>
      <c r="N37" s="15">
        <v>14.5833333333333</v>
      </c>
      <c r="O37" s="15">
        <v>13.709677419354801</v>
      </c>
      <c r="P37" s="15">
        <v>18.181818181818201</v>
      </c>
      <c r="Q37" s="15">
        <v>17.647058823529399</v>
      </c>
      <c r="R37" s="15">
        <v>12.7659574468085</v>
      </c>
      <c r="S37" s="20" t="s">
        <v>80</v>
      </c>
      <c r="T37" s="15">
        <v>13.953488372093</v>
      </c>
      <c r="U37" s="15">
        <v>16.071428571428601</v>
      </c>
      <c r="V37" s="15">
        <v>15.789473684210501</v>
      </c>
      <c r="W37" s="15">
        <v>13.0434782608696</v>
      </c>
      <c r="X37" s="15">
        <v>9.0090090090090094</v>
      </c>
      <c r="Y37" s="15">
        <v>12.8787878787879</v>
      </c>
      <c r="Z37" s="20" t="s">
        <v>80</v>
      </c>
      <c r="AA37" s="15">
        <v>19.565217391304301</v>
      </c>
      <c r="AB37" s="20" t="s">
        <v>80</v>
      </c>
      <c r="AC37" s="15">
        <v>14.285714285714301</v>
      </c>
      <c r="AD37" s="15">
        <v>10.869565217391299</v>
      </c>
      <c r="AE37" s="20" t="s">
        <v>80</v>
      </c>
      <c r="AF37" s="15">
        <v>22.727272727272702</v>
      </c>
      <c r="AG37" s="20" t="s">
        <v>80</v>
      </c>
      <c r="AH37" s="15">
        <v>11.8279569892473</v>
      </c>
      <c r="AI37" s="20" t="s">
        <v>80</v>
      </c>
      <c r="AJ37" s="32">
        <v>11.8822872241578</v>
      </c>
      <c r="AK37" s="15">
        <v>11.2426035502959</v>
      </c>
      <c r="AL37" s="15">
        <v>10.0217864923747</v>
      </c>
      <c r="AM37" s="15">
        <v>13.636363636363599</v>
      </c>
      <c r="AN37" s="15">
        <v>10.9489051094891</v>
      </c>
      <c r="AO37" s="15">
        <v>12.874251497006</v>
      </c>
      <c r="AP37" s="15">
        <v>12.793176972281399</v>
      </c>
      <c r="AQ37" s="15">
        <v>19.117647058823501</v>
      </c>
      <c r="AR37" s="24">
        <v>12.7272727272727</v>
      </c>
      <c r="AS37" s="38"/>
    </row>
    <row r="38" spans="1:45">
      <c r="A38" s="9" t="s">
        <v>196</v>
      </c>
      <c r="B38" s="36">
        <v>15.6664229990508</v>
      </c>
      <c r="C38" s="32">
        <v>15.334451680389501</v>
      </c>
      <c r="D38" s="32">
        <v>16.2925667818864</v>
      </c>
      <c r="E38" s="32">
        <v>19.8898063324181</v>
      </c>
      <c r="F38" s="15">
        <v>19.6078431372549</v>
      </c>
      <c r="G38" s="20" t="s">
        <v>80</v>
      </c>
      <c r="H38" s="15">
        <v>28.491620111731802</v>
      </c>
      <c r="I38" s="15">
        <v>9.9009900990098991</v>
      </c>
      <c r="J38" s="15">
        <v>14.285714285714301</v>
      </c>
      <c r="K38" s="15">
        <v>18.918918918918902</v>
      </c>
      <c r="L38" s="15">
        <v>25.233644859813101</v>
      </c>
      <c r="M38" s="15">
        <v>28.571428571428601</v>
      </c>
      <c r="N38" s="15">
        <v>17.3611111111111</v>
      </c>
      <c r="O38" s="15">
        <v>19.354838709677399</v>
      </c>
      <c r="P38" s="15">
        <v>35.537190082644599</v>
      </c>
      <c r="Q38" s="15">
        <v>17.647058823529399</v>
      </c>
      <c r="R38" s="15">
        <v>12.7659574468085</v>
      </c>
      <c r="S38" s="15">
        <v>28.260869565217401</v>
      </c>
      <c r="T38" s="15">
        <v>13.953488372093</v>
      </c>
      <c r="U38" s="15">
        <v>16.071428571428601</v>
      </c>
      <c r="V38" s="15">
        <v>15.789473684210501</v>
      </c>
      <c r="W38" s="15">
        <v>15.2173913043478</v>
      </c>
      <c r="X38" s="15">
        <v>14.4144144144144</v>
      </c>
      <c r="Y38" s="15">
        <v>17.424242424242401</v>
      </c>
      <c r="Z38" s="20" t="s">
        <v>80</v>
      </c>
      <c r="AA38" s="15">
        <v>23.913043478260899</v>
      </c>
      <c r="AB38" s="20" t="s">
        <v>80</v>
      </c>
      <c r="AC38" s="15">
        <v>21.428571428571399</v>
      </c>
      <c r="AD38" s="15">
        <v>19.565217391304301</v>
      </c>
      <c r="AE38" s="20" t="s">
        <v>80</v>
      </c>
      <c r="AF38" s="15">
        <v>18.181818181818201</v>
      </c>
      <c r="AG38" s="20" t="s">
        <v>80</v>
      </c>
      <c r="AH38" s="15">
        <v>13.9784946236559</v>
      </c>
      <c r="AI38" s="20" t="s">
        <v>80</v>
      </c>
      <c r="AJ38" s="32">
        <v>13.145497750045401</v>
      </c>
      <c r="AK38" s="15">
        <v>14.0532544378698</v>
      </c>
      <c r="AL38" s="15">
        <v>10.457516339869301</v>
      </c>
      <c r="AM38" s="15">
        <v>13.636363636363599</v>
      </c>
      <c r="AN38" s="15">
        <v>22.6277372262774</v>
      </c>
      <c r="AO38" s="15">
        <v>15.2694610778443</v>
      </c>
      <c r="AP38" s="15">
        <v>12.793176972281399</v>
      </c>
      <c r="AQ38" s="15">
        <v>19.852941176470601</v>
      </c>
      <c r="AR38" s="24">
        <v>14.2424242424242</v>
      </c>
      <c r="AS38" s="38"/>
    </row>
    <row r="39" spans="1:45">
      <c r="A39" s="9" t="s">
        <v>197</v>
      </c>
      <c r="B39" s="36">
        <v>9.6429154198159299</v>
      </c>
      <c r="C39" s="32">
        <v>9.0453188888306801</v>
      </c>
      <c r="D39" s="32">
        <v>8.4296483119695598</v>
      </c>
      <c r="E39" s="32">
        <v>10.847408674365999</v>
      </c>
      <c r="F39" s="15">
        <v>9.8039215686274499</v>
      </c>
      <c r="G39" s="20" t="s">
        <v>80</v>
      </c>
      <c r="H39" s="15">
        <v>11.173184357541899</v>
      </c>
      <c r="I39" s="15">
        <v>10.891089108910901</v>
      </c>
      <c r="J39" s="15">
        <v>8.5714285714285694</v>
      </c>
      <c r="K39" s="20" t="s">
        <v>80</v>
      </c>
      <c r="L39" s="15">
        <v>11.214953271028</v>
      </c>
      <c r="M39" s="15">
        <v>14.285714285714301</v>
      </c>
      <c r="N39" s="15">
        <v>9.0277777777777803</v>
      </c>
      <c r="O39" s="15">
        <v>10.4838709677419</v>
      </c>
      <c r="P39" s="15">
        <v>15.702479338843</v>
      </c>
      <c r="Q39" s="20" t="s">
        <v>80</v>
      </c>
      <c r="R39" s="20" t="s">
        <v>80</v>
      </c>
      <c r="S39" s="20" t="s">
        <v>80</v>
      </c>
      <c r="T39" s="20" t="s">
        <v>80</v>
      </c>
      <c r="U39" s="15">
        <v>16.071428571428601</v>
      </c>
      <c r="V39" s="15">
        <v>15.789473684210501</v>
      </c>
      <c r="W39" s="15">
        <v>15.2173913043478</v>
      </c>
      <c r="X39" s="20" t="s">
        <v>80</v>
      </c>
      <c r="Y39" s="15">
        <v>15.1515151515152</v>
      </c>
      <c r="Z39" s="20" t="s">
        <v>80</v>
      </c>
      <c r="AA39" s="20" t="s">
        <v>80</v>
      </c>
      <c r="AB39" s="20" t="s">
        <v>80</v>
      </c>
      <c r="AC39" s="15">
        <v>14.285714285714301</v>
      </c>
      <c r="AD39" s="20" t="s">
        <v>80</v>
      </c>
      <c r="AE39" s="20" t="s">
        <v>80</v>
      </c>
      <c r="AF39" s="15">
        <v>13.636363636363599</v>
      </c>
      <c r="AG39" s="20" t="s">
        <v>80</v>
      </c>
      <c r="AH39" s="15">
        <v>9.67741935483871</v>
      </c>
      <c r="AI39" s="20" t="s">
        <v>80</v>
      </c>
      <c r="AJ39" s="32">
        <v>6.3144545207231104</v>
      </c>
      <c r="AK39" s="15">
        <v>4.8816568047337299</v>
      </c>
      <c r="AL39" s="15">
        <v>9.5860566448801805</v>
      </c>
      <c r="AM39" s="15">
        <v>6.5656565656565702</v>
      </c>
      <c r="AN39" s="15">
        <v>5.8394160583941597</v>
      </c>
      <c r="AO39" s="15">
        <v>7.1856287425149699</v>
      </c>
      <c r="AP39" s="15">
        <v>9.1684434968017108</v>
      </c>
      <c r="AQ39" s="15">
        <v>9.5588235294117592</v>
      </c>
      <c r="AR39" s="24">
        <v>5.1515151515151496</v>
      </c>
      <c r="AS39" s="38"/>
    </row>
    <row r="40" spans="1:45">
      <c r="A40" s="9" t="s">
        <v>198</v>
      </c>
      <c r="B40" s="36">
        <v>11.799331259253799</v>
      </c>
      <c r="C40" s="32">
        <v>11.5508706627297</v>
      </c>
      <c r="D40" s="32">
        <v>11.791589956831499</v>
      </c>
      <c r="E40" s="32">
        <v>14.2650668012946</v>
      </c>
      <c r="F40" s="15">
        <v>17.647058823529399</v>
      </c>
      <c r="G40" s="20" t="s">
        <v>80</v>
      </c>
      <c r="H40" s="15">
        <v>17.318435754189899</v>
      </c>
      <c r="I40" s="15">
        <v>12.8712871287129</v>
      </c>
      <c r="J40" s="15">
        <v>14.285714285714301</v>
      </c>
      <c r="K40" s="15">
        <v>13.5135135135135</v>
      </c>
      <c r="L40" s="15">
        <v>8.4112149532710294</v>
      </c>
      <c r="M40" s="15">
        <v>23.8095238095238</v>
      </c>
      <c r="N40" s="15">
        <v>10.4166666666667</v>
      </c>
      <c r="O40" s="15">
        <v>15.322580645161301</v>
      </c>
      <c r="P40" s="15">
        <v>23.9669421487603</v>
      </c>
      <c r="Q40" s="15">
        <v>14.705882352941201</v>
      </c>
      <c r="R40" s="15">
        <v>19.148936170212799</v>
      </c>
      <c r="S40" s="20" t="s">
        <v>80</v>
      </c>
      <c r="T40" s="20" t="s">
        <v>80</v>
      </c>
      <c r="U40" s="15">
        <v>14.285714285714301</v>
      </c>
      <c r="V40" s="15">
        <v>18.421052631578899</v>
      </c>
      <c r="W40" s="20" t="s">
        <v>80</v>
      </c>
      <c r="X40" s="15">
        <v>8.1081081081081106</v>
      </c>
      <c r="Y40" s="15">
        <v>14.3939393939394</v>
      </c>
      <c r="Z40" s="20" t="s">
        <v>80</v>
      </c>
      <c r="AA40" s="15">
        <v>15.2173913043478</v>
      </c>
      <c r="AB40" s="20" t="s">
        <v>80</v>
      </c>
      <c r="AC40" s="15">
        <v>16.6666666666667</v>
      </c>
      <c r="AD40" s="20" t="s">
        <v>80</v>
      </c>
      <c r="AE40" s="20" t="s">
        <v>80</v>
      </c>
      <c r="AF40" s="15">
        <v>15.909090909090899</v>
      </c>
      <c r="AG40" s="20" t="s">
        <v>80</v>
      </c>
      <c r="AH40" s="15">
        <v>10.752688172042999</v>
      </c>
      <c r="AI40" s="15">
        <v>10.714285714285699</v>
      </c>
      <c r="AJ40" s="32">
        <v>9.6276522293496196</v>
      </c>
      <c r="AK40" s="15">
        <v>8.1360946745562099</v>
      </c>
      <c r="AL40" s="15">
        <v>8.4967320261437909</v>
      </c>
      <c r="AM40" s="15">
        <v>10.6060606060606</v>
      </c>
      <c r="AN40" s="15">
        <v>10.9489051094891</v>
      </c>
      <c r="AO40" s="15">
        <v>12.5748502994012</v>
      </c>
      <c r="AP40" s="15">
        <v>11.300639658848601</v>
      </c>
      <c r="AQ40" s="15">
        <v>16.911764705882401</v>
      </c>
      <c r="AR40" s="24">
        <v>9.6969696969697008</v>
      </c>
      <c r="AS40" s="38"/>
    </row>
    <row r="41" spans="1:45">
      <c r="A41" s="9" t="s">
        <v>199</v>
      </c>
      <c r="B41" s="36">
        <v>8.4257752529168908</v>
      </c>
      <c r="C41" s="32">
        <v>8.3014564207397203</v>
      </c>
      <c r="D41" s="32">
        <v>9.0612381612843294</v>
      </c>
      <c r="E41" s="32">
        <v>9.7655947265345695</v>
      </c>
      <c r="F41" s="20" t="s">
        <v>80</v>
      </c>
      <c r="G41" s="20" t="s">
        <v>80</v>
      </c>
      <c r="H41" s="15">
        <v>18.435754189944099</v>
      </c>
      <c r="I41" s="15">
        <v>9.9009900990098991</v>
      </c>
      <c r="J41" s="15">
        <v>10</v>
      </c>
      <c r="K41" s="15">
        <v>13.5135135135135</v>
      </c>
      <c r="L41" s="15">
        <v>8.4112149532710294</v>
      </c>
      <c r="M41" s="15">
        <v>20.238095238095202</v>
      </c>
      <c r="N41" s="15">
        <v>9.7222222222222197</v>
      </c>
      <c r="O41" s="15">
        <v>11.290322580645199</v>
      </c>
      <c r="P41" s="15">
        <v>9.0909090909090899</v>
      </c>
      <c r="Q41" s="20" t="s">
        <v>80</v>
      </c>
      <c r="R41" s="20" t="s">
        <v>80</v>
      </c>
      <c r="S41" s="20" t="s">
        <v>80</v>
      </c>
      <c r="T41" s="20" t="s">
        <v>80</v>
      </c>
      <c r="U41" s="15">
        <v>14.285714285714301</v>
      </c>
      <c r="V41" s="20" t="s">
        <v>80</v>
      </c>
      <c r="W41" s="20" t="s">
        <v>80</v>
      </c>
      <c r="X41" s="15">
        <v>4.5045045045045002</v>
      </c>
      <c r="Y41" s="15">
        <v>12.1212121212121</v>
      </c>
      <c r="Z41" s="20" t="s">
        <v>80</v>
      </c>
      <c r="AA41" s="20" t="s">
        <v>80</v>
      </c>
      <c r="AB41" s="20" t="s">
        <v>80</v>
      </c>
      <c r="AC41" s="20" t="s">
        <v>80</v>
      </c>
      <c r="AD41" s="15">
        <v>21.739130434782599</v>
      </c>
      <c r="AE41" s="20" t="s">
        <v>80</v>
      </c>
      <c r="AF41" s="15">
        <v>15.909090909090899</v>
      </c>
      <c r="AG41" s="20" t="s">
        <v>80</v>
      </c>
      <c r="AH41" s="20" t="s">
        <v>80</v>
      </c>
      <c r="AI41" s="20" t="s">
        <v>80</v>
      </c>
      <c r="AJ41" s="32">
        <v>8.4450271186960304</v>
      </c>
      <c r="AK41" s="15">
        <v>5.9171597633136104</v>
      </c>
      <c r="AL41" s="15">
        <v>4.5751633986928102</v>
      </c>
      <c r="AM41" s="15">
        <v>8.0808080808080796</v>
      </c>
      <c r="AN41" s="15">
        <v>10.9489051094891</v>
      </c>
      <c r="AO41" s="15">
        <v>14.371257485029901</v>
      </c>
      <c r="AP41" s="15">
        <v>9.3816631130063897</v>
      </c>
      <c r="AQ41" s="15">
        <v>8.0882352941176503</v>
      </c>
      <c r="AR41" s="24">
        <v>7.5757575757575797</v>
      </c>
      <c r="AS41" s="38"/>
    </row>
    <row r="42" spans="1:45">
      <c r="A42" s="9" t="s">
        <v>200</v>
      </c>
      <c r="B42" s="36">
        <v>8.64224629944494</v>
      </c>
      <c r="C42" s="32">
        <v>8.5592412431964195</v>
      </c>
      <c r="D42" s="32">
        <v>9.5994573320862902</v>
      </c>
      <c r="E42" s="32">
        <v>11.8663165958537</v>
      </c>
      <c r="F42" s="20" t="s">
        <v>80</v>
      </c>
      <c r="G42" s="20" t="s">
        <v>80</v>
      </c>
      <c r="H42" s="15">
        <v>16.201117318435799</v>
      </c>
      <c r="I42" s="15">
        <v>17.821782178217799</v>
      </c>
      <c r="J42" s="15">
        <v>10</v>
      </c>
      <c r="K42" s="20" t="s">
        <v>80</v>
      </c>
      <c r="L42" s="15">
        <v>11.214953271028</v>
      </c>
      <c r="M42" s="15">
        <v>16.6666666666667</v>
      </c>
      <c r="N42" s="15">
        <v>9.7222222222222197</v>
      </c>
      <c r="O42" s="15">
        <v>6.4516129032258096</v>
      </c>
      <c r="P42" s="15">
        <v>16.528925619834698</v>
      </c>
      <c r="Q42" s="15">
        <v>20.588235294117599</v>
      </c>
      <c r="R42" s="20" t="s">
        <v>80</v>
      </c>
      <c r="S42" s="20" t="s">
        <v>80</v>
      </c>
      <c r="T42" s="20" t="s">
        <v>80</v>
      </c>
      <c r="U42" s="15">
        <v>14.285714285714301</v>
      </c>
      <c r="V42" s="15">
        <v>18.421052631578899</v>
      </c>
      <c r="W42" s="20" t="s">
        <v>80</v>
      </c>
      <c r="X42" s="15">
        <v>9.9099099099099099</v>
      </c>
      <c r="Y42" s="15">
        <v>12.1212121212121</v>
      </c>
      <c r="Z42" s="20" t="s">
        <v>80</v>
      </c>
      <c r="AA42" s="20" t="s">
        <v>80</v>
      </c>
      <c r="AB42" s="20" t="s">
        <v>80</v>
      </c>
      <c r="AC42" s="15">
        <v>14.285714285714301</v>
      </c>
      <c r="AD42" s="20" t="s">
        <v>80</v>
      </c>
      <c r="AE42" s="20" t="s">
        <v>80</v>
      </c>
      <c r="AF42" s="15">
        <v>15.909090909090899</v>
      </c>
      <c r="AG42" s="20" t="s">
        <v>80</v>
      </c>
      <c r="AH42" s="15">
        <v>6.4516129032258096</v>
      </c>
      <c r="AI42" s="20" t="s">
        <v>80</v>
      </c>
      <c r="AJ42" s="32">
        <v>7.6162803742187002</v>
      </c>
      <c r="AK42" s="15">
        <v>7.8402366863905302</v>
      </c>
      <c r="AL42" s="15">
        <v>6.5359477124182996</v>
      </c>
      <c r="AM42" s="15">
        <v>9.0909090909090899</v>
      </c>
      <c r="AN42" s="15">
        <v>16.058394160583902</v>
      </c>
      <c r="AO42" s="15">
        <v>8.9820359281437092</v>
      </c>
      <c r="AP42" s="15">
        <v>4.9040511727078897</v>
      </c>
      <c r="AQ42" s="15">
        <v>13.9705882352941</v>
      </c>
      <c r="AR42" s="24">
        <v>10.303030303030299</v>
      </c>
      <c r="AS42" s="38"/>
    </row>
    <row r="43" spans="1:45">
      <c r="A43" s="9" t="s">
        <v>201</v>
      </c>
      <c r="B43" s="36">
        <v>5.04071518210396</v>
      </c>
      <c r="C43" s="32">
        <v>4.64970047276476</v>
      </c>
      <c r="D43" s="32">
        <v>6.3339837694103096</v>
      </c>
      <c r="E43" s="32">
        <v>7.9933780165077497</v>
      </c>
      <c r="F43" s="20" t="s">
        <v>80</v>
      </c>
      <c r="G43" s="20" t="s">
        <v>80</v>
      </c>
      <c r="H43" s="15">
        <v>10.055865921787699</v>
      </c>
      <c r="I43" s="15">
        <v>6.9306930693069297</v>
      </c>
      <c r="J43" s="15">
        <v>7.1428571428571397</v>
      </c>
      <c r="K43" s="20" t="s">
        <v>80</v>
      </c>
      <c r="L43" s="15">
        <v>9.3457943925233593</v>
      </c>
      <c r="M43" s="15">
        <v>9.5238095238095202</v>
      </c>
      <c r="N43" s="15">
        <v>8.3333333333333304</v>
      </c>
      <c r="O43" s="15">
        <v>8.0645161290322598</v>
      </c>
      <c r="P43" s="15">
        <v>10.7438016528926</v>
      </c>
      <c r="Q43" s="20" t="s">
        <v>80</v>
      </c>
      <c r="R43" s="20" t="s">
        <v>80</v>
      </c>
      <c r="S43" s="20" t="s">
        <v>80</v>
      </c>
      <c r="T43" s="20" t="s">
        <v>80</v>
      </c>
      <c r="U43" s="15">
        <v>12.5</v>
      </c>
      <c r="V43" s="20" t="s">
        <v>80</v>
      </c>
      <c r="W43" s="20" t="s">
        <v>80</v>
      </c>
      <c r="X43" s="20" t="s">
        <v>80</v>
      </c>
      <c r="Y43" s="15">
        <v>6.8181818181818201</v>
      </c>
      <c r="Z43" s="20" t="s">
        <v>80</v>
      </c>
      <c r="AA43" s="20" t="s">
        <v>80</v>
      </c>
      <c r="AB43" s="20" t="s">
        <v>80</v>
      </c>
      <c r="AC43" s="20" t="s">
        <v>80</v>
      </c>
      <c r="AD43" s="15">
        <v>13.0434782608696</v>
      </c>
      <c r="AE43" s="20" t="s">
        <v>80</v>
      </c>
      <c r="AF43" s="20" t="s">
        <v>80</v>
      </c>
      <c r="AG43" s="20" t="s">
        <v>80</v>
      </c>
      <c r="AH43" s="15">
        <v>5.3763440860215104</v>
      </c>
      <c r="AI43" s="20" t="s">
        <v>80</v>
      </c>
      <c r="AJ43" s="32">
        <v>4.8822516361183403</v>
      </c>
      <c r="AK43" s="15">
        <v>3.10650887573965</v>
      </c>
      <c r="AL43" s="15">
        <v>4.3572984749455301</v>
      </c>
      <c r="AM43" s="15">
        <v>4.5454545454545503</v>
      </c>
      <c r="AN43" s="20" t="s">
        <v>80</v>
      </c>
      <c r="AO43" s="15">
        <v>4.4910179640718599</v>
      </c>
      <c r="AP43" s="15">
        <v>4.6908315565032002</v>
      </c>
      <c r="AQ43" s="15">
        <v>6.6176470588235299</v>
      </c>
      <c r="AR43" s="24">
        <v>6.3636363636363598</v>
      </c>
      <c r="AS43" s="38"/>
    </row>
    <row r="44" spans="1:45">
      <c r="A44" s="9" t="s">
        <v>202</v>
      </c>
      <c r="B44" s="36">
        <v>4.2750869581579201</v>
      </c>
      <c r="C44" s="32">
        <v>4.0666296394674299</v>
      </c>
      <c r="D44" s="32">
        <v>3.8554874659812901</v>
      </c>
      <c r="E44" s="32">
        <v>4.1547663005186397</v>
      </c>
      <c r="F44" s="20" t="s">
        <v>80</v>
      </c>
      <c r="G44" s="20" t="s">
        <v>80</v>
      </c>
      <c r="H44" s="15">
        <v>7.8212290502793298</v>
      </c>
      <c r="I44" s="15">
        <v>4.9504950495049496</v>
      </c>
      <c r="J44" s="20" t="s">
        <v>80</v>
      </c>
      <c r="K44" s="20" t="s">
        <v>80</v>
      </c>
      <c r="L44" s="15">
        <v>6.5420560747663501</v>
      </c>
      <c r="M44" s="20" t="s">
        <v>80</v>
      </c>
      <c r="N44" s="20" t="s">
        <v>80</v>
      </c>
      <c r="O44" s="15">
        <v>4.8387096774193497</v>
      </c>
      <c r="P44" s="15">
        <v>5.7851239669421499</v>
      </c>
      <c r="Q44" s="20" t="s">
        <v>80</v>
      </c>
      <c r="R44" s="20" t="s">
        <v>80</v>
      </c>
      <c r="S44" s="20" t="s">
        <v>80</v>
      </c>
      <c r="T44" s="20" t="s">
        <v>80</v>
      </c>
      <c r="U44" s="20" t="s">
        <v>80</v>
      </c>
      <c r="V44" s="20" t="s">
        <v>80</v>
      </c>
      <c r="W44" s="20" t="s">
        <v>80</v>
      </c>
      <c r="X44" s="20" t="s">
        <v>80</v>
      </c>
      <c r="Y44" s="15">
        <v>3.7878787878787898</v>
      </c>
      <c r="Z44" s="20" t="s">
        <v>80</v>
      </c>
      <c r="AA44" s="20" t="s">
        <v>80</v>
      </c>
      <c r="AB44" s="20" t="s">
        <v>80</v>
      </c>
      <c r="AC44" s="20" t="s">
        <v>80</v>
      </c>
      <c r="AD44" s="20" t="s">
        <v>80</v>
      </c>
      <c r="AE44" s="20" t="s">
        <v>80</v>
      </c>
      <c r="AF44" s="20" t="s">
        <v>80</v>
      </c>
      <c r="AG44" s="20" t="s">
        <v>80</v>
      </c>
      <c r="AH44" s="15">
        <v>5.3763440860215104</v>
      </c>
      <c r="AI44" s="20" t="s">
        <v>80</v>
      </c>
      <c r="AJ44" s="32">
        <v>3.59366137994297</v>
      </c>
      <c r="AK44" s="15">
        <v>3.2544378698224898</v>
      </c>
      <c r="AL44" s="15">
        <v>1.9607843137254899</v>
      </c>
      <c r="AM44" s="15">
        <v>3.5353535353535399</v>
      </c>
      <c r="AN44" s="15">
        <v>5.8394160583941597</v>
      </c>
      <c r="AO44" s="15">
        <v>2.9940119760478998</v>
      </c>
      <c r="AP44" s="15">
        <v>3.41151385927505</v>
      </c>
      <c r="AQ44" s="20" t="s">
        <v>80</v>
      </c>
      <c r="AR44" s="24">
        <v>6.9696969696969697</v>
      </c>
      <c r="AS44" s="38"/>
    </row>
    <row r="45" spans="1:45">
      <c r="A45" s="9" t="s">
        <v>203</v>
      </c>
      <c r="B45" s="36">
        <v>9.4786400672536804</v>
      </c>
      <c r="C45" s="32">
        <v>9.4646857799728394</v>
      </c>
      <c r="D45" s="32">
        <v>10.998260900760799</v>
      </c>
      <c r="E45" s="32">
        <v>14.045439262301</v>
      </c>
      <c r="F45" s="15">
        <v>13.7254901960784</v>
      </c>
      <c r="G45" s="15">
        <v>22.727272727272702</v>
      </c>
      <c r="H45" s="15">
        <v>17.318435754189899</v>
      </c>
      <c r="I45" s="15">
        <v>10.891089108910901</v>
      </c>
      <c r="J45" s="15">
        <v>15.714285714285699</v>
      </c>
      <c r="K45" s="15">
        <v>13.5135135135135</v>
      </c>
      <c r="L45" s="15">
        <v>13.0841121495327</v>
      </c>
      <c r="M45" s="15">
        <v>13.0952380952381</v>
      </c>
      <c r="N45" s="15">
        <v>13.1944444444444</v>
      </c>
      <c r="O45" s="15">
        <v>7.2580645161290303</v>
      </c>
      <c r="P45" s="15">
        <v>17.355371900826398</v>
      </c>
      <c r="Q45" s="15">
        <v>17.647058823529399</v>
      </c>
      <c r="R45" s="15">
        <v>10.6382978723404</v>
      </c>
      <c r="S45" s="20" t="s">
        <v>80</v>
      </c>
      <c r="T45" s="20" t="s">
        <v>80</v>
      </c>
      <c r="U45" s="15">
        <v>23.214285714285701</v>
      </c>
      <c r="V45" s="15">
        <v>28.947368421052602</v>
      </c>
      <c r="W45" s="20" t="s">
        <v>80</v>
      </c>
      <c r="X45" s="15">
        <v>15.315315315315299</v>
      </c>
      <c r="Y45" s="15">
        <v>14.3939393939394</v>
      </c>
      <c r="Z45" s="20" t="s">
        <v>80</v>
      </c>
      <c r="AA45" s="15">
        <v>19.565217391304301</v>
      </c>
      <c r="AB45" s="20" t="s">
        <v>80</v>
      </c>
      <c r="AC45" s="15">
        <v>14.285714285714301</v>
      </c>
      <c r="AD45" s="20" t="s">
        <v>80</v>
      </c>
      <c r="AE45" s="20" t="s">
        <v>80</v>
      </c>
      <c r="AF45" s="15">
        <v>22.727272727272702</v>
      </c>
      <c r="AG45" s="20" t="s">
        <v>80</v>
      </c>
      <c r="AH45" s="15">
        <v>9.67741935483871</v>
      </c>
      <c r="AI45" s="15">
        <v>8.9285714285714306</v>
      </c>
      <c r="AJ45" s="32">
        <v>8.3324165716884497</v>
      </c>
      <c r="AK45" s="15">
        <v>8.1360946745562099</v>
      </c>
      <c r="AL45" s="15">
        <v>8.2788671023965108</v>
      </c>
      <c r="AM45" s="15">
        <v>8.0808080808080796</v>
      </c>
      <c r="AN45" s="15">
        <v>16.788321167883201</v>
      </c>
      <c r="AO45" s="15">
        <v>8.9820359281437092</v>
      </c>
      <c r="AP45" s="15">
        <v>7.8891257995735602</v>
      </c>
      <c r="AQ45" s="15">
        <v>16.176470588235301</v>
      </c>
      <c r="AR45" s="24">
        <v>8.4848484848484809</v>
      </c>
      <c r="AS45" s="38"/>
    </row>
    <row r="46" spans="1:45">
      <c r="A46" s="9" t="s">
        <v>204</v>
      </c>
      <c r="B46" s="36">
        <v>12.134961699338399</v>
      </c>
      <c r="C46" s="32">
        <v>12.135224378193101</v>
      </c>
      <c r="D46" s="32">
        <v>12.322248973497301</v>
      </c>
      <c r="E46" s="32">
        <v>15.236514680576001</v>
      </c>
      <c r="F46" s="15">
        <v>13.7254901960784</v>
      </c>
      <c r="G46" s="20" t="s">
        <v>80</v>
      </c>
      <c r="H46" s="15">
        <v>21.229050279329599</v>
      </c>
      <c r="I46" s="15">
        <v>10.891089108910901</v>
      </c>
      <c r="J46" s="15">
        <v>8.5714285714285694</v>
      </c>
      <c r="K46" s="15">
        <v>21.6216216216216</v>
      </c>
      <c r="L46" s="15">
        <v>17.757009345794401</v>
      </c>
      <c r="M46" s="15">
        <v>23.8095238095238</v>
      </c>
      <c r="N46" s="15">
        <v>11.1111111111111</v>
      </c>
      <c r="O46" s="15">
        <v>10.4838709677419</v>
      </c>
      <c r="P46" s="15">
        <v>20.6611570247934</v>
      </c>
      <c r="Q46" s="15">
        <v>14.705882352941201</v>
      </c>
      <c r="R46" s="20" t="s">
        <v>80</v>
      </c>
      <c r="S46" s="15">
        <v>13.0434782608696</v>
      </c>
      <c r="T46" s="20" t="s">
        <v>80</v>
      </c>
      <c r="U46" s="15">
        <v>14.285714285714301</v>
      </c>
      <c r="V46" s="20" t="s">
        <v>80</v>
      </c>
      <c r="W46" s="20" t="s">
        <v>80</v>
      </c>
      <c r="X46" s="15">
        <v>17.1171171171171</v>
      </c>
      <c r="Y46" s="15">
        <v>12.1212121212121</v>
      </c>
      <c r="Z46" s="15">
        <v>17.241379310344801</v>
      </c>
      <c r="AA46" s="15">
        <v>17.3913043478261</v>
      </c>
      <c r="AB46" s="20" t="s">
        <v>80</v>
      </c>
      <c r="AC46" s="15">
        <v>11.9047619047619</v>
      </c>
      <c r="AD46" s="15">
        <v>19.565217391304301</v>
      </c>
      <c r="AE46" s="20" t="s">
        <v>80</v>
      </c>
      <c r="AF46" s="15">
        <v>15.909090909090899</v>
      </c>
      <c r="AG46" s="15">
        <v>33.3333333333333</v>
      </c>
      <c r="AH46" s="15">
        <v>7.5268817204301097</v>
      </c>
      <c r="AI46" s="15">
        <v>8.9285714285714306</v>
      </c>
      <c r="AJ46" s="32">
        <v>9.7726841673534803</v>
      </c>
      <c r="AK46" s="15">
        <v>8.57988165680473</v>
      </c>
      <c r="AL46" s="15">
        <v>8.0610021786492396</v>
      </c>
      <c r="AM46" s="15">
        <v>9.5959595959596005</v>
      </c>
      <c r="AN46" s="15">
        <v>10.2189781021898</v>
      </c>
      <c r="AO46" s="15">
        <v>10.7784431137725</v>
      </c>
      <c r="AP46" s="15">
        <v>11.727078891258</v>
      </c>
      <c r="AQ46" s="15">
        <v>11.764705882352899</v>
      </c>
      <c r="AR46" s="24">
        <v>10</v>
      </c>
      <c r="AS46" s="38"/>
    </row>
    <row r="47" spans="1:45">
      <c r="A47" s="9" t="s">
        <v>205</v>
      </c>
      <c r="B47" s="36">
        <v>16.396052662636802</v>
      </c>
      <c r="C47" s="32">
        <v>16.417575132437999</v>
      </c>
      <c r="D47" s="32">
        <v>16.814388513821601</v>
      </c>
      <c r="E47" s="32">
        <v>18.950201142521799</v>
      </c>
      <c r="F47" s="15">
        <v>17.647058823529399</v>
      </c>
      <c r="G47" s="20" t="s">
        <v>80</v>
      </c>
      <c r="H47" s="15">
        <v>23.463687150837998</v>
      </c>
      <c r="I47" s="15">
        <v>16.8316831683168</v>
      </c>
      <c r="J47" s="15">
        <v>12.8571428571429</v>
      </c>
      <c r="K47" s="15">
        <v>18.918918918918902</v>
      </c>
      <c r="L47" s="15">
        <v>12.1495327102804</v>
      </c>
      <c r="M47" s="15">
        <v>22.619047619047599</v>
      </c>
      <c r="N47" s="15">
        <v>18.75</v>
      </c>
      <c r="O47" s="15">
        <v>11.290322580645199</v>
      </c>
      <c r="P47" s="15">
        <v>27.272727272727298</v>
      </c>
      <c r="Q47" s="15">
        <v>26.470588235294102</v>
      </c>
      <c r="R47" s="15">
        <v>21.2765957446809</v>
      </c>
      <c r="S47" s="20" t="s">
        <v>80</v>
      </c>
      <c r="T47" s="15">
        <v>27.906976744186</v>
      </c>
      <c r="U47" s="15">
        <v>17.8571428571429</v>
      </c>
      <c r="V47" s="15">
        <v>28.947368421052602</v>
      </c>
      <c r="W47" s="15">
        <v>10.869565217391299</v>
      </c>
      <c r="X47" s="15">
        <v>15.315315315315299</v>
      </c>
      <c r="Y47" s="15">
        <v>16.6666666666667</v>
      </c>
      <c r="Z47" s="15">
        <v>17.241379310344801</v>
      </c>
      <c r="AA47" s="15">
        <v>28.260869565217401</v>
      </c>
      <c r="AB47" s="20" t="s">
        <v>80</v>
      </c>
      <c r="AC47" s="15">
        <v>19.047619047619001</v>
      </c>
      <c r="AD47" s="15">
        <v>26.086956521739101</v>
      </c>
      <c r="AE47" s="20" t="s">
        <v>80</v>
      </c>
      <c r="AF47" s="15">
        <v>20.454545454545499</v>
      </c>
      <c r="AG47" s="15">
        <v>40</v>
      </c>
      <c r="AH47" s="15">
        <v>11.8279569892473</v>
      </c>
      <c r="AI47" s="15">
        <v>14.285714285714301</v>
      </c>
      <c r="AJ47" s="32">
        <v>14.945858579360101</v>
      </c>
      <c r="AK47" s="15">
        <v>14.0532544378698</v>
      </c>
      <c r="AL47" s="15">
        <v>11.1111111111111</v>
      </c>
      <c r="AM47" s="15">
        <v>12.6262626262626</v>
      </c>
      <c r="AN47" s="15">
        <v>17.518248175182499</v>
      </c>
      <c r="AO47" s="15">
        <v>17.964071856287401</v>
      </c>
      <c r="AP47" s="15">
        <v>14.712153518123699</v>
      </c>
      <c r="AQ47" s="15">
        <v>23.529411764705898</v>
      </c>
      <c r="AR47" s="24">
        <v>18.7878787878788</v>
      </c>
      <c r="AS47" s="38"/>
    </row>
    <row r="48" spans="1:45">
      <c r="A48" s="9" t="s">
        <v>206</v>
      </c>
      <c r="B48" s="36">
        <v>8.0721542520431093</v>
      </c>
      <c r="C48" s="32">
        <v>7.8046431174528399</v>
      </c>
      <c r="D48" s="32">
        <v>9.1243202088920601</v>
      </c>
      <c r="E48" s="32">
        <v>9.3212202441626992</v>
      </c>
      <c r="F48" s="20" t="s">
        <v>80</v>
      </c>
      <c r="G48" s="20" t="s">
        <v>80</v>
      </c>
      <c r="H48" s="15">
        <v>11.731843575418999</v>
      </c>
      <c r="I48" s="15">
        <v>13.8613861386139</v>
      </c>
      <c r="J48" s="20" t="s">
        <v>80</v>
      </c>
      <c r="K48" s="20" t="s">
        <v>80</v>
      </c>
      <c r="L48" s="15">
        <v>16.822429906542101</v>
      </c>
      <c r="M48" s="15">
        <v>10.714285714285699</v>
      </c>
      <c r="N48" s="15">
        <v>9.7222222222222197</v>
      </c>
      <c r="O48" s="15">
        <v>4.8387096774193497</v>
      </c>
      <c r="P48" s="15">
        <v>12.396694214876</v>
      </c>
      <c r="Q48" s="15">
        <v>14.705882352941201</v>
      </c>
      <c r="R48" s="15">
        <v>10.6382978723404</v>
      </c>
      <c r="S48" s="20" t="s">
        <v>80</v>
      </c>
      <c r="T48" s="20" t="s">
        <v>80</v>
      </c>
      <c r="U48" s="15">
        <v>14.285714285714301</v>
      </c>
      <c r="V48" s="20" t="s">
        <v>80</v>
      </c>
      <c r="W48" s="20" t="s">
        <v>80</v>
      </c>
      <c r="X48" s="20" t="s">
        <v>80</v>
      </c>
      <c r="Y48" s="15">
        <v>10.6060606060606</v>
      </c>
      <c r="Z48" s="20" t="s">
        <v>80</v>
      </c>
      <c r="AA48" s="20" t="s">
        <v>80</v>
      </c>
      <c r="AB48" s="20" t="s">
        <v>80</v>
      </c>
      <c r="AC48" s="20" t="s">
        <v>80</v>
      </c>
      <c r="AD48" s="20" t="s">
        <v>80</v>
      </c>
      <c r="AE48" s="20" t="s">
        <v>80</v>
      </c>
      <c r="AF48" s="15">
        <v>11.363636363636401</v>
      </c>
      <c r="AG48" s="20" t="s">
        <v>80</v>
      </c>
      <c r="AH48" s="15">
        <v>8.6021505376344098</v>
      </c>
      <c r="AI48" s="20" t="s">
        <v>80</v>
      </c>
      <c r="AJ48" s="32">
        <v>8.9520608987560308</v>
      </c>
      <c r="AK48" s="15">
        <v>5.7692307692307701</v>
      </c>
      <c r="AL48" s="15">
        <v>5.8823529411764701</v>
      </c>
      <c r="AM48" s="15">
        <v>8.5858585858585901</v>
      </c>
      <c r="AN48" s="15">
        <v>11.6788321167883</v>
      </c>
      <c r="AO48" s="15">
        <v>8.3832335329341294</v>
      </c>
      <c r="AP48" s="15">
        <v>10.6609808102345</v>
      </c>
      <c r="AQ48" s="15">
        <v>9.5588235294117592</v>
      </c>
      <c r="AR48" s="24">
        <v>11.5151515151515</v>
      </c>
      <c r="AS48" s="38"/>
    </row>
    <row r="49" spans="1:45">
      <c r="A49" s="9" t="s">
        <v>207</v>
      </c>
      <c r="B49" s="36">
        <v>17.887479680374099</v>
      </c>
      <c r="C49" s="32">
        <v>18.497256954996701</v>
      </c>
      <c r="D49" s="32">
        <v>19.0792768743663</v>
      </c>
      <c r="E49" s="32">
        <v>20.273989561641901</v>
      </c>
      <c r="F49" s="15">
        <v>25.490196078431399</v>
      </c>
      <c r="G49" s="20" t="s">
        <v>80</v>
      </c>
      <c r="H49" s="15">
        <v>15.083798882681601</v>
      </c>
      <c r="I49" s="15">
        <v>14.8514851485149</v>
      </c>
      <c r="J49" s="15">
        <v>20</v>
      </c>
      <c r="K49" s="15">
        <v>24.324324324324301</v>
      </c>
      <c r="L49" s="15">
        <v>21.495327102803699</v>
      </c>
      <c r="M49" s="15">
        <v>25</v>
      </c>
      <c r="N49" s="15">
        <v>18.0555555555556</v>
      </c>
      <c r="O49" s="15">
        <v>14.5161290322581</v>
      </c>
      <c r="P49" s="15">
        <v>36.363636363636402</v>
      </c>
      <c r="Q49" s="15">
        <v>20.588235294117599</v>
      </c>
      <c r="R49" s="15">
        <v>19.148936170212799</v>
      </c>
      <c r="S49" s="15">
        <v>21.739130434782599</v>
      </c>
      <c r="T49" s="15">
        <v>23.255813953488399</v>
      </c>
      <c r="U49" s="15">
        <v>23.214285714285701</v>
      </c>
      <c r="V49" s="15">
        <v>31.578947368421101</v>
      </c>
      <c r="W49" s="20" t="s">
        <v>80</v>
      </c>
      <c r="X49" s="15">
        <v>11.7117117117117</v>
      </c>
      <c r="Y49" s="15">
        <v>16.6666666666667</v>
      </c>
      <c r="Z49" s="15">
        <v>20.689655172413801</v>
      </c>
      <c r="AA49" s="15">
        <v>15.2173913043478</v>
      </c>
      <c r="AB49" s="20" t="s">
        <v>80</v>
      </c>
      <c r="AC49" s="15">
        <v>16.6666666666667</v>
      </c>
      <c r="AD49" s="15">
        <v>43.478260869565197</v>
      </c>
      <c r="AE49" s="15">
        <v>24.2424242424242</v>
      </c>
      <c r="AF49" s="15">
        <v>15.909090909090899</v>
      </c>
      <c r="AG49" s="15">
        <v>33.3333333333333</v>
      </c>
      <c r="AH49" s="15">
        <v>11.8279569892473</v>
      </c>
      <c r="AI49" s="20" t="s">
        <v>80</v>
      </c>
      <c r="AJ49" s="32">
        <v>18.034074505367201</v>
      </c>
      <c r="AK49" s="15">
        <v>16.124260355029602</v>
      </c>
      <c r="AL49" s="15">
        <v>18.518518518518501</v>
      </c>
      <c r="AM49" s="15">
        <v>13.636363636363599</v>
      </c>
      <c r="AN49" s="15">
        <v>21.167883211678799</v>
      </c>
      <c r="AO49" s="15">
        <v>17.065868263473099</v>
      </c>
      <c r="AP49" s="15">
        <v>16.417910447761201</v>
      </c>
      <c r="AQ49" s="15">
        <v>17.647058823529399</v>
      </c>
      <c r="AR49" s="24">
        <v>17.575757575757599</v>
      </c>
      <c r="AS49" s="38"/>
    </row>
    <row r="50" spans="1:45">
      <c r="A50" s="9" t="s">
        <v>208</v>
      </c>
      <c r="B50" s="36">
        <v>11.3567429047348</v>
      </c>
      <c r="C50" s="32">
        <v>10.8094948091147</v>
      </c>
      <c r="D50" s="32">
        <v>8.9292365670082603</v>
      </c>
      <c r="E50" s="32">
        <v>8.1034060956254095</v>
      </c>
      <c r="F50" s="20" t="s">
        <v>80</v>
      </c>
      <c r="G50" s="20" t="s">
        <v>80</v>
      </c>
      <c r="H50" s="15">
        <v>6.7039106145251397</v>
      </c>
      <c r="I50" s="15">
        <v>6.9306930693069297</v>
      </c>
      <c r="J50" s="15">
        <v>11.4285714285714</v>
      </c>
      <c r="K50" s="20" t="s">
        <v>80</v>
      </c>
      <c r="L50" s="15">
        <v>9.3457943925233593</v>
      </c>
      <c r="M50" s="20" t="s">
        <v>80</v>
      </c>
      <c r="N50" s="15">
        <v>12.5</v>
      </c>
      <c r="O50" s="20" t="s">
        <v>80</v>
      </c>
      <c r="P50" s="15">
        <v>5.7851239669421499</v>
      </c>
      <c r="Q50" s="20" t="s">
        <v>80</v>
      </c>
      <c r="R50" s="15">
        <v>12.7659574468085</v>
      </c>
      <c r="S50" s="15">
        <v>10.869565217391299</v>
      </c>
      <c r="T50" s="20" t="s">
        <v>80</v>
      </c>
      <c r="U50" s="15">
        <v>16.071428571428601</v>
      </c>
      <c r="V50" s="20" t="s">
        <v>80</v>
      </c>
      <c r="W50" s="15">
        <v>13.0434782608696</v>
      </c>
      <c r="X50" s="20" t="s">
        <v>80</v>
      </c>
      <c r="Y50" s="15">
        <v>9.8484848484848495</v>
      </c>
      <c r="Z50" s="20" t="s">
        <v>80</v>
      </c>
      <c r="AA50" s="15">
        <v>10.869565217391299</v>
      </c>
      <c r="AB50" s="20" t="s">
        <v>80</v>
      </c>
      <c r="AC50" s="15">
        <v>11.9047619047619</v>
      </c>
      <c r="AD50" s="15">
        <v>13.0434782608696</v>
      </c>
      <c r="AE50" s="20" t="s">
        <v>80</v>
      </c>
      <c r="AF50" s="20" t="s">
        <v>80</v>
      </c>
      <c r="AG50" s="20" t="s">
        <v>80</v>
      </c>
      <c r="AH50" s="15">
        <v>7.5268817204301097</v>
      </c>
      <c r="AI50" s="20" t="s">
        <v>80</v>
      </c>
      <c r="AJ50" s="32">
        <v>9.6517198671975706</v>
      </c>
      <c r="AK50" s="15">
        <v>10.3550295857988</v>
      </c>
      <c r="AL50" s="15">
        <v>11.1111111111111</v>
      </c>
      <c r="AM50" s="15">
        <v>9.5959595959596005</v>
      </c>
      <c r="AN50" s="15">
        <v>9.4890510948905096</v>
      </c>
      <c r="AO50" s="15">
        <v>8.6826347305389202</v>
      </c>
      <c r="AP50" s="15">
        <v>11.087420042643901</v>
      </c>
      <c r="AQ50" s="15">
        <v>9.5588235294117592</v>
      </c>
      <c r="AR50" s="24">
        <v>10.303030303030299</v>
      </c>
      <c r="AS50" s="38"/>
    </row>
    <row r="51" spans="1:45">
      <c r="A51" s="9" t="s">
        <v>209</v>
      </c>
      <c r="B51" s="36">
        <v>13.537086730306299</v>
      </c>
      <c r="C51" s="32">
        <v>13.06358433736</v>
      </c>
      <c r="D51" s="32">
        <v>12.418951688417099</v>
      </c>
      <c r="E51" s="32">
        <v>14.8002647156483</v>
      </c>
      <c r="F51" s="15">
        <v>21.568627450980401</v>
      </c>
      <c r="G51" s="20" t="s">
        <v>80</v>
      </c>
      <c r="H51" s="15">
        <v>20.111731843575399</v>
      </c>
      <c r="I51" s="15">
        <v>7.9207920792079198</v>
      </c>
      <c r="J51" s="15">
        <v>10</v>
      </c>
      <c r="K51" s="20" t="s">
        <v>80</v>
      </c>
      <c r="L51" s="15">
        <v>23.364485981308398</v>
      </c>
      <c r="M51" s="15">
        <v>28.571428571428601</v>
      </c>
      <c r="N51" s="15">
        <v>15.9722222222222</v>
      </c>
      <c r="O51" s="15">
        <v>15.322580645161301</v>
      </c>
      <c r="P51" s="15">
        <v>22.3140495867769</v>
      </c>
      <c r="Q51" s="20" t="s">
        <v>80</v>
      </c>
      <c r="R51" s="20" t="s">
        <v>80</v>
      </c>
      <c r="S51" s="15">
        <v>10.869565217391299</v>
      </c>
      <c r="T51" s="20" t="s">
        <v>80</v>
      </c>
      <c r="U51" s="15">
        <v>19.6428571428571</v>
      </c>
      <c r="V51" s="20" t="s">
        <v>80</v>
      </c>
      <c r="W51" s="20" t="s">
        <v>80</v>
      </c>
      <c r="X51" s="15">
        <v>9.9099099099099099</v>
      </c>
      <c r="Y51" s="15">
        <v>17.424242424242401</v>
      </c>
      <c r="Z51" s="20" t="s">
        <v>80</v>
      </c>
      <c r="AA51" s="15">
        <v>13.0434782608696</v>
      </c>
      <c r="AB51" s="20" t="s">
        <v>80</v>
      </c>
      <c r="AC51" s="15">
        <v>26.1904761904762</v>
      </c>
      <c r="AD51" s="15">
        <v>17.3913043478261</v>
      </c>
      <c r="AE51" s="15">
        <v>18.181818181818201</v>
      </c>
      <c r="AF51" s="15">
        <v>11.363636363636401</v>
      </c>
      <c r="AG51" s="20" t="s">
        <v>80</v>
      </c>
      <c r="AH51" s="15">
        <v>11.8279569892473</v>
      </c>
      <c r="AI51" s="20" t="s">
        <v>80</v>
      </c>
      <c r="AJ51" s="32">
        <v>10.335644091620701</v>
      </c>
      <c r="AK51" s="15">
        <v>8.2840236686390494</v>
      </c>
      <c r="AL51" s="15">
        <v>8.9324618736383403</v>
      </c>
      <c r="AM51" s="15">
        <v>12.1212121212121</v>
      </c>
      <c r="AN51" s="15">
        <v>11.6788321167883</v>
      </c>
      <c r="AO51" s="15">
        <v>12.275449101796401</v>
      </c>
      <c r="AP51" s="15">
        <v>13.6460554371002</v>
      </c>
      <c r="AQ51" s="15">
        <v>13.9705882352941</v>
      </c>
      <c r="AR51" s="24">
        <v>9.6969696969697008</v>
      </c>
      <c r="AS51" s="38"/>
    </row>
    <row r="52" spans="1:45">
      <c r="A52" s="9" t="s">
        <v>210</v>
      </c>
      <c r="B52" s="36">
        <v>19.038375606849701</v>
      </c>
      <c r="C52" s="32">
        <v>17.5410907929632</v>
      </c>
      <c r="D52" s="32">
        <v>17.014882987747601</v>
      </c>
      <c r="E52" s="32">
        <v>18.0929601837165</v>
      </c>
      <c r="F52" s="15">
        <v>13.7254901960784</v>
      </c>
      <c r="G52" s="20" t="s">
        <v>80</v>
      </c>
      <c r="H52" s="15">
        <v>25.698324022346402</v>
      </c>
      <c r="I52" s="15">
        <v>16.8316831683168</v>
      </c>
      <c r="J52" s="15">
        <v>12.8571428571429</v>
      </c>
      <c r="K52" s="15">
        <v>16.2162162162162</v>
      </c>
      <c r="L52" s="15">
        <v>17.757009345794401</v>
      </c>
      <c r="M52" s="15">
        <v>26.1904761904762</v>
      </c>
      <c r="N52" s="15">
        <v>16.6666666666667</v>
      </c>
      <c r="O52" s="15">
        <v>14.5161290322581</v>
      </c>
      <c r="P52" s="15">
        <v>28.925619834710702</v>
      </c>
      <c r="Q52" s="15">
        <v>20.588235294117599</v>
      </c>
      <c r="R52" s="20" t="s">
        <v>80</v>
      </c>
      <c r="S52" s="20" t="s">
        <v>80</v>
      </c>
      <c r="T52" s="15">
        <v>18.604651162790699</v>
      </c>
      <c r="U52" s="15">
        <v>21.428571428571399</v>
      </c>
      <c r="V52" s="15">
        <v>31.578947368421101</v>
      </c>
      <c r="W52" s="15">
        <v>10.869565217391299</v>
      </c>
      <c r="X52" s="15">
        <v>7.20720720720721</v>
      </c>
      <c r="Y52" s="15">
        <v>21.969696969697001</v>
      </c>
      <c r="Z52" s="20" t="s">
        <v>80</v>
      </c>
      <c r="AA52" s="15">
        <v>19.565217391304301</v>
      </c>
      <c r="AB52" s="20" t="s">
        <v>80</v>
      </c>
      <c r="AC52" s="15">
        <v>14.285714285714301</v>
      </c>
      <c r="AD52" s="20" t="s">
        <v>80</v>
      </c>
      <c r="AE52" s="15">
        <v>15.1515151515152</v>
      </c>
      <c r="AF52" s="15">
        <v>15.909090909090899</v>
      </c>
      <c r="AG52" s="20" t="s">
        <v>80</v>
      </c>
      <c r="AH52" s="15">
        <v>12.9032258064516</v>
      </c>
      <c r="AI52" s="15">
        <v>17.8571428571429</v>
      </c>
      <c r="AJ52" s="32">
        <v>16.071719956843399</v>
      </c>
      <c r="AK52" s="15">
        <v>17.603550295858</v>
      </c>
      <c r="AL52" s="15">
        <v>17.864923747276698</v>
      </c>
      <c r="AM52" s="15">
        <v>16.161616161616202</v>
      </c>
      <c r="AN52" s="15">
        <v>15.3284671532847</v>
      </c>
      <c r="AO52" s="15">
        <v>12.874251497006</v>
      </c>
      <c r="AP52" s="15">
        <v>14.498933901918999</v>
      </c>
      <c r="AQ52" s="15">
        <v>19.852941176470601</v>
      </c>
      <c r="AR52" s="24">
        <v>18.181818181818201</v>
      </c>
      <c r="AS52" s="38"/>
    </row>
    <row r="53" spans="1:45">
      <c r="A53" s="9" t="s">
        <v>211</v>
      </c>
      <c r="B53" s="36">
        <v>16.492159997940099</v>
      </c>
      <c r="C53" s="32">
        <v>16.607758166374499</v>
      </c>
      <c r="D53" s="32">
        <v>15.887236679249501</v>
      </c>
      <c r="E53" s="32">
        <v>17.192886435069799</v>
      </c>
      <c r="F53" s="15">
        <v>15.6862745098039</v>
      </c>
      <c r="G53" s="20" t="s">
        <v>80</v>
      </c>
      <c r="H53" s="15">
        <v>25.698324022346402</v>
      </c>
      <c r="I53" s="15">
        <v>12.8712871287129</v>
      </c>
      <c r="J53" s="15">
        <v>14.285714285714301</v>
      </c>
      <c r="K53" s="15">
        <v>13.5135135135135</v>
      </c>
      <c r="L53" s="15">
        <v>23.364485981308398</v>
      </c>
      <c r="M53" s="15">
        <v>16.6666666666667</v>
      </c>
      <c r="N53" s="15">
        <v>15.9722222222222</v>
      </c>
      <c r="O53" s="15">
        <v>15.322580645161301</v>
      </c>
      <c r="P53" s="15">
        <v>24.793388429752099</v>
      </c>
      <c r="Q53" s="15">
        <v>14.705882352941201</v>
      </c>
      <c r="R53" s="15">
        <v>12.7659574468085</v>
      </c>
      <c r="S53" s="15">
        <v>19.565217391304301</v>
      </c>
      <c r="T53" s="20" t="s">
        <v>80</v>
      </c>
      <c r="U53" s="15">
        <v>23.214285714285701</v>
      </c>
      <c r="V53" s="15">
        <v>13.157894736842101</v>
      </c>
      <c r="W53" s="20" t="s">
        <v>80</v>
      </c>
      <c r="X53" s="15">
        <v>5.4054054054054097</v>
      </c>
      <c r="Y53" s="15">
        <v>14.3939393939394</v>
      </c>
      <c r="Z53" s="15">
        <v>24.137931034482801</v>
      </c>
      <c r="AA53" s="15">
        <v>10.869565217391299</v>
      </c>
      <c r="AB53" s="20" t="s">
        <v>80</v>
      </c>
      <c r="AC53" s="15">
        <v>16.6666666666667</v>
      </c>
      <c r="AD53" s="15">
        <v>30.434782608695699</v>
      </c>
      <c r="AE53" s="15">
        <v>24.2424242424242</v>
      </c>
      <c r="AF53" s="15">
        <v>20.454545454545499</v>
      </c>
      <c r="AG53" s="20" t="s">
        <v>80</v>
      </c>
      <c r="AH53" s="15">
        <v>16.129032258064498</v>
      </c>
      <c r="AI53" s="20" t="s">
        <v>80</v>
      </c>
      <c r="AJ53" s="32">
        <v>14.7449802753451</v>
      </c>
      <c r="AK53" s="15">
        <v>13.313609467455599</v>
      </c>
      <c r="AL53" s="15">
        <v>14.379084967320299</v>
      </c>
      <c r="AM53" s="15">
        <v>17.171717171717201</v>
      </c>
      <c r="AN53" s="15">
        <v>15.3284671532847</v>
      </c>
      <c r="AO53" s="15">
        <v>15.2694610778443</v>
      </c>
      <c r="AP53" s="15">
        <v>10.4477611940298</v>
      </c>
      <c r="AQ53" s="15">
        <v>11.0294117647059</v>
      </c>
      <c r="AR53" s="24">
        <v>17.8787878787879</v>
      </c>
      <c r="AS53" s="38"/>
    </row>
    <row r="54" spans="1:45">
      <c r="A54" s="9" t="s">
        <v>212</v>
      </c>
      <c r="B54" s="36">
        <v>17.1272477347595</v>
      </c>
      <c r="C54" s="32">
        <v>16.011226180524201</v>
      </c>
      <c r="D54" s="32">
        <v>14.959482180524899</v>
      </c>
      <c r="E54" s="32">
        <v>16.996045689308801</v>
      </c>
      <c r="F54" s="15">
        <v>21.568627450980401</v>
      </c>
      <c r="G54" s="20" t="s">
        <v>80</v>
      </c>
      <c r="H54" s="15">
        <v>28.491620111731802</v>
      </c>
      <c r="I54" s="15">
        <v>16.8316831683168</v>
      </c>
      <c r="J54" s="15">
        <v>11.4285714285714</v>
      </c>
      <c r="K54" s="20" t="s">
        <v>80</v>
      </c>
      <c r="L54" s="15">
        <v>15.887850467289701</v>
      </c>
      <c r="M54" s="15">
        <v>27.380952380952401</v>
      </c>
      <c r="N54" s="15">
        <v>11.8055555555556</v>
      </c>
      <c r="O54" s="15">
        <v>8.8709677419354804</v>
      </c>
      <c r="P54" s="15">
        <v>28.099173553719002</v>
      </c>
      <c r="Q54" s="15">
        <v>14.705882352941201</v>
      </c>
      <c r="R54" s="15">
        <v>17.021276595744698</v>
      </c>
      <c r="S54" s="15">
        <v>13.0434782608696</v>
      </c>
      <c r="T54" s="20" t="s">
        <v>80</v>
      </c>
      <c r="U54" s="15">
        <v>10.714285714285699</v>
      </c>
      <c r="V54" s="15">
        <v>13.157894736842101</v>
      </c>
      <c r="W54" s="20" t="s">
        <v>80</v>
      </c>
      <c r="X54" s="15">
        <v>14.4144144144144</v>
      </c>
      <c r="Y54" s="15">
        <v>12.8787878787879</v>
      </c>
      <c r="Z54" s="15">
        <v>20.689655172413801</v>
      </c>
      <c r="AA54" s="15">
        <v>15.2173913043478</v>
      </c>
      <c r="AB54" s="20" t="s">
        <v>80</v>
      </c>
      <c r="AC54" s="15">
        <v>19.047619047619001</v>
      </c>
      <c r="AD54" s="15">
        <v>23.913043478260899</v>
      </c>
      <c r="AE54" s="15">
        <v>21.2121212121212</v>
      </c>
      <c r="AF54" s="15">
        <v>11.363636363636401</v>
      </c>
      <c r="AG54" s="20" t="s">
        <v>80</v>
      </c>
      <c r="AH54" s="15">
        <v>17.204301075268798</v>
      </c>
      <c r="AI54" s="15">
        <v>8.9285714285714306</v>
      </c>
      <c r="AJ54" s="32">
        <v>13.1777810010959</v>
      </c>
      <c r="AK54" s="15">
        <v>10.3550295857988</v>
      </c>
      <c r="AL54" s="15">
        <v>13.5076252723312</v>
      </c>
      <c r="AM54" s="15">
        <v>11.6161616161616</v>
      </c>
      <c r="AN54" s="15">
        <v>11.6788321167883</v>
      </c>
      <c r="AO54" s="15">
        <v>11.377245508982</v>
      </c>
      <c r="AP54" s="15">
        <v>15.778251599147101</v>
      </c>
      <c r="AQ54" s="15">
        <v>22.794117647058801</v>
      </c>
      <c r="AR54" s="24">
        <v>13.9393939393939</v>
      </c>
      <c r="AS54" s="38"/>
    </row>
    <row r="55" spans="1:45">
      <c r="A55" s="9" t="s">
        <v>213</v>
      </c>
      <c r="B55" s="36">
        <v>7.3665660204329297</v>
      </c>
      <c r="C55" s="32">
        <v>7.9162055279894998</v>
      </c>
      <c r="D55" s="32">
        <v>8.2407218069812895</v>
      </c>
      <c r="E55" s="32">
        <v>9.9748945014251191</v>
      </c>
      <c r="F55" s="15">
        <v>9.8039215686274499</v>
      </c>
      <c r="G55" s="20" t="s">
        <v>80</v>
      </c>
      <c r="H55" s="15">
        <v>11.173184357541899</v>
      </c>
      <c r="I55" s="15">
        <v>8.9108910891089099</v>
      </c>
      <c r="J55" s="15">
        <v>8.5714285714285694</v>
      </c>
      <c r="K55" s="20" t="s">
        <v>80</v>
      </c>
      <c r="L55" s="15">
        <v>12.1495327102804</v>
      </c>
      <c r="M55" s="15">
        <v>13.0952380952381</v>
      </c>
      <c r="N55" s="15">
        <v>9.0277777777777803</v>
      </c>
      <c r="O55" s="15">
        <v>6.4516129032258096</v>
      </c>
      <c r="P55" s="15">
        <v>16.528925619834698</v>
      </c>
      <c r="Q55" s="15">
        <v>17.647058823529399</v>
      </c>
      <c r="R55" s="20" t="s">
        <v>80</v>
      </c>
      <c r="S55" s="20" t="s">
        <v>80</v>
      </c>
      <c r="T55" s="20" t="s">
        <v>80</v>
      </c>
      <c r="U55" s="20" t="s">
        <v>80</v>
      </c>
      <c r="V55" s="15">
        <v>21.052631578947398</v>
      </c>
      <c r="W55" s="20" t="s">
        <v>80</v>
      </c>
      <c r="X55" s="15">
        <v>11.7117117117117</v>
      </c>
      <c r="Y55" s="15">
        <v>6.8181818181818201</v>
      </c>
      <c r="Z55" s="20" t="s">
        <v>80</v>
      </c>
      <c r="AA55" s="15">
        <v>10.869565217391299</v>
      </c>
      <c r="AB55" s="20" t="s">
        <v>80</v>
      </c>
      <c r="AC55" s="20" t="s">
        <v>80</v>
      </c>
      <c r="AD55" s="20" t="s">
        <v>80</v>
      </c>
      <c r="AE55" s="20" t="s">
        <v>80</v>
      </c>
      <c r="AF55" s="15">
        <v>11.363636363636401</v>
      </c>
      <c r="AG55" s="20" t="s">
        <v>80</v>
      </c>
      <c r="AH55" s="15">
        <v>7.5268817204301097</v>
      </c>
      <c r="AI55" s="20" t="s">
        <v>80</v>
      </c>
      <c r="AJ55" s="32">
        <v>6.7235692498929298</v>
      </c>
      <c r="AK55" s="15">
        <v>4.2899408284023703</v>
      </c>
      <c r="AL55" s="15">
        <v>3.2679738562091498</v>
      </c>
      <c r="AM55" s="15">
        <v>4.5454545454545503</v>
      </c>
      <c r="AN55" s="15">
        <v>10.2189781021898</v>
      </c>
      <c r="AO55" s="15">
        <v>8.0838323353293404</v>
      </c>
      <c r="AP55" s="15">
        <v>6.6098081023454096</v>
      </c>
      <c r="AQ55" s="15">
        <v>15.4411764705882</v>
      </c>
      <c r="AR55" s="24">
        <v>13.3333333333333</v>
      </c>
      <c r="AS55" s="38"/>
    </row>
    <row r="56" spans="1:45">
      <c r="A56" s="9" t="s">
        <v>214</v>
      </c>
      <c r="B56" s="36">
        <v>10.333373390479901</v>
      </c>
      <c r="C56" s="32">
        <v>10.497953996089301</v>
      </c>
      <c r="D56" s="32">
        <v>10.4384241646324</v>
      </c>
      <c r="E56" s="32">
        <v>12.0783532031801</v>
      </c>
      <c r="F56" s="15">
        <v>13.7254901960784</v>
      </c>
      <c r="G56" s="20" t="s">
        <v>80</v>
      </c>
      <c r="H56" s="15">
        <v>20.670391061452499</v>
      </c>
      <c r="I56" s="15">
        <v>9.9009900990098991</v>
      </c>
      <c r="J56" s="15">
        <v>12.8571428571429</v>
      </c>
      <c r="K56" s="20" t="s">
        <v>80</v>
      </c>
      <c r="L56" s="15">
        <v>8.4112149532710294</v>
      </c>
      <c r="M56" s="15">
        <v>23.8095238095238</v>
      </c>
      <c r="N56" s="15">
        <v>11.1111111111111</v>
      </c>
      <c r="O56" s="15">
        <v>10.4838709677419</v>
      </c>
      <c r="P56" s="15">
        <v>16.528925619834698</v>
      </c>
      <c r="Q56" s="20" t="s">
        <v>80</v>
      </c>
      <c r="R56" s="15">
        <v>12.7659574468085</v>
      </c>
      <c r="S56" s="20" t="s">
        <v>80</v>
      </c>
      <c r="T56" s="15">
        <v>11.6279069767442</v>
      </c>
      <c r="U56" s="15">
        <v>21.428571428571399</v>
      </c>
      <c r="V56" s="20" t="s">
        <v>80</v>
      </c>
      <c r="W56" s="20" t="s">
        <v>80</v>
      </c>
      <c r="X56" s="15">
        <v>7.20720720720721</v>
      </c>
      <c r="Y56" s="15">
        <v>14.3939393939394</v>
      </c>
      <c r="Z56" s="20" t="s">
        <v>80</v>
      </c>
      <c r="AA56" s="20" t="s">
        <v>80</v>
      </c>
      <c r="AB56" s="20" t="s">
        <v>80</v>
      </c>
      <c r="AC56" s="15">
        <v>11.9047619047619</v>
      </c>
      <c r="AD56" s="20" t="s">
        <v>80</v>
      </c>
      <c r="AE56" s="20" t="s">
        <v>80</v>
      </c>
      <c r="AF56" s="15">
        <v>13.636363636363599</v>
      </c>
      <c r="AG56" s="20" t="s">
        <v>80</v>
      </c>
      <c r="AH56" s="15">
        <v>8.6021505376344098</v>
      </c>
      <c r="AI56" s="15">
        <v>8.9285714285714306</v>
      </c>
      <c r="AJ56" s="32">
        <v>9.0037212989676192</v>
      </c>
      <c r="AK56" s="15">
        <v>5.7692307692307701</v>
      </c>
      <c r="AL56" s="15">
        <v>5.4466230936819198</v>
      </c>
      <c r="AM56" s="15">
        <v>10.1010101010101</v>
      </c>
      <c r="AN56" s="15">
        <v>13.868613138686101</v>
      </c>
      <c r="AO56" s="15">
        <v>12.5748502994012</v>
      </c>
      <c r="AP56" s="15">
        <v>11.727078891258</v>
      </c>
      <c r="AQ56" s="15">
        <v>12.5</v>
      </c>
      <c r="AR56" s="24">
        <v>8.7878787878787907</v>
      </c>
      <c r="AS56" s="38"/>
    </row>
    <row r="57" spans="1:45">
      <c r="A57" s="9" t="s">
        <v>215</v>
      </c>
      <c r="B57" s="36">
        <v>9.0367005028882907</v>
      </c>
      <c r="C57" s="32">
        <v>8.94287216543478</v>
      </c>
      <c r="D57" s="32">
        <v>9.0533104760878906</v>
      </c>
      <c r="E57" s="32">
        <v>12.4411043470017</v>
      </c>
      <c r="F57" s="20" t="s">
        <v>80</v>
      </c>
      <c r="G57" s="20" t="s">
        <v>80</v>
      </c>
      <c r="H57" s="15">
        <v>14.525139664804501</v>
      </c>
      <c r="I57" s="15">
        <v>11.881188118811901</v>
      </c>
      <c r="J57" s="15">
        <v>14.285714285714301</v>
      </c>
      <c r="K57" s="20" t="s">
        <v>80</v>
      </c>
      <c r="L57" s="15">
        <v>15.887850467289701</v>
      </c>
      <c r="M57" s="15">
        <v>19.047619047619001</v>
      </c>
      <c r="N57" s="15">
        <v>11.8055555555556</v>
      </c>
      <c r="O57" s="15">
        <v>6.4516129032258096</v>
      </c>
      <c r="P57" s="15">
        <v>22.3140495867769</v>
      </c>
      <c r="Q57" s="20" t="s">
        <v>80</v>
      </c>
      <c r="R57" s="15">
        <v>14.893617021276601</v>
      </c>
      <c r="S57" s="20" t="s">
        <v>80</v>
      </c>
      <c r="T57" s="20" t="s">
        <v>80</v>
      </c>
      <c r="U57" s="15">
        <v>10.714285714285699</v>
      </c>
      <c r="V57" s="15">
        <v>15.789473684210501</v>
      </c>
      <c r="W57" s="20" t="s">
        <v>80</v>
      </c>
      <c r="X57" s="15">
        <v>6.3063063063063103</v>
      </c>
      <c r="Y57" s="15">
        <v>15.909090909090899</v>
      </c>
      <c r="Z57" s="20" t="s">
        <v>80</v>
      </c>
      <c r="AA57" s="20" t="s">
        <v>80</v>
      </c>
      <c r="AB57" s="20" t="s">
        <v>80</v>
      </c>
      <c r="AC57" s="15">
        <v>14.285714285714301</v>
      </c>
      <c r="AD57" s="15">
        <v>10.869565217391299</v>
      </c>
      <c r="AE57" s="20" t="s">
        <v>80</v>
      </c>
      <c r="AF57" s="15">
        <v>18.181818181818201</v>
      </c>
      <c r="AG57" s="20" t="s">
        <v>80</v>
      </c>
      <c r="AH57" s="15">
        <v>6.4516129032258096</v>
      </c>
      <c r="AI57" s="20" t="s">
        <v>80</v>
      </c>
      <c r="AJ57" s="32">
        <v>6.0894763950804096</v>
      </c>
      <c r="AK57" s="15">
        <v>6.6568047337278102</v>
      </c>
      <c r="AL57" s="15">
        <v>4.5751633986928102</v>
      </c>
      <c r="AM57" s="15">
        <v>7.5757575757575797</v>
      </c>
      <c r="AN57" s="15">
        <v>13.138686131386899</v>
      </c>
      <c r="AO57" s="15">
        <v>8.0838323353293404</v>
      </c>
      <c r="AP57" s="15">
        <v>5.1172707889125801</v>
      </c>
      <c r="AQ57" s="15">
        <v>12.5</v>
      </c>
      <c r="AR57" s="24">
        <v>4.8484848484848504</v>
      </c>
      <c r="AS57" s="38"/>
    </row>
    <row r="58" spans="1:45">
      <c r="A58" s="9" t="s">
        <v>216</v>
      </c>
      <c r="B58" s="36">
        <v>12.578480973612001</v>
      </c>
      <c r="C58" s="32">
        <v>13.039370272176701</v>
      </c>
      <c r="D58" s="32">
        <v>13.659435385077799</v>
      </c>
      <c r="E58" s="32">
        <v>14.055095470896999</v>
      </c>
      <c r="F58" s="20" t="s">
        <v>80</v>
      </c>
      <c r="G58" s="20" t="s">
        <v>80</v>
      </c>
      <c r="H58" s="15">
        <v>20.670391061452499</v>
      </c>
      <c r="I58" s="15">
        <v>11.881188118811901</v>
      </c>
      <c r="J58" s="15">
        <v>14.285714285714301</v>
      </c>
      <c r="K58" s="15">
        <v>18.918918918918902</v>
      </c>
      <c r="L58" s="15">
        <v>15.887850467289701</v>
      </c>
      <c r="M58" s="15">
        <v>19.047619047619001</v>
      </c>
      <c r="N58" s="15">
        <v>14.5833333333333</v>
      </c>
      <c r="O58" s="15">
        <v>10.4838709677419</v>
      </c>
      <c r="P58" s="15">
        <v>20.6611570247934</v>
      </c>
      <c r="Q58" s="15">
        <v>17.647058823529399</v>
      </c>
      <c r="R58" s="20" t="s">
        <v>80</v>
      </c>
      <c r="S58" s="15">
        <v>15.2173913043478</v>
      </c>
      <c r="T58" s="15">
        <v>13.953488372093</v>
      </c>
      <c r="U58" s="15">
        <v>8.9285714285714306</v>
      </c>
      <c r="V58" s="15">
        <v>15.789473684210501</v>
      </c>
      <c r="W58" s="20" t="s">
        <v>80</v>
      </c>
      <c r="X58" s="15">
        <v>8.1081081081081106</v>
      </c>
      <c r="Y58" s="15">
        <v>15.909090909090899</v>
      </c>
      <c r="Z58" s="20" t="s">
        <v>80</v>
      </c>
      <c r="AA58" s="15">
        <v>15.2173913043478</v>
      </c>
      <c r="AB58" s="20" t="s">
        <v>80</v>
      </c>
      <c r="AC58" s="15">
        <v>11.9047619047619</v>
      </c>
      <c r="AD58" s="15">
        <v>15.2173913043478</v>
      </c>
      <c r="AE58" s="15">
        <v>18.181818181818201</v>
      </c>
      <c r="AF58" s="15">
        <v>18.181818181818201</v>
      </c>
      <c r="AG58" s="20" t="s">
        <v>80</v>
      </c>
      <c r="AH58" s="15">
        <v>9.67741935483871</v>
      </c>
      <c r="AI58" s="15">
        <v>8.9285714285714306</v>
      </c>
      <c r="AJ58" s="32">
        <v>13.3132895180246</v>
      </c>
      <c r="AK58" s="15">
        <v>13.165680473372801</v>
      </c>
      <c r="AL58" s="15">
        <v>10.457516339869301</v>
      </c>
      <c r="AM58" s="15">
        <v>15.6565656565657</v>
      </c>
      <c r="AN58" s="15">
        <v>18.978102189781001</v>
      </c>
      <c r="AO58" s="15">
        <v>13.772455089820401</v>
      </c>
      <c r="AP58" s="15">
        <v>14.712153518123699</v>
      </c>
      <c r="AQ58" s="15">
        <v>15.4411764705882</v>
      </c>
      <c r="AR58" s="24">
        <v>16.060606060606101</v>
      </c>
      <c r="AS58" s="38"/>
    </row>
    <row r="59" spans="1:45">
      <c r="A59" s="9" t="s">
        <v>217</v>
      </c>
      <c r="B59" s="36">
        <v>2.7703451670810102</v>
      </c>
      <c r="C59" s="32">
        <v>2.7154581272209599</v>
      </c>
      <c r="D59" s="32">
        <v>3.9963149450056799</v>
      </c>
      <c r="E59" s="32">
        <v>4.34041270010189</v>
      </c>
      <c r="F59" s="20" t="s">
        <v>80</v>
      </c>
      <c r="G59" s="20" t="s">
        <v>80</v>
      </c>
      <c r="H59" s="15">
        <v>3.3519553072625698</v>
      </c>
      <c r="I59" s="20" t="s">
        <v>80</v>
      </c>
      <c r="J59" s="20" t="s">
        <v>80</v>
      </c>
      <c r="K59" s="20" t="s">
        <v>80</v>
      </c>
      <c r="L59" s="20" t="s">
        <v>80</v>
      </c>
      <c r="M59" s="15">
        <v>5.9523809523809499</v>
      </c>
      <c r="N59" s="15">
        <v>4.8611111111111098</v>
      </c>
      <c r="O59" s="20" t="s">
        <v>80</v>
      </c>
      <c r="P59" s="15">
        <v>7.4380165289256199</v>
      </c>
      <c r="Q59" s="20" t="s">
        <v>80</v>
      </c>
      <c r="R59" s="20" t="s">
        <v>80</v>
      </c>
      <c r="S59" s="20" t="s">
        <v>80</v>
      </c>
      <c r="T59" s="20" t="s">
        <v>80</v>
      </c>
      <c r="U59" s="15">
        <v>10.714285714285699</v>
      </c>
      <c r="V59" s="20" t="s">
        <v>80</v>
      </c>
      <c r="W59" s="20" t="s">
        <v>80</v>
      </c>
      <c r="X59" s="20" t="s">
        <v>80</v>
      </c>
      <c r="Y59" s="15">
        <v>5.3030303030303001</v>
      </c>
      <c r="Z59" s="20" t="s">
        <v>80</v>
      </c>
      <c r="AA59" s="20" t="s">
        <v>80</v>
      </c>
      <c r="AB59" s="20" t="s">
        <v>80</v>
      </c>
      <c r="AC59" s="20" t="s">
        <v>80</v>
      </c>
      <c r="AD59" s="20" t="s">
        <v>80</v>
      </c>
      <c r="AE59" s="20" t="s">
        <v>80</v>
      </c>
      <c r="AF59" s="20" t="s">
        <v>80</v>
      </c>
      <c r="AG59" s="20" t="s">
        <v>80</v>
      </c>
      <c r="AH59" s="15">
        <v>6.4516129032258096</v>
      </c>
      <c r="AI59" s="20" t="s">
        <v>80</v>
      </c>
      <c r="AJ59" s="32">
        <v>3.6952787271565599</v>
      </c>
      <c r="AK59" s="15">
        <v>4.2899408284023703</v>
      </c>
      <c r="AL59" s="15">
        <v>2.6143790849673199</v>
      </c>
      <c r="AM59" s="15">
        <v>6.0606060606060597</v>
      </c>
      <c r="AN59" s="15">
        <v>8.7591240875912408</v>
      </c>
      <c r="AO59" s="15">
        <v>4.4910179640718599</v>
      </c>
      <c r="AP59" s="15">
        <v>2.3454157782516001</v>
      </c>
      <c r="AQ59" s="15">
        <v>9.5588235294117592</v>
      </c>
      <c r="AR59" s="24">
        <v>3.0303030303030298</v>
      </c>
      <c r="AS59" s="38"/>
    </row>
    <row r="60" spans="1:45">
      <c r="A60" s="9" t="s">
        <v>218</v>
      </c>
      <c r="B60" s="36">
        <v>2.7574126033696298</v>
      </c>
      <c r="C60" s="32">
        <v>2.7687150404199699</v>
      </c>
      <c r="D60" s="32">
        <v>4.3573808568054604</v>
      </c>
      <c r="E60" s="32">
        <v>4.4081580291546896</v>
      </c>
      <c r="F60" s="20" t="s">
        <v>80</v>
      </c>
      <c r="G60" s="20" t="s">
        <v>80</v>
      </c>
      <c r="H60" s="15">
        <v>4.4692737430167604</v>
      </c>
      <c r="I60" s="20" t="s">
        <v>80</v>
      </c>
      <c r="J60" s="20" t="s">
        <v>80</v>
      </c>
      <c r="K60" s="20" t="s">
        <v>80</v>
      </c>
      <c r="L60" s="15">
        <v>4.6728971962616797</v>
      </c>
      <c r="M60" s="15">
        <v>8.3333333333333304</v>
      </c>
      <c r="N60" s="15">
        <v>4.1666666666666696</v>
      </c>
      <c r="O60" s="20" t="s">
        <v>80</v>
      </c>
      <c r="P60" s="15">
        <v>8.2644628099173598</v>
      </c>
      <c r="Q60" s="20" t="s">
        <v>80</v>
      </c>
      <c r="R60" s="20" t="s">
        <v>80</v>
      </c>
      <c r="S60" s="20" t="s">
        <v>80</v>
      </c>
      <c r="T60" s="20" t="s">
        <v>80</v>
      </c>
      <c r="U60" s="15">
        <v>12.5</v>
      </c>
      <c r="V60" s="20" t="s">
        <v>80</v>
      </c>
      <c r="W60" s="20" t="s">
        <v>80</v>
      </c>
      <c r="X60" s="20" t="s">
        <v>80</v>
      </c>
      <c r="Y60" s="15">
        <v>5.3030303030303001</v>
      </c>
      <c r="Z60" s="20" t="s">
        <v>80</v>
      </c>
      <c r="AA60" s="20" t="s">
        <v>80</v>
      </c>
      <c r="AB60" s="20" t="s">
        <v>80</v>
      </c>
      <c r="AC60" s="20" t="s">
        <v>80</v>
      </c>
      <c r="AD60" s="20" t="s">
        <v>80</v>
      </c>
      <c r="AE60" s="20" t="s">
        <v>80</v>
      </c>
      <c r="AF60" s="20" t="s">
        <v>80</v>
      </c>
      <c r="AG60" s="20" t="s">
        <v>80</v>
      </c>
      <c r="AH60" s="15">
        <v>6.4516129032258096</v>
      </c>
      <c r="AI60" s="20" t="s">
        <v>80</v>
      </c>
      <c r="AJ60" s="32">
        <v>4.3129581086453896</v>
      </c>
      <c r="AK60" s="15">
        <v>4.4378698224852098</v>
      </c>
      <c r="AL60" s="15">
        <v>2.17864923747277</v>
      </c>
      <c r="AM60" s="15">
        <v>4.5454545454545503</v>
      </c>
      <c r="AN60" s="15">
        <v>5.8394160583941597</v>
      </c>
      <c r="AO60" s="15">
        <v>5.3892215568862296</v>
      </c>
      <c r="AP60" s="15">
        <v>2.7718550106609801</v>
      </c>
      <c r="AQ60" s="15">
        <v>13.235294117647101</v>
      </c>
      <c r="AR60" s="24">
        <v>3.6363636363636398</v>
      </c>
      <c r="AS60" s="38"/>
    </row>
    <row r="61" spans="1:45">
      <c r="A61" s="9" t="s">
        <v>219</v>
      </c>
      <c r="B61" s="36">
        <v>3.8513079361879301</v>
      </c>
      <c r="C61" s="32">
        <v>3.72792337132466</v>
      </c>
      <c r="D61" s="32">
        <v>5.9093372513394398</v>
      </c>
      <c r="E61" s="32">
        <v>6.6238638132478496</v>
      </c>
      <c r="F61" s="20" t="s">
        <v>80</v>
      </c>
      <c r="G61" s="20" t="s">
        <v>80</v>
      </c>
      <c r="H61" s="15">
        <v>5.0279329608938497</v>
      </c>
      <c r="I61" s="15">
        <v>4.9504950495049496</v>
      </c>
      <c r="J61" s="20" t="s">
        <v>80</v>
      </c>
      <c r="K61" s="20" t="s">
        <v>80</v>
      </c>
      <c r="L61" s="15">
        <v>12.1495327102804</v>
      </c>
      <c r="M61" s="15">
        <v>10.714285714285699</v>
      </c>
      <c r="N61" s="15">
        <v>6.25</v>
      </c>
      <c r="O61" s="15">
        <v>5.6451612903225801</v>
      </c>
      <c r="P61" s="15">
        <v>11.5702479338843</v>
      </c>
      <c r="Q61" s="20" t="s">
        <v>80</v>
      </c>
      <c r="R61" s="15">
        <v>10.6382978723404</v>
      </c>
      <c r="S61" s="20" t="s">
        <v>80</v>
      </c>
      <c r="T61" s="20" t="s">
        <v>80</v>
      </c>
      <c r="U61" s="15">
        <v>14.285714285714301</v>
      </c>
      <c r="V61" s="20" t="s">
        <v>80</v>
      </c>
      <c r="W61" s="20" t="s">
        <v>80</v>
      </c>
      <c r="X61" s="20" t="s">
        <v>80</v>
      </c>
      <c r="Y61" s="15">
        <v>7.5757575757575797</v>
      </c>
      <c r="Z61" s="20" t="s">
        <v>80</v>
      </c>
      <c r="AA61" s="20" t="s">
        <v>80</v>
      </c>
      <c r="AB61" s="20" t="s">
        <v>80</v>
      </c>
      <c r="AC61" s="20" t="s">
        <v>80</v>
      </c>
      <c r="AD61" s="20" t="s">
        <v>80</v>
      </c>
      <c r="AE61" s="20" t="s">
        <v>80</v>
      </c>
      <c r="AF61" s="15">
        <v>11.363636363636401</v>
      </c>
      <c r="AG61" s="20" t="s">
        <v>80</v>
      </c>
      <c r="AH61" s="15">
        <v>8.6021505376344098</v>
      </c>
      <c r="AI61" s="20" t="s">
        <v>80</v>
      </c>
      <c r="AJ61" s="32">
        <v>5.28422891929148</v>
      </c>
      <c r="AK61" s="15">
        <v>5.1775147928994096</v>
      </c>
      <c r="AL61" s="15">
        <v>4.1394335511982598</v>
      </c>
      <c r="AM61" s="15">
        <v>7.5757575757575797</v>
      </c>
      <c r="AN61" s="15">
        <v>5.8394160583941597</v>
      </c>
      <c r="AO61" s="15">
        <v>5.9880239520958103</v>
      </c>
      <c r="AP61" s="15">
        <v>4.6908315565032002</v>
      </c>
      <c r="AQ61" s="15">
        <v>11.764705882352899</v>
      </c>
      <c r="AR61" s="24">
        <v>5.4545454545454604</v>
      </c>
      <c r="AS61" s="38"/>
    </row>
    <row r="62" spans="1:45">
      <c r="A62" s="9" t="s">
        <v>220</v>
      </c>
      <c r="B62" s="36">
        <v>9.9645988293959995</v>
      </c>
      <c r="C62" s="32">
        <v>9.8672052033820297</v>
      </c>
      <c r="D62" s="32">
        <v>11.853464652906901</v>
      </c>
      <c r="E62" s="32">
        <v>14.236619796909499</v>
      </c>
      <c r="F62" s="15">
        <v>17.647058823529399</v>
      </c>
      <c r="G62" s="20" t="s">
        <v>80</v>
      </c>
      <c r="H62" s="15">
        <v>15.083798882681601</v>
      </c>
      <c r="I62" s="15">
        <v>13.8613861386139</v>
      </c>
      <c r="J62" s="15">
        <v>12.8571428571429</v>
      </c>
      <c r="K62" s="20" t="s">
        <v>80</v>
      </c>
      <c r="L62" s="15">
        <v>7.4766355140186898</v>
      </c>
      <c r="M62" s="15">
        <v>16.6666666666667</v>
      </c>
      <c r="N62" s="15">
        <v>13.8888888888889</v>
      </c>
      <c r="O62" s="15">
        <v>5.6451612903225801</v>
      </c>
      <c r="P62" s="15">
        <v>20.6611570247934</v>
      </c>
      <c r="Q62" s="15">
        <v>29.411764705882401</v>
      </c>
      <c r="R62" s="15">
        <v>10.6382978723404</v>
      </c>
      <c r="S62" s="20" t="s">
        <v>80</v>
      </c>
      <c r="T62" s="20" t="s">
        <v>80</v>
      </c>
      <c r="U62" s="15">
        <v>17.8571428571429</v>
      </c>
      <c r="V62" s="15">
        <v>21.052631578947398</v>
      </c>
      <c r="W62" s="15">
        <v>10.869565217391299</v>
      </c>
      <c r="X62" s="15">
        <v>10.8108108108108</v>
      </c>
      <c r="Y62" s="15">
        <v>13.636363636363599</v>
      </c>
      <c r="Z62" s="20" t="s">
        <v>80</v>
      </c>
      <c r="AA62" s="15">
        <v>21.739130434782599</v>
      </c>
      <c r="AB62" s="20" t="s">
        <v>80</v>
      </c>
      <c r="AC62" s="15">
        <v>11.9047619047619</v>
      </c>
      <c r="AD62" s="15">
        <v>13.0434782608696</v>
      </c>
      <c r="AE62" s="20" t="s">
        <v>80</v>
      </c>
      <c r="AF62" s="15">
        <v>15.909090909090899</v>
      </c>
      <c r="AG62" s="20" t="s">
        <v>80</v>
      </c>
      <c r="AH62" s="15">
        <v>7.5268817204301097</v>
      </c>
      <c r="AI62" s="15">
        <v>10.714285714285699</v>
      </c>
      <c r="AJ62" s="32">
        <v>9.7685454679571908</v>
      </c>
      <c r="AK62" s="15">
        <v>9.3195266272189308</v>
      </c>
      <c r="AL62" s="15">
        <v>8.7145969498910691</v>
      </c>
      <c r="AM62" s="15">
        <v>8.0808080808080796</v>
      </c>
      <c r="AN62" s="15">
        <v>12.408759124087601</v>
      </c>
      <c r="AO62" s="15">
        <v>10.7784431137725</v>
      </c>
      <c r="AP62" s="15">
        <v>10.021321961620499</v>
      </c>
      <c r="AQ62" s="15">
        <v>16.911764705882401</v>
      </c>
      <c r="AR62" s="24">
        <v>12.7272727272727</v>
      </c>
      <c r="AS62" s="38"/>
    </row>
    <row r="63" spans="1:45">
      <c r="A63" s="9" t="s">
        <v>221</v>
      </c>
      <c r="B63" s="36">
        <v>11.1626096279553</v>
      </c>
      <c r="C63" s="32">
        <v>10.7299333836168</v>
      </c>
      <c r="D63" s="32">
        <v>11.262426384953001</v>
      </c>
      <c r="E63" s="32">
        <v>11.8023418891974</v>
      </c>
      <c r="F63" s="15">
        <v>11.764705882352899</v>
      </c>
      <c r="G63" s="20" t="s">
        <v>80</v>
      </c>
      <c r="H63" s="15">
        <v>15.6424581005587</v>
      </c>
      <c r="I63" s="15">
        <v>9.9009900990098991</v>
      </c>
      <c r="J63" s="15">
        <v>7.1428571428571397</v>
      </c>
      <c r="K63" s="15">
        <v>16.2162162162162</v>
      </c>
      <c r="L63" s="15">
        <v>14.018691588785</v>
      </c>
      <c r="M63" s="15">
        <v>13.0952380952381</v>
      </c>
      <c r="N63" s="15">
        <v>9.7222222222222197</v>
      </c>
      <c r="O63" s="15">
        <v>8.8709677419354804</v>
      </c>
      <c r="P63" s="15">
        <v>15.702479338843</v>
      </c>
      <c r="Q63" s="15">
        <v>17.647058823529399</v>
      </c>
      <c r="R63" s="15">
        <v>12.7659574468085</v>
      </c>
      <c r="S63" s="20" t="s">
        <v>80</v>
      </c>
      <c r="T63" s="20" t="s">
        <v>80</v>
      </c>
      <c r="U63" s="15">
        <v>10.714285714285699</v>
      </c>
      <c r="V63" s="15">
        <v>13.157894736842101</v>
      </c>
      <c r="W63" s="20" t="s">
        <v>80</v>
      </c>
      <c r="X63" s="20" t="s">
        <v>80</v>
      </c>
      <c r="Y63" s="15">
        <v>12.8787878787879</v>
      </c>
      <c r="Z63" s="20" t="s">
        <v>80</v>
      </c>
      <c r="AA63" s="20" t="s">
        <v>80</v>
      </c>
      <c r="AB63" s="20" t="s">
        <v>80</v>
      </c>
      <c r="AC63" s="20" t="s">
        <v>80</v>
      </c>
      <c r="AD63" s="15">
        <v>13.0434782608696</v>
      </c>
      <c r="AE63" s="20" t="s">
        <v>80</v>
      </c>
      <c r="AF63" s="20" t="s">
        <v>80</v>
      </c>
      <c r="AG63" s="20" t="s">
        <v>80</v>
      </c>
      <c r="AH63" s="15">
        <v>10.752688172042999</v>
      </c>
      <c r="AI63" s="20" t="s">
        <v>80</v>
      </c>
      <c r="AJ63" s="32">
        <v>10.7900777022061</v>
      </c>
      <c r="AK63" s="15">
        <v>8.8757396449704107</v>
      </c>
      <c r="AL63" s="15">
        <v>10.6753812636166</v>
      </c>
      <c r="AM63" s="15">
        <v>11.1111111111111</v>
      </c>
      <c r="AN63" s="15">
        <v>12.408759124087601</v>
      </c>
      <c r="AO63" s="15">
        <v>9.5808383233532908</v>
      </c>
      <c r="AP63" s="15">
        <v>11.727078891258</v>
      </c>
      <c r="AQ63" s="15">
        <v>14.705882352941201</v>
      </c>
      <c r="AR63" s="24">
        <v>11.2121212121212</v>
      </c>
      <c r="AS63" s="38"/>
    </row>
    <row r="64" spans="1:45">
      <c r="A64" s="11" t="s">
        <v>222</v>
      </c>
      <c r="B64" s="37">
        <v>1.56184640078493</v>
      </c>
      <c r="C64" s="33">
        <v>1.6551901519563299</v>
      </c>
      <c r="D64" s="33">
        <v>1.8162145219432799</v>
      </c>
      <c r="E64" s="33">
        <v>2.3693729610142502</v>
      </c>
      <c r="F64" s="28" t="s">
        <v>80</v>
      </c>
      <c r="G64" s="28" t="s">
        <v>80</v>
      </c>
      <c r="H64" s="28" t="s">
        <v>80</v>
      </c>
      <c r="I64" s="28" t="s">
        <v>80</v>
      </c>
      <c r="J64" s="28" t="s">
        <v>80</v>
      </c>
      <c r="K64" s="28" t="s">
        <v>80</v>
      </c>
      <c r="L64" s="28" t="s">
        <v>80</v>
      </c>
      <c r="M64" s="28" t="s">
        <v>80</v>
      </c>
      <c r="N64" s="16">
        <v>3.4722222222222201</v>
      </c>
      <c r="O64" s="16">
        <v>4.0322580645161299</v>
      </c>
      <c r="P64" s="28" t="s">
        <v>80</v>
      </c>
      <c r="Q64" s="28" t="s">
        <v>80</v>
      </c>
      <c r="R64" s="28" t="s">
        <v>80</v>
      </c>
      <c r="S64" s="28" t="s">
        <v>80</v>
      </c>
      <c r="T64" s="28" t="s">
        <v>80</v>
      </c>
      <c r="U64" s="28" t="s">
        <v>80</v>
      </c>
      <c r="V64" s="28" t="s">
        <v>80</v>
      </c>
      <c r="W64" s="28" t="s">
        <v>80</v>
      </c>
      <c r="X64" s="28" t="s">
        <v>80</v>
      </c>
      <c r="Y64" s="28" t="s">
        <v>80</v>
      </c>
      <c r="Z64" s="28" t="s">
        <v>80</v>
      </c>
      <c r="AA64" s="28" t="s">
        <v>80</v>
      </c>
      <c r="AB64" s="28" t="s">
        <v>80</v>
      </c>
      <c r="AC64" s="28" t="s">
        <v>80</v>
      </c>
      <c r="AD64" s="28" t="s">
        <v>80</v>
      </c>
      <c r="AE64" s="28" t="s">
        <v>80</v>
      </c>
      <c r="AF64" s="28" t="s">
        <v>80</v>
      </c>
      <c r="AG64" s="28" t="s">
        <v>80</v>
      </c>
      <c r="AH64" s="16">
        <v>5.3763440860215104</v>
      </c>
      <c r="AI64" s="28" t="s">
        <v>80</v>
      </c>
      <c r="AJ64" s="33">
        <v>1.3322801692687301</v>
      </c>
      <c r="AK64" s="16">
        <v>1.1834319526627199</v>
      </c>
      <c r="AL64" s="28" t="s">
        <v>80</v>
      </c>
      <c r="AM64" s="16">
        <v>2.52525252525253</v>
      </c>
      <c r="AN64" s="28" t="s">
        <v>80</v>
      </c>
      <c r="AO64" s="16">
        <v>1.4970059880239499</v>
      </c>
      <c r="AP64" s="16">
        <v>1.4925373134328399</v>
      </c>
      <c r="AQ64" s="28" t="s">
        <v>80</v>
      </c>
      <c r="AR64" s="29" t="s">
        <v>80</v>
      </c>
      <c r="AS64" s="38"/>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71"/>
  <sheetViews>
    <sheetView zoomScale="70" workbookViewId="0"/>
  </sheetViews>
  <sheetFormatPr defaultColWidth="10.90625" defaultRowHeight="15"/>
  <cols>
    <col min="1" max="1" width="51.6796875" customWidth="1"/>
    <col min="2" max="4" width="15.90625" customWidth="1"/>
  </cols>
  <sheetData>
    <row r="1" spans="1:4" ht="39.9" customHeight="1">
      <c r="A1" s="10" t="s">
        <v>259</v>
      </c>
      <c r="B1" s="12"/>
      <c r="C1" s="12"/>
      <c r="D1" s="12"/>
    </row>
    <row r="2" spans="1:4" ht="45">
      <c r="A2" s="7" t="s">
        <v>2</v>
      </c>
      <c r="B2" s="6" t="s">
        <v>18</v>
      </c>
      <c r="C2" s="6" t="s">
        <v>19</v>
      </c>
      <c r="D2" s="8" t="s">
        <v>20</v>
      </c>
    </row>
    <row r="3" spans="1:4">
      <c r="A3" s="9" t="s">
        <v>161</v>
      </c>
      <c r="B3" s="15">
        <v>19.663407937520599</v>
      </c>
      <c r="C3" s="15">
        <v>20.075821170752999</v>
      </c>
      <c r="D3" s="24">
        <v>23.975477874660299</v>
      </c>
    </row>
    <row r="4" spans="1:4">
      <c r="A4" s="9" t="s">
        <v>162</v>
      </c>
      <c r="B4" s="15">
        <v>9.12371896411012</v>
      </c>
      <c r="C4" s="15">
        <v>7.5753089711349499</v>
      </c>
      <c r="D4" s="26" t="s">
        <v>80</v>
      </c>
    </row>
    <row r="5" spans="1:4">
      <c r="A5" s="9" t="s">
        <v>163</v>
      </c>
      <c r="B5" s="15">
        <v>10.3043655453636</v>
      </c>
      <c r="C5" s="15">
        <v>11.5639640944938</v>
      </c>
      <c r="D5" s="24">
        <v>22.445078177356699</v>
      </c>
    </row>
    <row r="6" spans="1:4">
      <c r="A6" s="9" t="s">
        <v>164</v>
      </c>
      <c r="B6" s="15">
        <v>11.435387030166901</v>
      </c>
      <c r="C6" s="15">
        <v>10.6471952520344</v>
      </c>
      <c r="D6" s="24">
        <v>14.400957269109099</v>
      </c>
    </row>
    <row r="7" spans="1:4">
      <c r="A7" s="9" t="s">
        <v>165</v>
      </c>
      <c r="B7" s="15">
        <v>12.5204858525183</v>
      </c>
      <c r="C7" s="15">
        <v>12.1386571185365</v>
      </c>
      <c r="D7" s="24">
        <v>12.349884058440001</v>
      </c>
    </row>
    <row r="8" spans="1:4">
      <c r="A8" s="9" t="s">
        <v>166</v>
      </c>
      <c r="B8" s="15">
        <v>4.2647697475436797</v>
      </c>
      <c r="C8" s="15">
        <v>3.58635545960452</v>
      </c>
      <c r="D8" s="26" t="s">
        <v>80</v>
      </c>
    </row>
    <row r="9" spans="1:4">
      <c r="A9" s="9" t="s">
        <v>167</v>
      </c>
      <c r="B9" s="15">
        <v>6.9763653054640304</v>
      </c>
      <c r="C9" s="15">
        <v>6.5321897216169802</v>
      </c>
      <c r="D9" s="26" t="s">
        <v>80</v>
      </c>
    </row>
    <row r="10" spans="1:4">
      <c r="A10" s="9" t="s">
        <v>168</v>
      </c>
      <c r="B10" s="15">
        <v>15.646436313533099</v>
      </c>
      <c r="C10" s="15">
        <v>15.458505314532401</v>
      </c>
      <c r="D10" s="24">
        <v>13.551326695193801</v>
      </c>
    </row>
    <row r="11" spans="1:4">
      <c r="A11" s="9" t="s">
        <v>169</v>
      </c>
      <c r="B11" s="15">
        <v>14.8212994657453</v>
      </c>
      <c r="C11" s="15">
        <v>14.7403663361354</v>
      </c>
      <c r="D11" s="24">
        <v>13.0972882448985</v>
      </c>
    </row>
    <row r="12" spans="1:4">
      <c r="A12" s="9" t="s">
        <v>170</v>
      </c>
      <c r="B12" s="15">
        <v>15.0174873659606</v>
      </c>
      <c r="C12" s="15">
        <v>15.0182753343611</v>
      </c>
      <c r="D12" s="26" t="s">
        <v>80</v>
      </c>
    </row>
    <row r="13" spans="1:4">
      <c r="A13" s="9" t="s">
        <v>171</v>
      </c>
      <c r="B13" s="15">
        <v>8.6292681075159692</v>
      </c>
      <c r="C13" s="15">
        <v>8.2753673515878301</v>
      </c>
      <c r="D13" s="26" t="s">
        <v>80</v>
      </c>
    </row>
    <row r="14" spans="1:4">
      <c r="A14" s="9" t="s">
        <v>172</v>
      </c>
      <c r="B14" s="15">
        <v>13.0424501775009</v>
      </c>
      <c r="C14" s="15">
        <v>14.3822656816004</v>
      </c>
      <c r="D14" s="26" t="s">
        <v>80</v>
      </c>
    </row>
    <row r="15" spans="1:4">
      <c r="A15" s="9" t="s">
        <v>173</v>
      </c>
      <c r="B15" s="15">
        <v>8.0664929830010799</v>
      </c>
      <c r="C15" s="15">
        <v>8.0928373053001792</v>
      </c>
      <c r="D15" s="26" t="s">
        <v>80</v>
      </c>
    </row>
    <row r="16" spans="1:4">
      <c r="A16" s="9" t="s">
        <v>174</v>
      </c>
      <c r="B16" s="15">
        <v>7.6822119995059897</v>
      </c>
      <c r="C16" s="15">
        <v>8.0405705226938906</v>
      </c>
      <c r="D16" s="26" t="s">
        <v>80</v>
      </c>
    </row>
    <row r="17" spans="1:4">
      <c r="A17" s="9" t="s">
        <v>175</v>
      </c>
      <c r="B17" s="15">
        <v>10.2865473444041</v>
      </c>
      <c r="C17" s="15">
        <v>9.1882863230999394</v>
      </c>
      <c r="D17" s="26" t="s">
        <v>80</v>
      </c>
    </row>
    <row r="18" spans="1:4">
      <c r="A18" s="9" t="s">
        <v>176</v>
      </c>
      <c r="B18" s="15">
        <v>5.7490051227088399</v>
      </c>
      <c r="C18" s="15">
        <v>6.0459944604474298</v>
      </c>
      <c r="D18" s="26" t="s">
        <v>80</v>
      </c>
    </row>
    <row r="19" spans="1:4">
      <c r="A19" s="9" t="s">
        <v>177</v>
      </c>
      <c r="B19" s="15">
        <v>10.987776797482899</v>
      </c>
      <c r="C19" s="15">
        <v>9.0603162254681706</v>
      </c>
      <c r="D19" s="24">
        <v>13.125978268733901</v>
      </c>
    </row>
    <row r="20" spans="1:4">
      <c r="A20" s="9" t="s">
        <v>178</v>
      </c>
      <c r="B20" s="15">
        <v>12.3359358628576</v>
      </c>
      <c r="C20" s="15">
        <v>11.4784887221138</v>
      </c>
      <c r="D20" s="24">
        <v>16.983296438125699</v>
      </c>
    </row>
    <row r="21" spans="1:4">
      <c r="A21" s="9" t="s">
        <v>179</v>
      </c>
      <c r="B21" s="15">
        <v>5.51532538032051</v>
      </c>
      <c r="C21" s="15">
        <v>4.8535392331522997</v>
      </c>
      <c r="D21" s="26" t="s">
        <v>80</v>
      </c>
    </row>
    <row r="22" spans="1:4">
      <c r="A22" s="9" t="s">
        <v>180</v>
      </c>
      <c r="B22" s="15">
        <v>12.097493076620101</v>
      </c>
      <c r="C22" s="15">
        <v>11.1621471602648</v>
      </c>
      <c r="D22" s="24">
        <v>11.6477841027385</v>
      </c>
    </row>
    <row r="23" spans="1:4">
      <c r="A23" s="9" t="s">
        <v>181</v>
      </c>
      <c r="B23" s="15">
        <v>6.6440855274347204</v>
      </c>
      <c r="C23" s="15">
        <v>6.4246242025334199</v>
      </c>
      <c r="D23" s="26" t="s">
        <v>80</v>
      </c>
    </row>
    <row r="24" spans="1:4">
      <c r="A24" s="9" t="s">
        <v>182</v>
      </c>
      <c r="B24" s="15">
        <v>4.4522684338142797</v>
      </c>
      <c r="C24" s="15">
        <v>3.48060386729958</v>
      </c>
      <c r="D24" s="26" t="s">
        <v>80</v>
      </c>
    </row>
    <row r="25" spans="1:4">
      <c r="A25" s="9" t="s">
        <v>183</v>
      </c>
      <c r="B25" s="15">
        <v>4.3640742239868997</v>
      </c>
      <c r="C25" s="15">
        <v>4.2881055008423097</v>
      </c>
      <c r="D25" s="26" t="s">
        <v>80</v>
      </c>
    </row>
    <row r="26" spans="1:4">
      <c r="A26" s="9" t="s">
        <v>184</v>
      </c>
      <c r="B26" s="15">
        <v>10.9753941611577</v>
      </c>
      <c r="C26" s="15">
        <v>10.720435967749699</v>
      </c>
      <c r="D26" s="24">
        <v>13.1100930945606</v>
      </c>
    </row>
    <row r="27" spans="1:4">
      <c r="A27" s="9" t="s">
        <v>185</v>
      </c>
      <c r="B27" s="15">
        <v>9.0327579865323795</v>
      </c>
      <c r="C27" s="15">
        <v>6.6671333941998103</v>
      </c>
      <c r="D27" s="26" t="s">
        <v>80</v>
      </c>
    </row>
    <row r="28" spans="1:4">
      <c r="A28" s="9" t="s">
        <v>186</v>
      </c>
      <c r="B28" s="15">
        <v>16.1305789291171</v>
      </c>
      <c r="C28" s="15">
        <v>16.205007230951999</v>
      </c>
      <c r="D28" s="24">
        <v>17.927884528522299</v>
      </c>
    </row>
    <row r="29" spans="1:4">
      <c r="A29" s="9" t="s">
        <v>187</v>
      </c>
      <c r="B29" s="15">
        <v>9.0591510656122303</v>
      </c>
      <c r="C29" s="15">
        <v>7.70214475074863</v>
      </c>
      <c r="D29" s="26" t="s">
        <v>80</v>
      </c>
    </row>
    <row r="30" spans="1:4">
      <c r="A30" s="9" t="s">
        <v>188</v>
      </c>
      <c r="B30" s="15">
        <v>11.2765127816303</v>
      </c>
      <c r="C30" s="15">
        <v>13.9849626148757</v>
      </c>
      <c r="D30" s="26" t="s">
        <v>80</v>
      </c>
    </row>
    <row r="31" spans="1:4">
      <c r="A31" s="9" t="s">
        <v>189</v>
      </c>
      <c r="B31" s="15">
        <v>14.171154459351101</v>
      </c>
      <c r="C31" s="15">
        <v>14.891041847392099</v>
      </c>
      <c r="D31" s="24">
        <v>14.4558009196629</v>
      </c>
    </row>
    <row r="32" spans="1:4">
      <c r="A32" s="9" t="s">
        <v>190</v>
      </c>
      <c r="B32" s="15">
        <v>5.1471384786880696</v>
      </c>
      <c r="C32" s="15">
        <v>5.5980499336740497</v>
      </c>
      <c r="D32" s="26" t="s">
        <v>80</v>
      </c>
    </row>
    <row r="33" spans="1:4">
      <c r="A33" s="9" t="s">
        <v>191</v>
      </c>
      <c r="B33" s="15">
        <v>9.4367004799546095</v>
      </c>
      <c r="C33" s="15">
        <v>8.9362400267970301</v>
      </c>
      <c r="D33" s="26" t="s">
        <v>80</v>
      </c>
    </row>
    <row r="34" spans="1:4">
      <c r="A34" s="9" t="s">
        <v>192</v>
      </c>
      <c r="B34" s="15">
        <v>18.329980402851501</v>
      </c>
      <c r="C34" s="15">
        <v>17.075863284635101</v>
      </c>
      <c r="D34" s="24">
        <v>14.615067384788</v>
      </c>
    </row>
    <row r="35" spans="1:4">
      <c r="A35" s="9" t="s">
        <v>193</v>
      </c>
      <c r="B35" s="15">
        <v>11.5432778201159</v>
      </c>
      <c r="C35" s="15">
        <v>10.995753092343</v>
      </c>
      <c r="D35" s="26" t="s">
        <v>80</v>
      </c>
    </row>
    <row r="36" spans="1:4">
      <c r="A36" s="9" t="s">
        <v>194</v>
      </c>
      <c r="B36" s="15">
        <v>6.1474383846734604</v>
      </c>
      <c r="C36" s="15">
        <v>4.8721702009875498</v>
      </c>
      <c r="D36" s="26" t="s">
        <v>80</v>
      </c>
    </row>
    <row r="37" spans="1:4">
      <c r="A37" s="9" t="s">
        <v>195</v>
      </c>
      <c r="B37" s="15">
        <v>11.152704531694599</v>
      </c>
      <c r="C37" s="15">
        <v>10.2079207125552</v>
      </c>
      <c r="D37" s="26" t="s">
        <v>80</v>
      </c>
    </row>
    <row r="38" spans="1:4">
      <c r="A38" s="9" t="s">
        <v>196</v>
      </c>
      <c r="B38" s="15">
        <v>13.2580705212756</v>
      </c>
      <c r="C38" s="15">
        <v>13.092876414103699</v>
      </c>
      <c r="D38" s="24">
        <v>14.1575930309318</v>
      </c>
    </row>
    <row r="39" spans="1:4">
      <c r="A39" s="9" t="s">
        <v>197</v>
      </c>
      <c r="B39" s="15">
        <v>9.5619838742495507</v>
      </c>
      <c r="C39" s="15">
        <v>7.1136106938819204</v>
      </c>
      <c r="D39" s="26" t="s">
        <v>80</v>
      </c>
    </row>
    <row r="40" spans="1:4">
      <c r="A40" s="9" t="s">
        <v>198</v>
      </c>
      <c r="B40" s="15">
        <v>10.616843916097499</v>
      </c>
      <c r="C40" s="15">
        <v>11.726930451940801</v>
      </c>
      <c r="D40" s="26" t="s">
        <v>80</v>
      </c>
    </row>
    <row r="41" spans="1:4">
      <c r="A41" s="9" t="s">
        <v>199</v>
      </c>
      <c r="B41" s="15">
        <v>7.3219097513533304</v>
      </c>
      <c r="C41" s="15">
        <v>7.0367634082355703</v>
      </c>
      <c r="D41" s="26" t="s">
        <v>80</v>
      </c>
    </row>
    <row r="42" spans="1:4">
      <c r="A42" s="9" t="s">
        <v>200</v>
      </c>
      <c r="B42" s="15">
        <v>8.9752650044603204</v>
      </c>
      <c r="C42" s="15">
        <v>7.7241058986760498</v>
      </c>
      <c r="D42" s="26" t="s">
        <v>80</v>
      </c>
    </row>
    <row r="43" spans="1:4">
      <c r="A43" s="9" t="s">
        <v>201</v>
      </c>
      <c r="B43" s="15">
        <v>5.1988901643499101</v>
      </c>
      <c r="C43" s="15">
        <v>5.2706469609146502</v>
      </c>
      <c r="D43" s="26" t="s">
        <v>80</v>
      </c>
    </row>
    <row r="44" spans="1:4">
      <c r="A44" s="9" t="s">
        <v>202</v>
      </c>
      <c r="B44" s="15">
        <v>4.0188848096017002</v>
      </c>
      <c r="C44" s="15">
        <v>3.84930087213908</v>
      </c>
      <c r="D44" s="26" t="s">
        <v>80</v>
      </c>
    </row>
    <row r="45" spans="1:4">
      <c r="A45" s="9" t="s">
        <v>203</v>
      </c>
      <c r="B45" s="15">
        <v>9.9349764529603402</v>
      </c>
      <c r="C45" s="15">
        <v>10.392241293916101</v>
      </c>
      <c r="D45" s="26" t="s">
        <v>80</v>
      </c>
    </row>
    <row r="46" spans="1:4">
      <c r="A46" s="9" t="s">
        <v>204</v>
      </c>
      <c r="B46" s="15">
        <v>11.4474337724302</v>
      </c>
      <c r="C46" s="15">
        <v>10.874257207308199</v>
      </c>
      <c r="D46" s="26" t="s">
        <v>80</v>
      </c>
    </row>
    <row r="47" spans="1:4">
      <c r="A47" s="9" t="s">
        <v>205</v>
      </c>
      <c r="B47" s="15">
        <v>14.349930964329401</v>
      </c>
      <c r="C47" s="15">
        <v>14.2682233201859</v>
      </c>
      <c r="D47" s="24">
        <v>13.704562663668501</v>
      </c>
    </row>
    <row r="48" spans="1:4">
      <c r="A48" s="9" t="s">
        <v>206</v>
      </c>
      <c r="B48" s="15">
        <v>8.0686836500071095</v>
      </c>
      <c r="C48" s="15">
        <v>9.2894587125365895</v>
      </c>
      <c r="D48" s="26" t="s">
        <v>80</v>
      </c>
    </row>
    <row r="49" spans="1:4">
      <c r="A49" s="9" t="s">
        <v>207</v>
      </c>
      <c r="B49" s="15">
        <v>14.7160678159638</v>
      </c>
      <c r="C49" s="15">
        <v>15.3151970383544</v>
      </c>
      <c r="D49" s="24">
        <v>13.551364012076601</v>
      </c>
    </row>
    <row r="50" spans="1:4">
      <c r="A50" s="9" t="s">
        <v>208</v>
      </c>
      <c r="B50" s="15">
        <v>10.6202102528443</v>
      </c>
      <c r="C50" s="15">
        <v>9.9143669874501796</v>
      </c>
      <c r="D50" s="26" t="s">
        <v>80</v>
      </c>
    </row>
    <row r="51" spans="1:4">
      <c r="A51" s="9" t="s">
        <v>209</v>
      </c>
      <c r="B51" s="15">
        <v>11.582412745666</v>
      </c>
      <c r="C51" s="15">
        <v>11.909141356438001</v>
      </c>
      <c r="D51" s="26" t="s">
        <v>80</v>
      </c>
    </row>
    <row r="52" spans="1:4">
      <c r="A52" s="9" t="s">
        <v>210</v>
      </c>
      <c r="B52" s="15">
        <v>18.5031954932183</v>
      </c>
      <c r="C52" s="15">
        <v>18.676366064504101</v>
      </c>
      <c r="D52" s="24">
        <v>15.247398496681599</v>
      </c>
    </row>
    <row r="53" spans="1:4">
      <c r="A53" s="9" t="s">
        <v>211</v>
      </c>
      <c r="B53" s="15">
        <v>14.507494064534599</v>
      </c>
      <c r="C53" s="15">
        <v>13.7973795641888</v>
      </c>
      <c r="D53" s="24">
        <v>19.762766838703001</v>
      </c>
    </row>
    <row r="54" spans="1:4">
      <c r="A54" s="9" t="s">
        <v>212</v>
      </c>
      <c r="B54" s="15">
        <v>14.7865648991214</v>
      </c>
      <c r="C54" s="15">
        <v>12.2864019422396</v>
      </c>
      <c r="D54" s="24">
        <v>11.696920911523801</v>
      </c>
    </row>
    <row r="55" spans="1:4">
      <c r="A55" s="9" t="s">
        <v>213</v>
      </c>
      <c r="B55" s="15">
        <v>6.3798932352811404</v>
      </c>
      <c r="C55" s="15">
        <v>8.1079942414673898</v>
      </c>
      <c r="D55" s="26" t="s">
        <v>80</v>
      </c>
    </row>
    <row r="56" spans="1:4">
      <c r="A56" s="9" t="s">
        <v>214</v>
      </c>
      <c r="B56" s="15">
        <v>8.5445067396954109</v>
      </c>
      <c r="C56" s="15">
        <v>8.0356097609833501</v>
      </c>
      <c r="D56" s="26" t="s">
        <v>80</v>
      </c>
    </row>
    <row r="57" spans="1:4">
      <c r="A57" s="9" t="s">
        <v>215</v>
      </c>
      <c r="B57" s="15">
        <v>7.9050075093065502</v>
      </c>
      <c r="C57" s="15">
        <v>7.4728763415363497</v>
      </c>
      <c r="D57" s="26" t="s">
        <v>80</v>
      </c>
    </row>
    <row r="58" spans="1:4">
      <c r="A58" s="9" t="s">
        <v>216</v>
      </c>
      <c r="B58" s="15">
        <v>12.893833022931901</v>
      </c>
      <c r="C58" s="15">
        <v>14.0423453474162</v>
      </c>
      <c r="D58" s="24">
        <v>14.0931771248092</v>
      </c>
    </row>
    <row r="59" spans="1:4">
      <c r="A59" s="9" t="s">
        <v>217</v>
      </c>
      <c r="B59" s="15">
        <v>4.4486652432699296</v>
      </c>
      <c r="C59" s="15">
        <v>3.2197357166380902</v>
      </c>
      <c r="D59" s="26" t="s">
        <v>80</v>
      </c>
    </row>
    <row r="60" spans="1:4">
      <c r="A60" s="9" t="s">
        <v>218</v>
      </c>
      <c r="B60" s="15">
        <v>4.39046728976738</v>
      </c>
      <c r="C60" s="15">
        <v>3.6542787648931401</v>
      </c>
      <c r="D60" s="26" t="s">
        <v>80</v>
      </c>
    </row>
    <row r="61" spans="1:4">
      <c r="A61" s="9" t="s">
        <v>219</v>
      </c>
      <c r="B61" s="15">
        <v>6.3405332130841199</v>
      </c>
      <c r="C61" s="15">
        <v>5.7594522750203501</v>
      </c>
      <c r="D61" s="26" t="s">
        <v>80</v>
      </c>
    </row>
    <row r="62" spans="1:4">
      <c r="A62" s="9" t="s">
        <v>220</v>
      </c>
      <c r="B62" s="15">
        <v>9.6398059347400302</v>
      </c>
      <c r="C62" s="15">
        <v>10.3701543023305</v>
      </c>
      <c r="D62" s="26" t="s">
        <v>80</v>
      </c>
    </row>
    <row r="63" spans="1:4">
      <c r="A63" s="9" t="s">
        <v>221</v>
      </c>
      <c r="B63" s="15">
        <v>11.869512802441101</v>
      </c>
      <c r="C63" s="15">
        <v>11.5912906490372</v>
      </c>
      <c r="D63" s="26" t="s">
        <v>80</v>
      </c>
    </row>
    <row r="64" spans="1:4">
      <c r="A64" s="11" t="s">
        <v>222</v>
      </c>
      <c r="B64" s="16">
        <v>1.95454557261704</v>
      </c>
      <c r="C64" s="28" t="s">
        <v>80</v>
      </c>
      <c r="D64" s="29" t="s">
        <v>80</v>
      </c>
    </row>
    <row r="65" spans="1:1" ht="30" customHeight="1">
      <c r="A65" t="s">
        <v>155</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260</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30">
      <c r="A3" s="39" t="s">
        <v>261</v>
      </c>
      <c r="B3" s="15"/>
      <c r="C3" s="15"/>
      <c r="D3" s="24"/>
      <c r="E3" s="15"/>
      <c r="F3" s="15"/>
      <c r="G3" s="24"/>
      <c r="H3" s="15"/>
      <c r="I3" s="15"/>
      <c r="J3" s="24"/>
      <c r="K3" s="15"/>
      <c r="L3" s="15"/>
      <c r="M3" s="24"/>
      <c r="N3" s="15"/>
      <c r="O3" s="15"/>
      <c r="P3" s="24"/>
    </row>
    <row r="4" spans="1:16">
      <c r="A4" s="9" t="s">
        <v>262</v>
      </c>
      <c r="B4" s="15">
        <v>52.926248856066998</v>
      </c>
      <c r="C4" s="15">
        <v>63.394282361580402</v>
      </c>
      <c r="D4" s="24">
        <v>43.768219871145298</v>
      </c>
      <c r="E4" s="15">
        <v>57.749157048833197</v>
      </c>
      <c r="F4" s="15">
        <v>66.015704698442505</v>
      </c>
      <c r="G4" s="24">
        <v>50.474611391563101</v>
      </c>
      <c r="H4" s="15">
        <v>49.827890662183101</v>
      </c>
      <c r="I4" s="15">
        <v>62.509756075464097</v>
      </c>
      <c r="J4" s="24">
        <v>38.633115000449102</v>
      </c>
      <c r="K4" s="20" t="s">
        <v>80</v>
      </c>
      <c r="L4" s="20" t="s">
        <v>80</v>
      </c>
      <c r="M4" s="26" t="s">
        <v>80</v>
      </c>
      <c r="N4" s="15">
        <v>28.7514011636151</v>
      </c>
      <c r="O4" s="20" t="s">
        <v>80</v>
      </c>
      <c r="P4" s="26" t="s">
        <v>80</v>
      </c>
    </row>
    <row r="5" spans="1:16">
      <c r="A5" s="9" t="s">
        <v>263</v>
      </c>
      <c r="B5" s="15">
        <v>31.523688256687699</v>
      </c>
      <c r="C5" s="15">
        <v>24.0056064372206</v>
      </c>
      <c r="D5" s="24">
        <v>38.100932318566997</v>
      </c>
      <c r="E5" s="15">
        <v>30.261018748869802</v>
      </c>
      <c r="F5" s="15">
        <v>22.3821094274868</v>
      </c>
      <c r="G5" s="24">
        <v>37.194443440445902</v>
      </c>
      <c r="H5" s="15">
        <v>32.3486757711118</v>
      </c>
      <c r="I5" s="15">
        <v>25.044164640766599</v>
      </c>
      <c r="J5" s="24">
        <v>38.796651739790498</v>
      </c>
      <c r="K5" s="15">
        <v>50.872218041648999</v>
      </c>
      <c r="L5" s="20" t="s">
        <v>80</v>
      </c>
      <c r="M5" s="26" t="s">
        <v>80</v>
      </c>
      <c r="N5" s="15">
        <v>31.671173060345101</v>
      </c>
      <c r="O5" s="20" t="s">
        <v>80</v>
      </c>
      <c r="P5" s="26" t="s">
        <v>80</v>
      </c>
    </row>
    <row r="6" spans="1:16">
      <c r="A6" s="9" t="s">
        <v>264</v>
      </c>
      <c r="B6" s="15">
        <v>7.03552351298912</v>
      </c>
      <c r="C6" s="15">
        <v>2.7712576038973502</v>
      </c>
      <c r="D6" s="24">
        <v>10.7661450069218</v>
      </c>
      <c r="E6" s="15">
        <v>4.7868892309531104</v>
      </c>
      <c r="F6" s="15">
        <v>2.5361023082036702</v>
      </c>
      <c r="G6" s="24">
        <v>6.7675772918392196</v>
      </c>
      <c r="H6" s="15">
        <v>8.6828326177611697</v>
      </c>
      <c r="I6" s="15">
        <v>2.5923668027091198</v>
      </c>
      <c r="J6" s="24">
        <v>14.0591235854579</v>
      </c>
      <c r="K6" s="20" t="s">
        <v>80</v>
      </c>
      <c r="L6" s="20" t="s">
        <v>80</v>
      </c>
      <c r="M6" s="26" t="s">
        <v>80</v>
      </c>
      <c r="N6" s="20" t="s">
        <v>80</v>
      </c>
      <c r="O6" s="20" t="s">
        <v>80</v>
      </c>
      <c r="P6" s="26" t="s">
        <v>80</v>
      </c>
    </row>
    <row r="7" spans="1:16">
      <c r="A7" s="9" t="s">
        <v>265</v>
      </c>
      <c r="B7" s="15">
        <v>8.5145393742562696</v>
      </c>
      <c r="C7" s="15">
        <v>9.8288535973017002</v>
      </c>
      <c r="D7" s="24">
        <v>7.3647028033659199</v>
      </c>
      <c r="E7" s="15">
        <v>7.2029349713438799</v>
      </c>
      <c r="F7" s="15">
        <v>9.0660835658670305</v>
      </c>
      <c r="G7" s="24">
        <v>5.56336787615174</v>
      </c>
      <c r="H7" s="15">
        <v>9.1406009489439803</v>
      </c>
      <c r="I7" s="15">
        <v>9.8537124810601995</v>
      </c>
      <c r="J7" s="24">
        <v>8.5111096743026007</v>
      </c>
      <c r="K7" s="20" t="s">
        <v>80</v>
      </c>
      <c r="L7" s="20" t="s">
        <v>80</v>
      </c>
      <c r="M7" s="26" t="s">
        <v>80</v>
      </c>
      <c r="N7" s="15">
        <v>23.873087902698799</v>
      </c>
      <c r="O7" s="20" t="s">
        <v>80</v>
      </c>
      <c r="P7" s="26" t="s">
        <v>80</v>
      </c>
    </row>
    <row r="8" spans="1:16" ht="30">
      <c r="A8" s="39" t="s">
        <v>266</v>
      </c>
      <c r="B8" s="15"/>
      <c r="C8" s="15"/>
      <c r="D8" s="24"/>
      <c r="E8" s="15"/>
      <c r="F8" s="15"/>
      <c r="G8" s="24"/>
      <c r="H8" s="15"/>
      <c r="I8" s="15"/>
      <c r="J8" s="24"/>
      <c r="K8" s="15"/>
      <c r="L8" s="15"/>
      <c r="M8" s="24"/>
      <c r="N8" s="15"/>
      <c r="O8" s="15"/>
      <c r="P8" s="24"/>
    </row>
    <row r="9" spans="1:16">
      <c r="A9" s="9" t="s">
        <v>267</v>
      </c>
      <c r="B9" s="15">
        <v>14.636850458763</v>
      </c>
      <c r="C9" s="15">
        <v>19.818615719484001</v>
      </c>
      <c r="D9" s="24">
        <v>10.103548532880801</v>
      </c>
      <c r="E9" s="15">
        <v>17.579260921667</v>
      </c>
      <c r="F9" s="15">
        <v>22.0714309010006</v>
      </c>
      <c r="G9" s="24">
        <v>13.6261601836068</v>
      </c>
      <c r="H9" s="15">
        <v>11.9676687710016</v>
      </c>
      <c r="I9" s="15">
        <v>17.888972067807899</v>
      </c>
      <c r="J9" s="24">
        <v>6.7407041350724501</v>
      </c>
      <c r="K9" s="20" t="s">
        <v>80</v>
      </c>
      <c r="L9" s="20" t="s">
        <v>80</v>
      </c>
      <c r="M9" s="26" t="s">
        <v>80</v>
      </c>
      <c r="N9" s="20" t="s">
        <v>80</v>
      </c>
      <c r="O9" s="20" t="s">
        <v>80</v>
      </c>
      <c r="P9" s="26" t="s">
        <v>80</v>
      </c>
    </row>
    <row r="10" spans="1:16">
      <c r="A10" s="9" t="s">
        <v>268</v>
      </c>
      <c r="B10" s="15">
        <v>46.999992646915402</v>
      </c>
      <c r="C10" s="15">
        <v>53.924748874253702</v>
      </c>
      <c r="D10" s="24">
        <v>40.9418234396732</v>
      </c>
      <c r="E10" s="15">
        <v>48.7003509175468</v>
      </c>
      <c r="F10" s="15">
        <v>52.801418331148199</v>
      </c>
      <c r="G10" s="24">
        <v>45.091419667365699</v>
      </c>
      <c r="H10" s="15">
        <v>47.190937609783298</v>
      </c>
      <c r="I10" s="15">
        <v>56.415976720808999</v>
      </c>
      <c r="J10" s="24">
        <v>39.047636923868197</v>
      </c>
      <c r="K10" s="20" t="s">
        <v>80</v>
      </c>
      <c r="L10" s="20" t="s">
        <v>80</v>
      </c>
      <c r="M10" s="26" t="s">
        <v>80</v>
      </c>
      <c r="N10" s="20" t="s">
        <v>80</v>
      </c>
      <c r="O10" s="20" t="s">
        <v>80</v>
      </c>
      <c r="P10" s="26" t="s">
        <v>80</v>
      </c>
    </row>
    <row r="11" spans="1:16">
      <c r="A11" s="9" t="s">
        <v>269</v>
      </c>
      <c r="B11" s="15">
        <v>14.9359502152123</v>
      </c>
      <c r="C11" s="15">
        <v>9.5085289190330702</v>
      </c>
      <c r="D11" s="24">
        <v>19.684165963434001</v>
      </c>
      <c r="E11" s="15">
        <v>14.5263737559434</v>
      </c>
      <c r="F11" s="15">
        <v>10.6198963851195</v>
      </c>
      <c r="G11" s="24">
        <v>17.964066151570499</v>
      </c>
      <c r="H11" s="15">
        <v>15.159633178937</v>
      </c>
      <c r="I11" s="15">
        <v>7.8929936640716098</v>
      </c>
      <c r="J11" s="24">
        <v>21.574178400211601</v>
      </c>
      <c r="K11" s="20" t="s">
        <v>80</v>
      </c>
      <c r="L11" s="20" t="s">
        <v>80</v>
      </c>
      <c r="M11" s="26" t="s">
        <v>80</v>
      </c>
      <c r="N11" s="20" t="s">
        <v>80</v>
      </c>
      <c r="O11" s="20" t="s">
        <v>80</v>
      </c>
      <c r="P11" s="26" t="s">
        <v>80</v>
      </c>
    </row>
    <row r="12" spans="1:16">
      <c r="A12" s="9" t="s">
        <v>270</v>
      </c>
      <c r="B12" s="15">
        <v>17.1450801328239</v>
      </c>
      <c r="C12" s="15">
        <v>10.7465702593618</v>
      </c>
      <c r="D12" s="24">
        <v>22.742859204758499</v>
      </c>
      <c r="E12" s="15">
        <v>13.8578294540636</v>
      </c>
      <c r="F12" s="15">
        <v>8.9494302872788793</v>
      </c>
      <c r="G12" s="24">
        <v>18.177211057648599</v>
      </c>
      <c r="H12" s="15">
        <v>19.609089785572898</v>
      </c>
      <c r="I12" s="15">
        <v>12.270976271404001</v>
      </c>
      <c r="J12" s="24">
        <v>26.086727884888202</v>
      </c>
      <c r="K12" s="20" t="s">
        <v>80</v>
      </c>
      <c r="L12" s="20" t="s">
        <v>80</v>
      </c>
      <c r="M12" s="26" t="s">
        <v>80</v>
      </c>
      <c r="N12" s="15">
        <v>29.4965646591988</v>
      </c>
      <c r="O12" s="20" t="s">
        <v>80</v>
      </c>
      <c r="P12" s="26" t="s">
        <v>80</v>
      </c>
    </row>
    <row r="13" spans="1:16">
      <c r="A13" s="9" t="s">
        <v>271</v>
      </c>
      <c r="B13" s="15">
        <v>6.2821265462853901</v>
      </c>
      <c r="C13" s="15">
        <v>6.0015362278674296</v>
      </c>
      <c r="D13" s="24">
        <v>6.52760285925351</v>
      </c>
      <c r="E13" s="15">
        <v>5.3361849507792201</v>
      </c>
      <c r="F13" s="15">
        <v>5.5578240954527898</v>
      </c>
      <c r="G13" s="24">
        <v>5.1411429398083701</v>
      </c>
      <c r="H13" s="15">
        <v>6.0726706547052496</v>
      </c>
      <c r="I13" s="15">
        <v>5.5310812759074803</v>
      </c>
      <c r="J13" s="24">
        <v>6.5507526559595401</v>
      </c>
      <c r="K13" s="20" t="s">
        <v>80</v>
      </c>
      <c r="L13" s="20" t="s">
        <v>80</v>
      </c>
      <c r="M13" s="26" t="s">
        <v>80</v>
      </c>
      <c r="N13" s="20" t="s">
        <v>80</v>
      </c>
      <c r="O13" s="20" t="s">
        <v>80</v>
      </c>
      <c r="P13" s="26" t="s">
        <v>80</v>
      </c>
    </row>
    <row r="14" spans="1:16">
      <c r="A14" s="39" t="s">
        <v>272</v>
      </c>
      <c r="B14" s="15"/>
      <c r="C14" s="15"/>
      <c r="D14" s="24"/>
      <c r="E14" s="15"/>
      <c r="F14" s="15"/>
      <c r="G14" s="24"/>
      <c r="H14" s="15"/>
      <c r="I14" s="15"/>
      <c r="J14" s="24"/>
      <c r="K14" s="15"/>
      <c r="L14" s="15"/>
      <c r="M14" s="24"/>
      <c r="N14" s="15"/>
      <c r="O14" s="15"/>
      <c r="P14" s="24"/>
    </row>
    <row r="15" spans="1:16">
      <c r="A15" s="9" t="s">
        <v>273</v>
      </c>
      <c r="B15" s="15">
        <v>58.262181365804203</v>
      </c>
      <c r="C15" s="15">
        <v>70.832745307555001</v>
      </c>
      <c r="D15" s="24">
        <v>47.264739594650898</v>
      </c>
      <c r="E15" s="15">
        <v>69.081222904316803</v>
      </c>
      <c r="F15" s="15">
        <v>76.571980204150506</v>
      </c>
      <c r="G15" s="24">
        <v>62.489371227547501</v>
      </c>
      <c r="H15" s="15">
        <v>49.415280697103299</v>
      </c>
      <c r="I15" s="15">
        <v>67.131189817842099</v>
      </c>
      <c r="J15" s="24">
        <v>33.7767589349465</v>
      </c>
      <c r="K15" s="20" t="s">
        <v>80</v>
      </c>
      <c r="L15" s="20" t="s">
        <v>80</v>
      </c>
      <c r="M15" s="26" t="s">
        <v>80</v>
      </c>
      <c r="N15" s="15">
        <v>30.120799192649901</v>
      </c>
      <c r="O15" s="20" t="s">
        <v>80</v>
      </c>
      <c r="P15" s="26" t="s">
        <v>80</v>
      </c>
    </row>
    <row r="16" spans="1:16">
      <c r="A16" s="9" t="s">
        <v>274</v>
      </c>
      <c r="B16" s="15">
        <v>34.453784035309198</v>
      </c>
      <c r="C16" s="15">
        <v>26.3403273068764</v>
      </c>
      <c r="D16" s="24">
        <v>41.551895810339303</v>
      </c>
      <c r="E16" s="15">
        <v>26.9952422422942</v>
      </c>
      <c r="F16" s="15">
        <v>20.464870111934399</v>
      </c>
      <c r="G16" s="24">
        <v>32.741956860640499</v>
      </c>
      <c r="H16" s="15">
        <v>41.074522227006902</v>
      </c>
      <c r="I16" s="15">
        <v>30.920554416701101</v>
      </c>
      <c r="J16" s="24">
        <v>50.0378243918287</v>
      </c>
      <c r="K16" s="15">
        <v>54.895858382769902</v>
      </c>
      <c r="L16" s="20" t="s">
        <v>80</v>
      </c>
      <c r="M16" s="26" t="s">
        <v>80</v>
      </c>
      <c r="N16" s="15">
        <v>44.361640943670302</v>
      </c>
      <c r="O16" s="20" t="s">
        <v>80</v>
      </c>
      <c r="P16" s="26" t="s">
        <v>80</v>
      </c>
    </row>
    <row r="17" spans="1:16">
      <c r="A17" s="9" t="s">
        <v>275</v>
      </c>
      <c r="B17" s="15">
        <v>7.2840345988866302</v>
      </c>
      <c r="C17" s="15">
        <v>2.8269273855685699</v>
      </c>
      <c r="D17" s="24">
        <v>11.183364595009801</v>
      </c>
      <c r="E17" s="15">
        <v>3.9235348533890302</v>
      </c>
      <c r="F17" s="15">
        <v>2.96314968391501</v>
      </c>
      <c r="G17" s="24">
        <v>4.7686719118119596</v>
      </c>
      <c r="H17" s="15">
        <v>9.5101970758898293</v>
      </c>
      <c r="I17" s="20" t="s">
        <v>80</v>
      </c>
      <c r="J17" s="24">
        <v>16.185416673224701</v>
      </c>
      <c r="K17" s="20" t="s">
        <v>80</v>
      </c>
      <c r="L17" s="20" t="s">
        <v>80</v>
      </c>
      <c r="M17" s="26" t="s">
        <v>80</v>
      </c>
      <c r="N17" s="20" t="s">
        <v>80</v>
      </c>
      <c r="O17" s="20" t="s">
        <v>80</v>
      </c>
      <c r="P17" s="26" t="s">
        <v>80</v>
      </c>
    </row>
    <row r="18" spans="1:16" ht="30">
      <c r="A18" s="39" t="s">
        <v>276</v>
      </c>
      <c r="B18" s="15"/>
      <c r="C18" s="15"/>
      <c r="D18" s="24"/>
      <c r="E18" s="15"/>
      <c r="F18" s="15"/>
      <c r="G18" s="24"/>
      <c r="H18" s="15"/>
      <c r="I18" s="15"/>
      <c r="J18" s="24"/>
      <c r="K18" s="15"/>
      <c r="L18" s="15"/>
      <c r="M18" s="24"/>
      <c r="N18" s="15"/>
      <c r="O18" s="15"/>
      <c r="P18" s="24"/>
    </row>
    <row r="19" spans="1:16">
      <c r="A19" s="9" t="s">
        <v>273</v>
      </c>
      <c r="B19" s="15">
        <v>41.737302150826302</v>
      </c>
      <c r="C19" s="15">
        <v>52.139615019227897</v>
      </c>
      <c r="D19" s="24">
        <v>32.636769303957699</v>
      </c>
      <c r="E19" s="15">
        <v>47.300214591035399</v>
      </c>
      <c r="F19" s="15">
        <v>54.297340768059101</v>
      </c>
      <c r="G19" s="24">
        <v>41.142757330525399</v>
      </c>
      <c r="H19" s="15">
        <v>37.447912847154498</v>
      </c>
      <c r="I19" s="15">
        <v>50.864230376983002</v>
      </c>
      <c r="J19" s="24">
        <v>25.6048077471958</v>
      </c>
      <c r="K19" s="20" t="s">
        <v>80</v>
      </c>
      <c r="L19" s="20" t="s">
        <v>80</v>
      </c>
      <c r="M19" s="26" t="s">
        <v>80</v>
      </c>
      <c r="N19" s="20" t="s">
        <v>80</v>
      </c>
      <c r="O19" s="20" t="s">
        <v>80</v>
      </c>
      <c r="P19" s="26" t="s">
        <v>80</v>
      </c>
    </row>
    <row r="20" spans="1:16">
      <c r="A20" s="9" t="s">
        <v>277</v>
      </c>
      <c r="B20" s="15">
        <v>26.0846463452732</v>
      </c>
      <c r="C20" s="15">
        <v>23.265906163636402</v>
      </c>
      <c r="D20" s="24">
        <v>28.5506400078648</v>
      </c>
      <c r="E20" s="15">
        <v>25.279145396965198</v>
      </c>
      <c r="F20" s="15">
        <v>22.437027192736</v>
      </c>
      <c r="G20" s="24">
        <v>27.780203821397102</v>
      </c>
      <c r="H20" s="15">
        <v>27.187117890485101</v>
      </c>
      <c r="I20" s="15">
        <v>24.137129749063799</v>
      </c>
      <c r="J20" s="24">
        <v>29.8794610041727</v>
      </c>
      <c r="K20" s="20" t="s">
        <v>80</v>
      </c>
      <c r="L20" s="20" t="s">
        <v>80</v>
      </c>
      <c r="M20" s="26" t="s">
        <v>80</v>
      </c>
      <c r="N20" s="20" t="s">
        <v>80</v>
      </c>
      <c r="O20" s="20" t="s">
        <v>80</v>
      </c>
      <c r="P20" s="26" t="s">
        <v>80</v>
      </c>
    </row>
    <row r="21" spans="1:16">
      <c r="A21" s="9" t="s">
        <v>275</v>
      </c>
      <c r="B21" s="15">
        <v>5.4694462292962402</v>
      </c>
      <c r="C21" s="15">
        <v>3.40400201233762</v>
      </c>
      <c r="D21" s="24">
        <v>7.2764138890466104</v>
      </c>
      <c r="E21" s="15">
        <v>5.3378014700780998</v>
      </c>
      <c r="F21" s="15">
        <v>3.4959781631573099</v>
      </c>
      <c r="G21" s="24">
        <v>6.9586023541633297</v>
      </c>
      <c r="H21" s="15">
        <v>5.5445886712886097</v>
      </c>
      <c r="I21" s="15">
        <v>3.2662859832594102</v>
      </c>
      <c r="J21" s="24">
        <v>7.5557350327144599</v>
      </c>
      <c r="K21" s="20" t="s">
        <v>80</v>
      </c>
      <c r="L21" s="20" t="s">
        <v>80</v>
      </c>
      <c r="M21" s="26" t="s">
        <v>80</v>
      </c>
      <c r="N21" s="20" t="s">
        <v>80</v>
      </c>
      <c r="O21" s="20" t="s">
        <v>80</v>
      </c>
      <c r="P21" s="26" t="s">
        <v>80</v>
      </c>
    </row>
    <row r="22" spans="1:16">
      <c r="A22" s="9" t="s">
        <v>278</v>
      </c>
      <c r="B22" s="15">
        <v>26.708605274604299</v>
      </c>
      <c r="C22" s="15">
        <v>21.190476804798099</v>
      </c>
      <c r="D22" s="24">
        <v>31.536176799130899</v>
      </c>
      <c r="E22" s="15">
        <v>22.082838541921401</v>
      </c>
      <c r="F22" s="15">
        <v>19.769653876047599</v>
      </c>
      <c r="G22" s="24">
        <v>24.118436493914199</v>
      </c>
      <c r="H22" s="15">
        <v>29.8203805910718</v>
      </c>
      <c r="I22" s="15">
        <v>21.732353890693801</v>
      </c>
      <c r="J22" s="24">
        <v>36.959996215917101</v>
      </c>
      <c r="K22" s="20" t="s">
        <v>80</v>
      </c>
      <c r="L22" s="20" t="s">
        <v>80</v>
      </c>
      <c r="M22" s="26" t="s">
        <v>80</v>
      </c>
      <c r="N22" s="15">
        <v>50.851889933017901</v>
      </c>
      <c r="O22" s="20" t="s">
        <v>80</v>
      </c>
      <c r="P22" s="24">
        <v>60.413528106934898</v>
      </c>
    </row>
    <row r="23" spans="1:16" ht="30">
      <c r="A23" s="39" t="s">
        <v>279</v>
      </c>
      <c r="B23" s="15"/>
      <c r="C23" s="15"/>
      <c r="D23" s="24"/>
      <c r="E23" s="15"/>
      <c r="F23" s="15"/>
      <c r="G23" s="24"/>
      <c r="H23" s="15"/>
      <c r="I23" s="15"/>
      <c r="J23" s="24"/>
      <c r="K23" s="15"/>
      <c r="L23" s="15"/>
      <c r="M23" s="24"/>
      <c r="N23" s="15"/>
      <c r="O23" s="15"/>
      <c r="P23" s="24"/>
    </row>
    <row r="24" spans="1:16">
      <c r="A24" s="9" t="s">
        <v>262</v>
      </c>
      <c r="B24" s="15">
        <v>49.643427916068099</v>
      </c>
      <c r="C24" s="15">
        <v>54.340060479214102</v>
      </c>
      <c r="D24" s="24">
        <v>45.534547568850499</v>
      </c>
      <c r="E24" s="15">
        <v>55.307817644005098</v>
      </c>
      <c r="F24" s="15">
        <v>59.312980265859203</v>
      </c>
      <c r="G24" s="24">
        <v>51.783282421753398</v>
      </c>
      <c r="H24" s="15">
        <v>45.151563997726903</v>
      </c>
      <c r="I24" s="15">
        <v>49.930894428703802</v>
      </c>
      <c r="J24" s="24">
        <v>40.932663209515397</v>
      </c>
      <c r="K24" s="20" t="s">
        <v>80</v>
      </c>
      <c r="L24" s="20" t="s">
        <v>80</v>
      </c>
      <c r="M24" s="26" t="s">
        <v>80</v>
      </c>
      <c r="N24" s="15">
        <v>29.174211827741399</v>
      </c>
      <c r="O24" s="20" t="s">
        <v>80</v>
      </c>
      <c r="P24" s="26" t="s">
        <v>80</v>
      </c>
    </row>
    <row r="25" spans="1:16">
      <c r="A25" s="9" t="s">
        <v>263</v>
      </c>
      <c r="B25" s="15">
        <v>23.983728828221501</v>
      </c>
      <c r="C25" s="15">
        <v>23.8723776592559</v>
      </c>
      <c r="D25" s="24">
        <v>24.0811451416441</v>
      </c>
      <c r="E25" s="15">
        <v>21.134675746502801</v>
      </c>
      <c r="F25" s="15">
        <v>19.475536616750599</v>
      </c>
      <c r="G25" s="24">
        <v>22.594714914330702</v>
      </c>
      <c r="H25" s="15">
        <v>27.0077400221004</v>
      </c>
      <c r="I25" s="15">
        <v>28.410211084037599</v>
      </c>
      <c r="J25" s="24">
        <v>25.7697242887036</v>
      </c>
      <c r="K25" s="20" t="s">
        <v>80</v>
      </c>
      <c r="L25" s="20" t="s">
        <v>80</v>
      </c>
      <c r="M25" s="26" t="s">
        <v>80</v>
      </c>
      <c r="N25" s="20" t="s">
        <v>80</v>
      </c>
      <c r="O25" s="20" t="s">
        <v>80</v>
      </c>
      <c r="P25" s="26" t="s">
        <v>80</v>
      </c>
    </row>
    <row r="26" spans="1:16">
      <c r="A26" s="9" t="s">
        <v>264</v>
      </c>
      <c r="B26" s="15">
        <v>5.4564491309336898</v>
      </c>
      <c r="C26" s="15">
        <v>4.6335114641303798</v>
      </c>
      <c r="D26" s="24">
        <v>6.1764016417275496</v>
      </c>
      <c r="E26" s="15">
        <v>5.3009508604205804</v>
      </c>
      <c r="F26" s="15">
        <v>4.9059839243789201</v>
      </c>
      <c r="G26" s="24">
        <v>5.6485209865642103</v>
      </c>
      <c r="H26" s="15">
        <v>5.3293211244237702</v>
      </c>
      <c r="I26" s="15">
        <v>4.1356428695751699</v>
      </c>
      <c r="J26" s="24">
        <v>6.3830273292953201</v>
      </c>
      <c r="K26" s="20" t="s">
        <v>80</v>
      </c>
      <c r="L26" s="20" t="s">
        <v>80</v>
      </c>
      <c r="M26" s="26" t="s">
        <v>80</v>
      </c>
      <c r="N26" s="20" t="s">
        <v>80</v>
      </c>
      <c r="O26" s="20" t="s">
        <v>80</v>
      </c>
      <c r="P26" s="26" t="s">
        <v>80</v>
      </c>
    </row>
    <row r="27" spans="1:16">
      <c r="A27" s="9" t="s">
        <v>280</v>
      </c>
      <c r="B27" s="15">
        <v>20.916394124776801</v>
      </c>
      <c r="C27" s="15">
        <v>17.154050397399601</v>
      </c>
      <c r="D27" s="24">
        <v>24.2079056477778</v>
      </c>
      <c r="E27" s="15">
        <v>18.256555749071602</v>
      </c>
      <c r="F27" s="15">
        <v>16.3054991930113</v>
      </c>
      <c r="G27" s="24">
        <v>19.9734816773516</v>
      </c>
      <c r="H27" s="15">
        <v>22.511374855748901</v>
      </c>
      <c r="I27" s="15">
        <v>17.5232516176834</v>
      </c>
      <c r="J27" s="24">
        <v>26.914585172485701</v>
      </c>
      <c r="K27" s="20" t="s">
        <v>80</v>
      </c>
      <c r="L27" s="20" t="s">
        <v>80</v>
      </c>
      <c r="M27" s="26" t="s">
        <v>80</v>
      </c>
      <c r="N27" s="15">
        <v>35.766225550540298</v>
      </c>
      <c r="O27" s="20" t="s">
        <v>80</v>
      </c>
      <c r="P27" s="26" t="s">
        <v>80</v>
      </c>
    </row>
    <row r="28" spans="1:16" ht="30">
      <c r="A28" s="39" t="s">
        <v>281</v>
      </c>
      <c r="B28" s="15"/>
      <c r="C28" s="15"/>
      <c r="D28" s="24"/>
      <c r="E28" s="15"/>
      <c r="F28" s="15"/>
      <c r="G28" s="24"/>
      <c r="H28" s="15"/>
      <c r="I28" s="15"/>
      <c r="J28" s="24"/>
      <c r="K28" s="15"/>
      <c r="L28" s="15"/>
      <c r="M28" s="24"/>
      <c r="N28" s="15"/>
      <c r="O28" s="15"/>
      <c r="P28" s="24"/>
    </row>
    <row r="29" spans="1:16">
      <c r="A29" s="9" t="s">
        <v>262</v>
      </c>
      <c r="B29" s="15">
        <v>58.526784570447298</v>
      </c>
      <c r="C29" s="15">
        <v>63.018101938050599</v>
      </c>
      <c r="D29" s="24">
        <v>54.597525592499899</v>
      </c>
      <c r="E29" s="15">
        <v>61.381425187729299</v>
      </c>
      <c r="F29" s="15">
        <v>64.6276229254523</v>
      </c>
      <c r="G29" s="24">
        <v>58.524777569335797</v>
      </c>
      <c r="H29" s="15">
        <v>56.759436203091298</v>
      </c>
      <c r="I29" s="15">
        <v>62.3542946418574</v>
      </c>
      <c r="J29" s="24">
        <v>51.820637135285899</v>
      </c>
      <c r="K29" s="20" t="s">
        <v>80</v>
      </c>
      <c r="L29" s="20" t="s">
        <v>80</v>
      </c>
      <c r="M29" s="26" t="s">
        <v>80</v>
      </c>
      <c r="N29" s="15">
        <v>42.641485110074697</v>
      </c>
      <c r="O29" s="20" t="s">
        <v>80</v>
      </c>
      <c r="P29" s="26" t="s">
        <v>80</v>
      </c>
    </row>
    <row r="30" spans="1:16">
      <c r="A30" s="9" t="s">
        <v>263</v>
      </c>
      <c r="B30" s="15">
        <v>27.375432344793701</v>
      </c>
      <c r="C30" s="15">
        <v>26.133120048723299</v>
      </c>
      <c r="D30" s="24">
        <v>28.462277549267501</v>
      </c>
      <c r="E30" s="15">
        <v>25.570401372630499</v>
      </c>
      <c r="F30" s="15">
        <v>24.246493631839201</v>
      </c>
      <c r="G30" s="24">
        <v>26.7354375781443</v>
      </c>
      <c r="H30" s="15">
        <v>28.970303018844302</v>
      </c>
      <c r="I30" s="15">
        <v>27.788631501202101</v>
      </c>
      <c r="J30" s="24">
        <v>30.013410409970799</v>
      </c>
      <c r="K30" s="20" t="s">
        <v>80</v>
      </c>
      <c r="L30" s="20" t="s">
        <v>80</v>
      </c>
      <c r="M30" s="26" t="s">
        <v>80</v>
      </c>
      <c r="N30" s="15">
        <v>29.3761092203038</v>
      </c>
      <c r="O30" s="20" t="s">
        <v>80</v>
      </c>
      <c r="P30" s="26" t="s">
        <v>80</v>
      </c>
    </row>
    <row r="31" spans="1:16">
      <c r="A31" s="9" t="s">
        <v>264</v>
      </c>
      <c r="B31" s="15">
        <v>3.4260422244079201</v>
      </c>
      <c r="C31" s="15">
        <v>2.73888873794357</v>
      </c>
      <c r="D31" s="24">
        <v>4.0272030386922903</v>
      </c>
      <c r="E31" s="15">
        <v>3.3746980153114898</v>
      </c>
      <c r="F31" s="15">
        <v>3.0478783340117399</v>
      </c>
      <c r="G31" s="24">
        <v>3.6622986914440299</v>
      </c>
      <c r="H31" s="15">
        <v>3.5506315410008198</v>
      </c>
      <c r="I31" s="15">
        <v>2.51773008444238</v>
      </c>
      <c r="J31" s="24">
        <v>4.4624138151401302</v>
      </c>
      <c r="K31" s="20" t="s">
        <v>80</v>
      </c>
      <c r="L31" s="20" t="s">
        <v>80</v>
      </c>
      <c r="M31" s="26" t="s">
        <v>80</v>
      </c>
      <c r="N31" s="20" t="s">
        <v>80</v>
      </c>
      <c r="O31" s="20" t="s">
        <v>80</v>
      </c>
      <c r="P31" s="26" t="s">
        <v>80</v>
      </c>
    </row>
    <row r="32" spans="1:16">
      <c r="A32" s="9" t="s">
        <v>282</v>
      </c>
      <c r="B32" s="15">
        <v>10.671740860350999</v>
      </c>
      <c r="C32" s="15">
        <v>8.1098892752825105</v>
      </c>
      <c r="D32" s="24">
        <v>12.9129938195404</v>
      </c>
      <c r="E32" s="15">
        <v>9.6734754243287604</v>
      </c>
      <c r="F32" s="15">
        <v>8.0780051086968392</v>
      </c>
      <c r="G32" s="24">
        <v>11.0774861610759</v>
      </c>
      <c r="H32" s="15">
        <v>10.7196292370636</v>
      </c>
      <c r="I32" s="15">
        <v>7.3393437724980997</v>
      </c>
      <c r="J32" s="24">
        <v>13.703538639603201</v>
      </c>
      <c r="K32" s="20" t="s">
        <v>80</v>
      </c>
      <c r="L32" s="20" t="s">
        <v>80</v>
      </c>
      <c r="M32" s="26" t="s">
        <v>80</v>
      </c>
      <c r="N32" s="15">
        <v>26.4093199157311</v>
      </c>
      <c r="O32" s="20" t="s">
        <v>80</v>
      </c>
      <c r="P32" s="26" t="s">
        <v>80</v>
      </c>
    </row>
    <row r="33" spans="1:16">
      <c r="A33" s="39" t="s">
        <v>283</v>
      </c>
      <c r="B33" s="15"/>
      <c r="C33" s="15"/>
      <c r="D33" s="24"/>
      <c r="E33" s="15"/>
      <c r="F33" s="15"/>
      <c r="G33" s="24"/>
      <c r="H33" s="15"/>
      <c r="I33" s="15"/>
      <c r="J33" s="24"/>
      <c r="K33" s="15"/>
      <c r="L33" s="15"/>
      <c r="M33" s="24"/>
      <c r="N33" s="15"/>
      <c r="O33" s="15"/>
      <c r="P33" s="24"/>
    </row>
    <row r="34" spans="1:16">
      <c r="A34" s="9" t="s">
        <v>284</v>
      </c>
      <c r="B34" s="15">
        <v>26.310717549432798</v>
      </c>
      <c r="C34" s="15">
        <v>32.580636044940597</v>
      </c>
      <c r="D34" s="24">
        <v>20.8254375028305</v>
      </c>
      <c r="E34" s="15">
        <v>32.900483241645198</v>
      </c>
      <c r="F34" s="15">
        <v>37.165226426590003</v>
      </c>
      <c r="G34" s="24">
        <v>29.1475176349111</v>
      </c>
      <c r="H34" s="15">
        <v>20.1768302116303</v>
      </c>
      <c r="I34" s="15">
        <v>28.246627084684</v>
      </c>
      <c r="J34" s="24">
        <v>13.0533067641262</v>
      </c>
      <c r="K34" s="20" t="s">
        <v>80</v>
      </c>
      <c r="L34" s="20" t="s">
        <v>80</v>
      </c>
      <c r="M34" s="26" t="s">
        <v>80</v>
      </c>
      <c r="N34" s="20" t="s">
        <v>80</v>
      </c>
      <c r="O34" s="20" t="s">
        <v>80</v>
      </c>
      <c r="P34" s="26" t="s">
        <v>80</v>
      </c>
    </row>
    <row r="35" spans="1:16">
      <c r="A35" s="9" t="s">
        <v>285</v>
      </c>
      <c r="B35" s="15">
        <v>43.562734614208999</v>
      </c>
      <c r="C35" s="15">
        <v>43.122430572408902</v>
      </c>
      <c r="D35" s="24">
        <v>43.947937544144096</v>
      </c>
      <c r="E35" s="15">
        <v>45.103054947203198</v>
      </c>
      <c r="F35" s="15">
        <v>43.007419951204803</v>
      </c>
      <c r="G35" s="24">
        <v>46.947209617996599</v>
      </c>
      <c r="H35" s="15">
        <v>43.436910562291203</v>
      </c>
      <c r="I35" s="15">
        <v>44.329389110385101</v>
      </c>
      <c r="J35" s="24">
        <v>42.649085048990997</v>
      </c>
      <c r="K35" s="20" t="s">
        <v>80</v>
      </c>
      <c r="L35" s="20" t="s">
        <v>80</v>
      </c>
      <c r="M35" s="26" t="s">
        <v>80</v>
      </c>
      <c r="N35" s="20" t="s">
        <v>80</v>
      </c>
      <c r="O35" s="20" t="s">
        <v>80</v>
      </c>
      <c r="P35" s="26" t="s">
        <v>80</v>
      </c>
    </row>
    <row r="36" spans="1:16">
      <c r="A36" s="9" t="s">
        <v>286</v>
      </c>
      <c r="B36" s="15">
        <v>22.533448304938599</v>
      </c>
      <c r="C36" s="15">
        <v>18.8844216160035</v>
      </c>
      <c r="D36" s="24">
        <v>25.725823660483702</v>
      </c>
      <c r="E36" s="15">
        <v>17.151111597651301</v>
      </c>
      <c r="F36" s="15">
        <v>14.684754129973101</v>
      </c>
      <c r="G36" s="24">
        <v>19.321501313680098</v>
      </c>
      <c r="H36" s="15">
        <v>27.3119346568532</v>
      </c>
      <c r="I36" s="15">
        <v>22.540789805025199</v>
      </c>
      <c r="J36" s="24">
        <v>31.5236097161008</v>
      </c>
      <c r="K36" s="20" t="s">
        <v>80</v>
      </c>
      <c r="L36" s="20" t="s">
        <v>80</v>
      </c>
      <c r="M36" s="26" t="s">
        <v>80</v>
      </c>
      <c r="N36" s="15">
        <v>27.821785598744501</v>
      </c>
      <c r="O36" s="20" t="s">
        <v>80</v>
      </c>
      <c r="P36" s="26" t="s">
        <v>80</v>
      </c>
    </row>
    <row r="37" spans="1:16">
      <c r="A37" s="11" t="s">
        <v>287</v>
      </c>
      <c r="B37" s="16">
        <v>7.5930995314195897</v>
      </c>
      <c r="C37" s="16">
        <v>5.41251176664698</v>
      </c>
      <c r="D37" s="25">
        <v>9.5008012925417002</v>
      </c>
      <c r="E37" s="16">
        <v>4.8453502135002697</v>
      </c>
      <c r="F37" s="16">
        <v>5.1425994922320903</v>
      </c>
      <c r="G37" s="25">
        <v>4.5837714334121404</v>
      </c>
      <c r="H37" s="16">
        <v>9.0743245692253591</v>
      </c>
      <c r="I37" s="16">
        <v>4.8831939999056901</v>
      </c>
      <c r="J37" s="25">
        <v>12.773998470782001</v>
      </c>
      <c r="K37" s="28" t="s">
        <v>80</v>
      </c>
      <c r="L37" s="28" t="s">
        <v>80</v>
      </c>
      <c r="M37" s="29" t="s">
        <v>80</v>
      </c>
      <c r="N37" s="16">
        <v>27.738506111654001</v>
      </c>
      <c r="O37" s="28" t="s">
        <v>80</v>
      </c>
      <c r="P37" s="29" t="s">
        <v>80</v>
      </c>
    </row>
    <row r="38" spans="1:16" ht="30" customHeight="1">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S44"/>
  <sheetViews>
    <sheetView zoomScale="55" workbookViewId="0"/>
  </sheetViews>
  <sheetFormatPr defaultColWidth="10.90625" defaultRowHeight="15"/>
  <cols>
    <col min="1" max="1" width="51.6796875" customWidth="1"/>
    <col min="2" max="44" width="13.6796875" customWidth="1"/>
  </cols>
  <sheetData>
    <row r="1" spans="1:45" ht="39.9" customHeight="1">
      <c r="A1" s="10" t="s">
        <v>288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ht="30">
      <c r="A3" s="39" t="s">
        <v>261</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32"/>
      <c r="AK3" s="15"/>
      <c r="AL3" s="15"/>
      <c r="AM3" s="15"/>
      <c r="AN3" s="15"/>
      <c r="AO3" s="15"/>
      <c r="AP3" s="15"/>
      <c r="AQ3" s="15"/>
      <c r="AR3" s="24"/>
      <c r="AS3" s="38"/>
    </row>
    <row r="4" spans="1:45">
      <c r="A4" s="9" t="s">
        <v>262</v>
      </c>
      <c r="B4" s="36">
        <v>51.412597068578997</v>
      </c>
      <c r="C4" s="32">
        <v>52.564848192151501</v>
      </c>
      <c r="D4" s="32">
        <v>52.926248856066998</v>
      </c>
      <c r="E4" s="32">
        <v>63.394282361580402</v>
      </c>
      <c r="F4" s="15">
        <v>52.941176470588204</v>
      </c>
      <c r="G4" s="15">
        <v>72.727272727272705</v>
      </c>
      <c r="H4" s="15">
        <v>63.128491620111703</v>
      </c>
      <c r="I4" s="15">
        <v>48.514851485148498</v>
      </c>
      <c r="J4" s="15">
        <v>65.714285714285694</v>
      </c>
      <c r="K4" s="15">
        <v>40.540540540540498</v>
      </c>
      <c r="L4" s="15">
        <v>73.8317757009346</v>
      </c>
      <c r="M4" s="15">
        <v>69.047619047619094</v>
      </c>
      <c r="N4" s="15">
        <v>63.8888888888889</v>
      </c>
      <c r="O4" s="15">
        <v>62.903225806451601</v>
      </c>
      <c r="P4" s="15">
        <v>57.024793388429799</v>
      </c>
      <c r="Q4" s="15">
        <v>88.235294117647101</v>
      </c>
      <c r="R4" s="15">
        <v>57.446808510638299</v>
      </c>
      <c r="S4" s="15">
        <v>71.739130434782595</v>
      </c>
      <c r="T4" s="15">
        <v>74.418604651162795</v>
      </c>
      <c r="U4" s="15">
        <v>66.071428571428598</v>
      </c>
      <c r="V4" s="15">
        <v>71.052631578947398</v>
      </c>
      <c r="W4" s="15">
        <v>63.043478260869598</v>
      </c>
      <c r="X4" s="15">
        <v>71.171171171171196</v>
      </c>
      <c r="Y4" s="15">
        <v>63.636363636363598</v>
      </c>
      <c r="Z4" s="15">
        <v>62.068965517241402</v>
      </c>
      <c r="AA4" s="15">
        <v>56.521739130434803</v>
      </c>
      <c r="AB4" s="15">
        <v>77.272727272727295</v>
      </c>
      <c r="AC4" s="15">
        <v>59.523809523809497</v>
      </c>
      <c r="AD4" s="15">
        <v>69.565217391304301</v>
      </c>
      <c r="AE4" s="15">
        <v>63.636363636363598</v>
      </c>
      <c r="AF4" s="15">
        <v>81.818181818181799</v>
      </c>
      <c r="AG4" s="15">
        <v>66.6666666666667</v>
      </c>
      <c r="AH4" s="15">
        <v>47.311827956989198</v>
      </c>
      <c r="AI4" s="15">
        <v>67.857142857142804</v>
      </c>
      <c r="AJ4" s="32">
        <v>43.768219871145298</v>
      </c>
      <c r="AK4" s="15">
        <v>37.278106508875702</v>
      </c>
      <c r="AL4" s="15">
        <v>44.4444444444444</v>
      </c>
      <c r="AM4" s="15">
        <v>44.949494949494898</v>
      </c>
      <c r="AN4" s="15">
        <v>67.883211678832097</v>
      </c>
      <c r="AO4" s="15">
        <v>47.005988023952099</v>
      </c>
      <c r="AP4" s="15">
        <v>47.974413646055403</v>
      </c>
      <c r="AQ4" s="15">
        <v>52.205882352941202</v>
      </c>
      <c r="AR4" s="24">
        <v>59.090909090909101</v>
      </c>
      <c r="AS4" s="38"/>
    </row>
    <row r="5" spans="1:45">
      <c r="A5" s="9" t="s">
        <v>263</v>
      </c>
      <c r="B5" s="36">
        <v>33.290941640186297</v>
      </c>
      <c r="C5" s="32">
        <v>32.727005877833101</v>
      </c>
      <c r="D5" s="32">
        <v>31.523688256687699</v>
      </c>
      <c r="E5" s="32">
        <v>24.0056064372206</v>
      </c>
      <c r="F5" s="15">
        <v>37.254901960784302</v>
      </c>
      <c r="G5" s="20" t="s">
        <v>80</v>
      </c>
      <c r="H5" s="15">
        <v>24.022346368715102</v>
      </c>
      <c r="I5" s="15">
        <v>28.712871287128699</v>
      </c>
      <c r="J5" s="15">
        <v>24.285714285714299</v>
      </c>
      <c r="K5" s="15">
        <v>45.945945945945901</v>
      </c>
      <c r="L5" s="15">
        <v>15.887850467289701</v>
      </c>
      <c r="M5" s="15">
        <v>22.619047619047599</v>
      </c>
      <c r="N5" s="15">
        <v>20.8333333333333</v>
      </c>
      <c r="O5" s="15">
        <v>20.9677419354839</v>
      </c>
      <c r="P5" s="15">
        <v>28.925619834710702</v>
      </c>
      <c r="Q5" s="20" t="s">
        <v>80</v>
      </c>
      <c r="R5" s="15">
        <v>31.914893617021299</v>
      </c>
      <c r="S5" s="15">
        <v>17.3913043478261</v>
      </c>
      <c r="T5" s="15">
        <v>23.255813953488399</v>
      </c>
      <c r="U5" s="15">
        <v>25</v>
      </c>
      <c r="V5" s="15">
        <v>23.684210526315798</v>
      </c>
      <c r="W5" s="15">
        <v>21.739130434782599</v>
      </c>
      <c r="X5" s="15">
        <v>18.918918918918902</v>
      </c>
      <c r="Y5" s="15">
        <v>17.424242424242401</v>
      </c>
      <c r="Z5" s="15">
        <v>27.586206896551701</v>
      </c>
      <c r="AA5" s="15">
        <v>28.260869565217401</v>
      </c>
      <c r="AB5" s="15">
        <v>22.727272727272702</v>
      </c>
      <c r="AC5" s="15">
        <v>33.3333333333333</v>
      </c>
      <c r="AD5" s="15">
        <v>21.739130434782599</v>
      </c>
      <c r="AE5" s="15">
        <v>24.2424242424242</v>
      </c>
      <c r="AF5" s="15">
        <v>13.636363636363599</v>
      </c>
      <c r="AG5" s="20" t="s">
        <v>80</v>
      </c>
      <c r="AH5" s="15">
        <v>31.1827956989247</v>
      </c>
      <c r="AI5" s="15">
        <v>17.8571428571429</v>
      </c>
      <c r="AJ5" s="32">
        <v>38.100932318566997</v>
      </c>
      <c r="AK5" s="15">
        <v>43.047337278106497</v>
      </c>
      <c r="AL5" s="15">
        <v>42.701525054466202</v>
      </c>
      <c r="AM5" s="15">
        <v>40.404040404040401</v>
      </c>
      <c r="AN5" s="15">
        <v>24.087591240875899</v>
      </c>
      <c r="AO5" s="15">
        <v>34.730538922155702</v>
      </c>
      <c r="AP5" s="15">
        <v>33.4754797441365</v>
      </c>
      <c r="AQ5" s="15">
        <v>32.352941176470601</v>
      </c>
      <c r="AR5" s="24">
        <v>30.606060606060598</v>
      </c>
      <c r="AS5" s="38"/>
    </row>
    <row r="6" spans="1:45">
      <c r="A6" s="9" t="s">
        <v>264</v>
      </c>
      <c r="B6" s="36">
        <v>6.7829086738774702</v>
      </c>
      <c r="C6" s="32">
        <v>6.2425010898129001</v>
      </c>
      <c r="D6" s="32">
        <v>7.03552351298912</v>
      </c>
      <c r="E6" s="32">
        <v>2.7712576038973502</v>
      </c>
      <c r="F6" s="20" t="s">
        <v>80</v>
      </c>
      <c r="G6" s="20" t="s">
        <v>80</v>
      </c>
      <c r="H6" s="20" t="s">
        <v>80</v>
      </c>
      <c r="I6" s="15">
        <v>4.9504950495049496</v>
      </c>
      <c r="J6" s="20" t="s">
        <v>80</v>
      </c>
      <c r="K6" s="20" t="s">
        <v>80</v>
      </c>
      <c r="L6" s="20" t="s">
        <v>80</v>
      </c>
      <c r="M6" s="20" t="s">
        <v>80</v>
      </c>
      <c r="N6" s="15">
        <v>4.8611111111111098</v>
      </c>
      <c r="O6" s="20" t="s">
        <v>80</v>
      </c>
      <c r="P6" s="20" t="s">
        <v>80</v>
      </c>
      <c r="Q6" s="20" t="s">
        <v>80</v>
      </c>
      <c r="R6" s="20" t="s">
        <v>80</v>
      </c>
      <c r="S6" s="20" t="s">
        <v>80</v>
      </c>
      <c r="T6" s="20" t="s">
        <v>80</v>
      </c>
      <c r="U6" s="20" t="s">
        <v>80</v>
      </c>
      <c r="V6" s="20" t="s">
        <v>80</v>
      </c>
      <c r="W6" s="20" t="s">
        <v>80</v>
      </c>
      <c r="X6" s="20" t="s">
        <v>80</v>
      </c>
      <c r="Y6" s="15">
        <v>4.5454545454545396</v>
      </c>
      <c r="Z6" s="20" t="s">
        <v>80</v>
      </c>
      <c r="AA6" s="20" t="s">
        <v>80</v>
      </c>
      <c r="AB6" s="20" t="s">
        <v>80</v>
      </c>
      <c r="AC6" s="20" t="s">
        <v>80</v>
      </c>
      <c r="AD6" s="20" t="s">
        <v>80</v>
      </c>
      <c r="AE6" s="20" t="s">
        <v>80</v>
      </c>
      <c r="AF6" s="20" t="s">
        <v>80</v>
      </c>
      <c r="AG6" s="20" t="s">
        <v>80</v>
      </c>
      <c r="AH6" s="20" t="s">
        <v>80</v>
      </c>
      <c r="AI6" s="20" t="s">
        <v>80</v>
      </c>
      <c r="AJ6" s="32">
        <v>10.7661450069218</v>
      </c>
      <c r="AK6" s="15">
        <v>11.094674556213</v>
      </c>
      <c r="AL6" s="15">
        <v>4.5751633986928102</v>
      </c>
      <c r="AM6" s="15">
        <v>5.0505050505050502</v>
      </c>
      <c r="AN6" s="20" t="s">
        <v>80</v>
      </c>
      <c r="AO6" s="15">
        <v>11.377245508982</v>
      </c>
      <c r="AP6" s="15">
        <v>9.3816631130063897</v>
      </c>
      <c r="AQ6" s="15">
        <v>7.3529411764705896</v>
      </c>
      <c r="AR6" s="24">
        <v>6.3636363636363598</v>
      </c>
      <c r="AS6" s="38"/>
    </row>
    <row r="7" spans="1:45">
      <c r="A7" s="9" t="s">
        <v>265</v>
      </c>
      <c r="B7" s="36">
        <v>8.5135526173571403</v>
      </c>
      <c r="C7" s="32">
        <v>8.4656448402025006</v>
      </c>
      <c r="D7" s="32">
        <v>8.5145393742562696</v>
      </c>
      <c r="E7" s="32">
        <v>9.8288535973017002</v>
      </c>
      <c r="F7" s="15">
        <v>9.8039215686274499</v>
      </c>
      <c r="G7" s="20" t="s">
        <v>80</v>
      </c>
      <c r="H7" s="15">
        <v>11.173184357541899</v>
      </c>
      <c r="I7" s="15">
        <v>17.821782178217799</v>
      </c>
      <c r="J7" s="15">
        <v>7.1428571428571397</v>
      </c>
      <c r="K7" s="20" t="s">
        <v>80</v>
      </c>
      <c r="L7" s="15">
        <v>6.5420560747663501</v>
      </c>
      <c r="M7" s="20" t="s">
        <v>80</v>
      </c>
      <c r="N7" s="15">
        <v>10.4166666666667</v>
      </c>
      <c r="O7" s="15">
        <v>12.9032258064516</v>
      </c>
      <c r="P7" s="15">
        <v>10.7438016528926</v>
      </c>
      <c r="Q7" s="20" t="s">
        <v>80</v>
      </c>
      <c r="R7" s="20" t="s">
        <v>80</v>
      </c>
      <c r="S7" s="20" t="s">
        <v>80</v>
      </c>
      <c r="T7" s="20" t="s">
        <v>80</v>
      </c>
      <c r="U7" s="20" t="s">
        <v>80</v>
      </c>
      <c r="V7" s="20" t="s">
        <v>80</v>
      </c>
      <c r="W7" s="15">
        <v>10.869565217391299</v>
      </c>
      <c r="X7" s="15">
        <v>8.1081081081081106</v>
      </c>
      <c r="Y7" s="15">
        <v>14.3939393939394</v>
      </c>
      <c r="Z7" s="20" t="s">
        <v>80</v>
      </c>
      <c r="AA7" s="15">
        <v>13.0434782608696</v>
      </c>
      <c r="AB7" s="20" t="s">
        <v>80</v>
      </c>
      <c r="AC7" s="20" t="s">
        <v>80</v>
      </c>
      <c r="AD7" s="20" t="s">
        <v>80</v>
      </c>
      <c r="AE7" s="20" t="s">
        <v>80</v>
      </c>
      <c r="AF7" s="20" t="s">
        <v>80</v>
      </c>
      <c r="AG7" s="20" t="s">
        <v>80</v>
      </c>
      <c r="AH7" s="15">
        <v>17.204301075268798</v>
      </c>
      <c r="AI7" s="15">
        <v>10.714285714285699</v>
      </c>
      <c r="AJ7" s="32">
        <v>7.3647028033659199</v>
      </c>
      <c r="AK7" s="15">
        <v>8.57988165680473</v>
      </c>
      <c r="AL7" s="15">
        <v>8.2788671023965108</v>
      </c>
      <c r="AM7" s="15">
        <v>9.5959595959596005</v>
      </c>
      <c r="AN7" s="15">
        <v>5.10948905109489</v>
      </c>
      <c r="AO7" s="15">
        <v>6.88622754491018</v>
      </c>
      <c r="AP7" s="15">
        <v>9.1684434968017108</v>
      </c>
      <c r="AQ7" s="15">
        <v>8.0882352941176503</v>
      </c>
      <c r="AR7" s="24">
        <v>3.9393939393939399</v>
      </c>
      <c r="AS7" s="38"/>
    </row>
    <row r="8" spans="1:45" ht="30">
      <c r="A8" s="39" t="s">
        <v>266</v>
      </c>
      <c r="B8" s="36"/>
      <c r="C8" s="32"/>
      <c r="D8" s="32"/>
      <c r="E8" s="32"/>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32"/>
      <c r="AK8" s="15"/>
      <c r="AL8" s="15"/>
      <c r="AM8" s="15"/>
      <c r="AN8" s="15"/>
      <c r="AO8" s="15"/>
      <c r="AP8" s="15"/>
      <c r="AQ8" s="15"/>
      <c r="AR8" s="24"/>
      <c r="AS8" s="38"/>
    </row>
    <row r="9" spans="1:45">
      <c r="A9" s="9" t="s">
        <v>267</v>
      </c>
      <c r="B9" s="36">
        <v>15.3555012742789</v>
      </c>
      <c r="C9" s="32">
        <v>15.2308857961863</v>
      </c>
      <c r="D9" s="32">
        <v>14.636850458763</v>
      </c>
      <c r="E9" s="32">
        <v>19.818615719484001</v>
      </c>
      <c r="F9" s="15">
        <v>27.4509803921569</v>
      </c>
      <c r="G9" s="15">
        <v>27.272727272727298</v>
      </c>
      <c r="H9" s="15">
        <v>12.290502793296101</v>
      </c>
      <c r="I9" s="15">
        <v>13.8613861386139</v>
      </c>
      <c r="J9" s="15">
        <v>20</v>
      </c>
      <c r="K9" s="15">
        <v>27.027027027027</v>
      </c>
      <c r="L9" s="15">
        <v>29.906542056074802</v>
      </c>
      <c r="M9" s="15">
        <v>22.619047619047599</v>
      </c>
      <c r="N9" s="15">
        <v>23.6111111111111</v>
      </c>
      <c r="O9" s="15">
        <v>15.322580645161301</v>
      </c>
      <c r="P9" s="15">
        <v>10.7438016528926</v>
      </c>
      <c r="Q9" s="15">
        <v>23.529411764705898</v>
      </c>
      <c r="R9" s="15">
        <v>14.893617021276601</v>
      </c>
      <c r="S9" s="15">
        <v>19.565217391304301</v>
      </c>
      <c r="T9" s="15">
        <v>16.2790697674419</v>
      </c>
      <c r="U9" s="15">
        <v>32.142857142857103</v>
      </c>
      <c r="V9" s="15">
        <v>26.315789473684202</v>
      </c>
      <c r="W9" s="15">
        <v>32.6086956521739</v>
      </c>
      <c r="X9" s="15">
        <v>19.819819819819799</v>
      </c>
      <c r="Y9" s="15">
        <v>18.939393939393899</v>
      </c>
      <c r="Z9" s="15">
        <v>20.689655172413801</v>
      </c>
      <c r="AA9" s="15">
        <v>30.434782608695699</v>
      </c>
      <c r="AB9" s="20" t="s">
        <v>80</v>
      </c>
      <c r="AC9" s="15">
        <v>14.285714285714301</v>
      </c>
      <c r="AD9" s="20" t="s">
        <v>80</v>
      </c>
      <c r="AE9" s="15">
        <v>15.1515151515152</v>
      </c>
      <c r="AF9" s="15">
        <v>13.636363636363599</v>
      </c>
      <c r="AG9" s="20" t="s">
        <v>80</v>
      </c>
      <c r="AH9" s="15">
        <v>16.129032258064498</v>
      </c>
      <c r="AI9" s="15">
        <v>17.8571428571429</v>
      </c>
      <c r="AJ9" s="32">
        <v>10.103548532880801</v>
      </c>
      <c r="AK9" s="15">
        <v>8.1360946745562099</v>
      </c>
      <c r="AL9" s="15">
        <v>14.596949891067499</v>
      </c>
      <c r="AM9" s="15">
        <v>15.1515151515152</v>
      </c>
      <c r="AN9" s="15">
        <v>12.408759124087601</v>
      </c>
      <c r="AO9" s="15">
        <v>11.0778443113772</v>
      </c>
      <c r="AP9" s="15">
        <v>14.712153518123699</v>
      </c>
      <c r="AQ9" s="15">
        <v>5.8823529411764701</v>
      </c>
      <c r="AR9" s="24">
        <v>10.6060606060606</v>
      </c>
      <c r="AS9" s="38"/>
    </row>
    <row r="10" spans="1:45">
      <c r="A10" s="9" t="s">
        <v>268</v>
      </c>
      <c r="B10" s="36">
        <v>44.745349152909299</v>
      </c>
      <c r="C10" s="32">
        <v>45.318583663116698</v>
      </c>
      <c r="D10" s="32">
        <v>46.999992646915402</v>
      </c>
      <c r="E10" s="32">
        <v>53.924748874253702</v>
      </c>
      <c r="F10" s="15">
        <v>58.823529411764703</v>
      </c>
      <c r="G10" s="15">
        <v>59.090909090909101</v>
      </c>
      <c r="H10" s="15">
        <v>50.837988826815597</v>
      </c>
      <c r="I10" s="15">
        <v>49.504950495049499</v>
      </c>
      <c r="J10" s="15">
        <v>52.857142857142897</v>
      </c>
      <c r="K10" s="15">
        <v>45.945945945945901</v>
      </c>
      <c r="L10" s="15">
        <v>53.271028037383203</v>
      </c>
      <c r="M10" s="15">
        <v>55.952380952380999</v>
      </c>
      <c r="N10" s="15">
        <v>58.3333333333333</v>
      </c>
      <c r="O10" s="15">
        <v>54.838709677419402</v>
      </c>
      <c r="P10" s="15">
        <v>48.760330578512402</v>
      </c>
      <c r="Q10" s="15">
        <v>70.588235294117595</v>
      </c>
      <c r="R10" s="15">
        <v>55.319148936170201</v>
      </c>
      <c r="S10" s="15">
        <v>60.869565217391298</v>
      </c>
      <c r="T10" s="15">
        <v>65.116279069767401</v>
      </c>
      <c r="U10" s="15">
        <v>46.428571428571402</v>
      </c>
      <c r="V10" s="15">
        <v>34.210526315789501</v>
      </c>
      <c r="W10" s="15">
        <v>47.826086956521699</v>
      </c>
      <c r="X10" s="15">
        <v>52.252252252252198</v>
      </c>
      <c r="Y10" s="15">
        <v>48.484848484848499</v>
      </c>
      <c r="Z10" s="15">
        <v>72.413793103448299</v>
      </c>
      <c r="AA10" s="15">
        <v>50</v>
      </c>
      <c r="AB10" s="15">
        <v>54.545454545454497</v>
      </c>
      <c r="AC10" s="15">
        <v>57.142857142857103</v>
      </c>
      <c r="AD10" s="15">
        <v>73.913043478260903</v>
      </c>
      <c r="AE10" s="15">
        <v>54.545454545454497</v>
      </c>
      <c r="AF10" s="15">
        <v>65.909090909090907</v>
      </c>
      <c r="AG10" s="15">
        <v>86.6666666666667</v>
      </c>
      <c r="AH10" s="15">
        <v>50.537634408602102</v>
      </c>
      <c r="AI10" s="15">
        <v>53.571428571428598</v>
      </c>
      <c r="AJ10" s="32">
        <v>40.9418234396732</v>
      </c>
      <c r="AK10" s="15">
        <v>33.136094674556198</v>
      </c>
      <c r="AL10" s="15">
        <v>39.433551198257099</v>
      </c>
      <c r="AM10" s="15">
        <v>39.898989898989903</v>
      </c>
      <c r="AN10" s="15">
        <v>54.014598540145997</v>
      </c>
      <c r="AO10" s="15">
        <v>45.808383233532901</v>
      </c>
      <c r="AP10" s="15">
        <v>42.2174840085288</v>
      </c>
      <c r="AQ10" s="15">
        <v>51.470588235294102</v>
      </c>
      <c r="AR10" s="24">
        <v>49.090909090909101</v>
      </c>
      <c r="AS10" s="38"/>
    </row>
    <row r="11" spans="1:45">
      <c r="A11" s="9" t="s">
        <v>269</v>
      </c>
      <c r="B11" s="36">
        <v>14.7884917062672</v>
      </c>
      <c r="C11" s="32">
        <v>14.706087889156001</v>
      </c>
      <c r="D11" s="32">
        <v>14.9359502152123</v>
      </c>
      <c r="E11" s="32">
        <v>9.5085289190330702</v>
      </c>
      <c r="F11" s="20" t="s">
        <v>80</v>
      </c>
      <c r="G11" s="20" t="s">
        <v>80</v>
      </c>
      <c r="H11" s="15">
        <v>13.966480446927401</v>
      </c>
      <c r="I11" s="15">
        <v>11.881188118811901</v>
      </c>
      <c r="J11" s="15">
        <v>10</v>
      </c>
      <c r="K11" s="15">
        <v>16.2162162162162</v>
      </c>
      <c r="L11" s="15">
        <v>7.4766355140186898</v>
      </c>
      <c r="M11" s="15">
        <v>10.714285714285699</v>
      </c>
      <c r="N11" s="15">
        <v>7.6388888888888902</v>
      </c>
      <c r="O11" s="15">
        <v>10.4838709677419</v>
      </c>
      <c r="P11" s="15">
        <v>14.876033057851201</v>
      </c>
      <c r="Q11" s="20" t="s">
        <v>80</v>
      </c>
      <c r="R11" s="20" t="s">
        <v>80</v>
      </c>
      <c r="S11" s="20" t="s">
        <v>80</v>
      </c>
      <c r="T11" s="20" t="s">
        <v>80</v>
      </c>
      <c r="U11" s="20" t="s">
        <v>80</v>
      </c>
      <c r="V11" s="15">
        <v>18.421052631578899</v>
      </c>
      <c r="W11" s="20" t="s">
        <v>80</v>
      </c>
      <c r="X11" s="15">
        <v>9.9099099099099099</v>
      </c>
      <c r="Y11" s="15">
        <v>9.0909090909090899</v>
      </c>
      <c r="Z11" s="20" t="s">
        <v>80</v>
      </c>
      <c r="AA11" s="20" t="s">
        <v>80</v>
      </c>
      <c r="AB11" s="20" t="s">
        <v>80</v>
      </c>
      <c r="AC11" s="20" t="s">
        <v>80</v>
      </c>
      <c r="AD11" s="20" t="s">
        <v>80</v>
      </c>
      <c r="AE11" s="20" t="s">
        <v>80</v>
      </c>
      <c r="AF11" s="20" t="s">
        <v>80</v>
      </c>
      <c r="AG11" s="20" t="s">
        <v>80</v>
      </c>
      <c r="AH11" s="15">
        <v>17.204301075268798</v>
      </c>
      <c r="AI11" s="15">
        <v>8.9285714285714306</v>
      </c>
      <c r="AJ11" s="32">
        <v>19.684165963434001</v>
      </c>
      <c r="AK11" s="15">
        <v>21.4497041420118</v>
      </c>
      <c r="AL11" s="15">
        <v>12.636165577342</v>
      </c>
      <c r="AM11" s="15">
        <v>16.6666666666667</v>
      </c>
      <c r="AN11" s="15">
        <v>18.978102189781001</v>
      </c>
      <c r="AO11" s="15">
        <v>20.6586826347305</v>
      </c>
      <c r="AP11" s="15">
        <v>15.565031982942401</v>
      </c>
      <c r="AQ11" s="15">
        <v>23.529411764705898</v>
      </c>
      <c r="AR11" s="24">
        <v>13.9393939393939</v>
      </c>
      <c r="AS11" s="38"/>
    </row>
    <row r="12" spans="1:45">
      <c r="A12" s="9" t="s">
        <v>270</v>
      </c>
      <c r="B12" s="36">
        <v>18.120517769943</v>
      </c>
      <c r="C12" s="32">
        <v>18.022045730298601</v>
      </c>
      <c r="D12" s="32">
        <v>17.1450801328239</v>
      </c>
      <c r="E12" s="32">
        <v>10.7465702593618</v>
      </c>
      <c r="F12" s="20" t="s">
        <v>80</v>
      </c>
      <c r="G12" s="20" t="s">
        <v>80</v>
      </c>
      <c r="H12" s="15">
        <v>13.966480446927401</v>
      </c>
      <c r="I12" s="15">
        <v>17.821782178217799</v>
      </c>
      <c r="J12" s="15">
        <v>7.1428571428571397</v>
      </c>
      <c r="K12" s="20" t="s">
        <v>80</v>
      </c>
      <c r="L12" s="15">
        <v>6.5420560747663501</v>
      </c>
      <c r="M12" s="15">
        <v>7.1428571428571397</v>
      </c>
      <c r="N12" s="15">
        <v>6.25</v>
      </c>
      <c r="O12" s="15">
        <v>12.0967741935484</v>
      </c>
      <c r="P12" s="15">
        <v>15.702479338843</v>
      </c>
      <c r="Q12" s="20" t="s">
        <v>80</v>
      </c>
      <c r="R12" s="15">
        <v>12.7659574468085</v>
      </c>
      <c r="S12" s="15">
        <v>10.869565217391299</v>
      </c>
      <c r="T12" s="20" t="s">
        <v>80</v>
      </c>
      <c r="U12" s="15">
        <v>10.714285714285699</v>
      </c>
      <c r="V12" s="15">
        <v>15.789473684210501</v>
      </c>
      <c r="W12" s="20" t="s">
        <v>80</v>
      </c>
      <c r="X12" s="15">
        <v>10.8108108108108</v>
      </c>
      <c r="Y12" s="15">
        <v>12.8787878787879</v>
      </c>
      <c r="Z12" s="20" t="s">
        <v>80</v>
      </c>
      <c r="AA12" s="20" t="s">
        <v>80</v>
      </c>
      <c r="AB12" s="15">
        <v>31.818181818181799</v>
      </c>
      <c r="AC12" s="15">
        <v>14.285714285714301</v>
      </c>
      <c r="AD12" s="15">
        <v>10.869565217391299</v>
      </c>
      <c r="AE12" s="20" t="s">
        <v>80</v>
      </c>
      <c r="AF12" s="15">
        <v>13.636363636363599</v>
      </c>
      <c r="AG12" s="20" t="s">
        <v>80</v>
      </c>
      <c r="AH12" s="15">
        <v>11.8279569892473</v>
      </c>
      <c r="AI12" s="15">
        <v>12.5</v>
      </c>
      <c r="AJ12" s="32">
        <v>22.742859204758499</v>
      </c>
      <c r="AK12" s="15">
        <v>31.9526627218935</v>
      </c>
      <c r="AL12" s="15">
        <v>23.747276688453201</v>
      </c>
      <c r="AM12" s="15">
        <v>19.696969696969699</v>
      </c>
      <c r="AN12" s="15">
        <v>9.4890510948905096</v>
      </c>
      <c r="AO12" s="15">
        <v>15.868263473053901</v>
      </c>
      <c r="AP12" s="15">
        <v>21.961620469083201</v>
      </c>
      <c r="AQ12" s="15">
        <v>11.0294117647059</v>
      </c>
      <c r="AR12" s="24">
        <v>20.303030303030301</v>
      </c>
      <c r="AS12" s="38"/>
    </row>
    <row r="13" spans="1:45">
      <c r="A13" s="9" t="s">
        <v>271</v>
      </c>
      <c r="B13" s="36">
        <v>6.99014009660171</v>
      </c>
      <c r="C13" s="32">
        <v>6.7223969212424697</v>
      </c>
      <c r="D13" s="32">
        <v>6.2821265462853901</v>
      </c>
      <c r="E13" s="32">
        <v>6.0015362278674296</v>
      </c>
      <c r="F13" s="20" t="s">
        <v>80</v>
      </c>
      <c r="G13" s="20" t="s">
        <v>80</v>
      </c>
      <c r="H13" s="15">
        <v>8.9385474860335208</v>
      </c>
      <c r="I13" s="15">
        <v>6.9306930693069297</v>
      </c>
      <c r="J13" s="15">
        <v>10</v>
      </c>
      <c r="K13" s="20" t="s">
        <v>80</v>
      </c>
      <c r="L13" s="20" t="s">
        <v>80</v>
      </c>
      <c r="M13" s="20" t="s">
        <v>80</v>
      </c>
      <c r="N13" s="15">
        <v>4.1666666666666696</v>
      </c>
      <c r="O13" s="15">
        <v>7.2580645161290303</v>
      </c>
      <c r="P13" s="15">
        <v>9.9173553719008307</v>
      </c>
      <c r="Q13" s="20" t="s">
        <v>80</v>
      </c>
      <c r="R13" s="15">
        <v>10.6382978723404</v>
      </c>
      <c r="S13" s="20" t="s">
        <v>80</v>
      </c>
      <c r="T13" s="20" t="s">
        <v>80</v>
      </c>
      <c r="U13" s="20" t="s">
        <v>80</v>
      </c>
      <c r="V13" s="20" t="s">
        <v>80</v>
      </c>
      <c r="W13" s="20" t="s">
        <v>80</v>
      </c>
      <c r="X13" s="15">
        <v>7.20720720720721</v>
      </c>
      <c r="Y13" s="15">
        <v>10.6060606060606</v>
      </c>
      <c r="Z13" s="20" t="s">
        <v>80</v>
      </c>
      <c r="AA13" s="20" t="s">
        <v>80</v>
      </c>
      <c r="AB13" s="20" t="s">
        <v>80</v>
      </c>
      <c r="AC13" s="20" t="s">
        <v>80</v>
      </c>
      <c r="AD13" s="20" t="s">
        <v>80</v>
      </c>
      <c r="AE13" s="20" t="s">
        <v>80</v>
      </c>
      <c r="AF13" s="20" t="s">
        <v>80</v>
      </c>
      <c r="AG13" s="20" t="s">
        <v>80</v>
      </c>
      <c r="AH13" s="20" t="s">
        <v>80</v>
      </c>
      <c r="AI13" s="20" t="s">
        <v>80</v>
      </c>
      <c r="AJ13" s="32">
        <v>6.52760285925351</v>
      </c>
      <c r="AK13" s="15">
        <v>5.32544378698225</v>
      </c>
      <c r="AL13" s="15">
        <v>9.5860566448801805</v>
      </c>
      <c r="AM13" s="15">
        <v>8.5858585858585901</v>
      </c>
      <c r="AN13" s="15">
        <v>5.10948905109489</v>
      </c>
      <c r="AO13" s="15">
        <v>6.5868263473053901</v>
      </c>
      <c r="AP13" s="15">
        <v>5.5437100213219601</v>
      </c>
      <c r="AQ13" s="15">
        <v>8.0882352941176503</v>
      </c>
      <c r="AR13" s="24">
        <v>6.0606060606060597</v>
      </c>
      <c r="AS13" s="38"/>
    </row>
    <row r="14" spans="1:45">
      <c r="A14" s="39" t="s">
        <v>272</v>
      </c>
      <c r="B14" s="36"/>
      <c r="C14" s="32"/>
      <c r="D14" s="32"/>
      <c r="E14" s="32"/>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32"/>
      <c r="AK14" s="15"/>
      <c r="AL14" s="15"/>
      <c r="AM14" s="15"/>
      <c r="AN14" s="15"/>
      <c r="AO14" s="15"/>
      <c r="AP14" s="15"/>
      <c r="AQ14" s="15"/>
      <c r="AR14" s="24"/>
      <c r="AS14" s="38"/>
    </row>
    <row r="15" spans="1:45">
      <c r="A15" s="9" t="s">
        <v>273</v>
      </c>
      <c r="B15" s="36">
        <v>57.3251753061665</v>
      </c>
      <c r="C15" s="32">
        <v>59.5234638904805</v>
      </c>
      <c r="D15" s="32">
        <v>58.262181365804203</v>
      </c>
      <c r="E15" s="32">
        <v>70.832745307555001</v>
      </c>
      <c r="F15" s="15">
        <v>64.705882352941202</v>
      </c>
      <c r="G15" s="15">
        <v>72.727272727272705</v>
      </c>
      <c r="H15" s="15">
        <v>70.949720670391102</v>
      </c>
      <c r="I15" s="15">
        <v>58.4158415841584</v>
      </c>
      <c r="J15" s="15">
        <v>77.142857142857196</v>
      </c>
      <c r="K15" s="15">
        <v>83.783783783783804</v>
      </c>
      <c r="L15" s="15">
        <v>80.373831775700907</v>
      </c>
      <c r="M15" s="15">
        <v>76.190476190476204</v>
      </c>
      <c r="N15" s="15">
        <v>70.8333333333333</v>
      </c>
      <c r="O15" s="15">
        <v>66.935483870967701</v>
      </c>
      <c r="P15" s="15">
        <v>61.983471074380198</v>
      </c>
      <c r="Q15" s="15">
        <v>94.117647058823493</v>
      </c>
      <c r="R15" s="15">
        <v>63.829787234042598</v>
      </c>
      <c r="S15" s="15">
        <v>80.434782608695599</v>
      </c>
      <c r="T15" s="15">
        <v>76.744186046511601</v>
      </c>
      <c r="U15" s="15">
        <v>71.428571428571402</v>
      </c>
      <c r="V15" s="15">
        <v>73.684210526315795</v>
      </c>
      <c r="W15" s="15">
        <v>73.913043478260903</v>
      </c>
      <c r="X15" s="15">
        <v>76.576576576576599</v>
      </c>
      <c r="Y15" s="15">
        <v>75</v>
      </c>
      <c r="Z15" s="15">
        <v>75.862068965517295</v>
      </c>
      <c r="AA15" s="15">
        <v>73.913043478260903</v>
      </c>
      <c r="AB15" s="15">
        <v>68.181818181818201</v>
      </c>
      <c r="AC15" s="15">
        <v>66.6666666666667</v>
      </c>
      <c r="AD15" s="15">
        <v>76.086956521739097</v>
      </c>
      <c r="AE15" s="15">
        <v>72.727272727272705</v>
      </c>
      <c r="AF15" s="15">
        <v>72.727272727272705</v>
      </c>
      <c r="AG15" s="15">
        <v>73.3333333333333</v>
      </c>
      <c r="AH15" s="15">
        <v>55.913978494623699</v>
      </c>
      <c r="AI15" s="15">
        <v>55.357142857142897</v>
      </c>
      <c r="AJ15" s="32">
        <v>47.264739594650898</v>
      </c>
      <c r="AK15" s="15">
        <v>44.378698224852101</v>
      </c>
      <c r="AL15" s="15">
        <v>52.941176470588204</v>
      </c>
      <c r="AM15" s="15">
        <v>45.959595959596001</v>
      </c>
      <c r="AN15" s="15">
        <v>61.313868613138702</v>
      </c>
      <c r="AO15" s="15">
        <v>49.101796407185603</v>
      </c>
      <c r="AP15" s="15">
        <v>53.304904051172699</v>
      </c>
      <c r="AQ15" s="15">
        <v>54.411764705882298</v>
      </c>
      <c r="AR15" s="24">
        <v>57.575757575757599</v>
      </c>
      <c r="AS15" s="38"/>
    </row>
    <row r="16" spans="1:45">
      <c r="A16" s="9" t="s">
        <v>274</v>
      </c>
      <c r="B16" s="36">
        <v>35.141830361794</v>
      </c>
      <c r="C16" s="32">
        <v>33.900522947359001</v>
      </c>
      <c r="D16" s="32">
        <v>34.453784035309198</v>
      </c>
      <c r="E16" s="32">
        <v>26.3403273068764</v>
      </c>
      <c r="F16" s="15">
        <v>31.372549019607799</v>
      </c>
      <c r="G16" s="15">
        <v>27.272727272727298</v>
      </c>
      <c r="H16" s="15">
        <v>24.581005586592202</v>
      </c>
      <c r="I16" s="15">
        <v>37.6237623762376</v>
      </c>
      <c r="J16" s="15">
        <v>22.8571428571429</v>
      </c>
      <c r="K16" s="15">
        <v>16.2162162162162</v>
      </c>
      <c r="L16" s="15">
        <v>18.691588785046701</v>
      </c>
      <c r="M16" s="15">
        <v>23.8095238095238</v>
      </c>
      <c r="N16" s="15">
        <v>27.0833333333333</v>
      </c>
      <c r="O16" s="15">
        <v>29.0322580645161</v>
      </c>
      <c r="P16" s="15">
        <v>33.057851239669397</v>
      </c>
      <c r="Q16" s="20" t="s">
        <v>80</v>
      </c>
      <c r="R16" s="15">
        <v>31.914893617021299</v>
      </c>
      <c r="S16" s="15">
        <v>17.3913043478261</v>
      </c>
      <c r="T16" s="15">
        <v>23.255813953488399</v>
      </c>
      <c r="U16" s="15">
        <v>25</v>
      </c>
      <c r="V16" s="15">
        <v>23.684210526315798</v>
      </c>
      <c r="W16" s="15">
        <v>26.086956521739101</v>
      </c>
      <c r="X16" s="15">
        <v>19.819819819819799</v>
      </c>
      <c r="Y16" s="15">
        <v>21.2121212121212</v>
      </c>
      <c r="Z16" s="15">
        <v>20.689655172413801</v>
      </c>
      <c r="AA16" s="15">
        <v>23.913043478260899</v>
      </c>
      <c r="AB16" s="15">
        <v>31.818181818181799</v>
      </c>
      <c r="AC16" s="15">
        <v>33.3333333333333</v>
      </c>
      <c r="AD16" s="15">
        <v>17.3913043478261</v>
      </c>
      <c r="AE16" s="15">
        <v>27.272727272727298</v>
      </c>
      <c r="AF16" s="15">
        <v>25</v>
      </c>
      <c r="AG16" s="20" t="s">
        <v>80</v>
      </c>
      <c r="AH16" s="15">
        <v>37.634408602150501</v>
      </c>
      <c r="AI16" s="15">
        <v>37.5</v>
      </c>
      <c r="AJ16" s="32">
        <v>41.551895810339303</v>
      </c>
      <c r="AK16" s="15">
        <v>43.639053254437897</v>
      </c>
      <c r="AL16" s="15">
        <v>41.176470588235297</v>
      </c>
      <c r="AM16" s="15">
        <v>44.4444444444444</v>
      </c>
      <c r="AN16" s="15">
        <v>34.306569343065703</v>
      </c>
      <c r="AO16" s="15">
        <v>37.125748502994</v>
      </c>
      <c r="AP16" s="15">
        <v>34.754797441364602</v>
      </c>
      <c r="AQ16" s="15">
        <v>34.558823529411796</v>
      </c>
      <c r="AR16" s="24">
        <v>35.454545454545503</v>
      </c>
      <c r="AS16" s="38"/>
    </row>
    <row r="17" spans="1:45">
      <c r="A17" s="9" t="s">
        <v>275</v>
      </c>
      <c r="B17" s="36">
        <v>7.5329943320395998</v>
      </c>
      <c r="C17" s="32">
        <v>6.57601316216049</v>
      </c>
      <c r="D17" s="32">
        <v>7.2840345988866302</v>
      </c>
      <c r="E17" s="32">
        <v>2.8269273855685699</v>
      </c>
      <c r="F17" s="20" t="s">
        <v>80</v>
      </c>
      <c r="G17" s="20" t="s">
        <v>80</v>
      </c>
      <c r="H17" s="15">
        <v>4.4692737430167604</v>
      </c>
      <c r="I17" s="20" t="s">
        <v>80</v>
      </c>
      <c r="J17" s="20" t="s">
        <v>80</v>
      </c>
      <c r="K17" s="20" t="s">
        <v>80</v>
      </c>
      <c r="L17" s="20" t="s">
        <v>80</v>
      </c>
      <c r="M17" s="20" t="s">
        <v>80</v>
      </c>
      <c r="N17" s="20" t="s">
        <v>80</v>
      </c>
      <c r="O17" s="15">
        <v>4.0322580645161299</v>
      </c>
      <c r="P17" s="15">
        <v>4.95867768595041</v>
      </c>
      <c r="Q17" s="20" t="s">
        <v>80</v>
      </c>
      <c r="R17" s="20" t="s">
        <v>80</v>
      </c>
      <c r="S17" s="20" t="s">
        <v>80</v>
      </c>
      <c r="T17" s="20" t="s">
        <v>80</v>
      </c>
      <c r="U17" s="20" t="s">
        <v>80</v>
      </c>
      <c r="V17" s="20" t="s">
        <v>80</v>
      </c>
      <c r="W17" s="20" t="s">
        <v>80</v>
      </c>
      <c r="X17" s="20" t="s">
        <v>80</v>
      </c>
      <c r="Y17" s="15">
        <v>3.7878787878787898</v>
      </c>
      <c r="Z17" s="20" t="s">
        <v>80</v>
      </c>
      <c r="AA17" s="20" t="s">
        <v>80</v>
      </c>
      <c r="AB17" s="20" t="s">
        <v>80</v>
      </c>
      <c r="AC17" s="20" t="s">
        <v>80</v>
      </c>
      <c r="AD17" s="20" t="s">
        <v>80</v>
      </c>
      <c r="AE17" s="20" t="s">
        <v>80</v>
      </c>
      <c r="AF17" s="20" t="s">
        <v>80</v>
      </c>
      <c r="AG17" s="20" t="s">
        <v>80</v>
      </c>
      <c r="AH17" s="15">
        <v>6.4516129032258096</v>
      </c>
      <c r="AI17" s="20" t="s">
        <v>80</v>
      </c>
      <c r="AJ17" s="32">
        <v>11.183364595009801</v>
      </c>
      <c r="AK17" s="15">
        <v>11.982248520710099</v>
      </c>
      <c r="AL17" s="15">
        <v>5.8823529411764701</v>
      </c>
      <c r="AM17" s="15">
        <v>9.5959595959596005</v>
      </c>
      <c r="AN17" s="15">
        <v>4.3795620437956204</v>
      </c>
      <c r="AO17" s="15">
        <v>13.772455089820401</v>
      </c>
      <c r="AP17" s="15">
        <v>11.9402985074627</v>
      </c>
      <c r="AQ17" s="15">
        <v>11.0294117647059</v>
      </c>
      <c r="AR17" s="24">
        <v>6.9696969696969697</v>
      </c>
      <c r="AS17" s="38"/>
    </row>
    <row r="18" spans="1:45" ht="30">
      <c r="A18" s="39" t="s">
        <v>276</v>
      </c>
      <c r="B18" s="36"/>
      <c r="C18" s="32"/>
      <c r="D18" s="32"/>
      <c r="E18" s="32"/>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32"/>
      <c r="AK18" s="15"/>
      <c r="AL18" s="15"/>
      <c r="AM18" s="15"/>
      <c r="AN18" s="15"/>
      <c r="AO18" s="15"/>
      <c r="AP18" s="15"/>
      <c r="AQ18" s="15"/>
      <c r="AR18" s="24"/>
      <c r="AS18" s="38"/>
    </row>
    <row r="19" spans="1:45">
      <c r="A19" s="9" t="s">
        <v>273</v>
      </c>
      <c r="B19" s="36">
        <v>39.564529495395199</v>
      </c>
      <c r="C19" s="32">
        <v>41.776862657464299</v>
      </c>
      <c r="D19" s="32">
        <v>41.737302150826302</v>
      </c>
      <c r="E19" s="32">
        <v>52.139615019227897</v>
      </c>
      <c r="F19" s="15">
        <v>58.823529411764703</v>
      </c>
      <c r="G19" s="15">
        <v>54.545454545454497</v>
      </c>
      <c r="H19" s="15">
        <v>48.603351955307303</v>
      </c>
      <c r="I19" s="15">
        <v>41.5841584158416</v>
      </c>
      <c r="J19" s="15">
        <v>54.285714285714299</v>
      </c>
      <c r="K19" s="15">
        <v>64.864864864864899</v>
      </c>
      <c r="L19" s="15">
        <v>65.420560747663501</v>
      </c>
      <c r="M19" s="15">
        <v>58.3333333333333</v>
      </c>
      <c r="N19" s="15">
        <v>59.0277777777778</v>
      </c>
      <c r="O19" s="15">
        <v>50.806451612903203</v>
      </c>
      <c r="P19" s="15">
        <v>42.148760330578497</v>
      </c>
      <c r="Q19" s="15">
        <v>70.588235294117595</v>
      </c>
      <c r="R19" s="15">
        <v>53.191489361702097</v>
      </c>
      <c r="S19" s="15">
        <v>71.739130434782595</v>
      </c>
      <c r="T19" s="15">
        <v>62.790697674418603</v>
      </c>
      <c r="U19" s="15">
        <v>42.857142857142897</v>
      </c>
      <c r="V19" s="15">
        <v>60.526315789473699</v>
      </c>
      <c r="W19" s="15">
        <v>47.826086956521699</v>
      </c>
      <c r="X19" s="15">
        <v>56.756756756756801</v>
      </c>
      <c r="Y19" s="15">
        <v>36.363636363636402</v>
      </c>
      <c r="Z19" s="15">
        <v>65.517241379310306</v>
      </c>
      <c r="AA19" s="15">
        <v>30.434782608695699</v>
      </c>
      <c r="AB19" s="15">
        <v>59.090909090909101</v>
      </c>
      <c r="AC19" s="15">
        <v>50</v>
      </c>
      <c r="AD19" s="15">
        <v>36.956521739130402</v>
      </c>
      <c r="AE19" s="15">
        <v>48.484848484848499</v>
      </c>
      <c r="AF19" s="15">
        <v>45.454545454545503</v>
      </c>
      <c r="AG19" s="15">
        <v>60</v>
      </c>
      <c r="AH19" s="15">
        <v>49.462365591397798</v>
      </c>
      <c r="AI19" s="15">
        <v>50</v>
      </c>
      <c r="AJ19" s="32">
        <v>32.636769303957699</v>
      </c>
      <c r="AK19" s="15">
        <v>26.479289940828401</v>
      </c>
      <c r="AL19" s="15">
        <v>32.679738562091501</v>
      </c>
      <c r="AM19" s="15">
        <v>37.373737373737399</v>
      </c>
      <c r="AN19" s="15">
        <v>51.0948905109489</v>
      </c>
      <c r="AO19" s="15">
        <v>27.245508982035901</v>
      </c>
      <c r="AP19" s="15">
        <v>37.100213219616201</v>
      </c>
      <c r="AQ19" s="15">
        <v>48.529411764705898</v>
      </c>
      <c r="AR19" s="24">
        <v>50.303030303030297</v>
      </c>
      <c r="AS19" s="38"/>
    </row>
    <row r="20" spans="1:45">
      <c r="A20" s="9" t="s">
        <v>277</v>
      </c>
      <c r="B20" s="36">
        <v>24.486337718556399</v>
      </c>
      <c r="C20" s="32">
        <v>24.276461252360399</v>
      </c>
      <c r="D20" s="32">
        <v>26.0846463452732</v>
      </c>
      <c r="E20" s="32">
        <v>23.265906163636402</v>
      </c>
      <c r="F20" s="15">
        <v>27.4509803921569</v>
      </c>
      <c r="G20" s="20" t="s">
        <v>80</v>
      </c>
      <c r="H20" s="15">
        <v>19.553072625698299</v>
      </c>
      <c r="I20" s="15">
        <v>25.742574257425701</v>
      </c>
      <c r="J20" s="15">
        <v>22.8571428571429</v>
      </c>
      <c r="K20" s="15">
        <v>18.918918918918902</v>
      </c>
      <c r="L20" s="15">
        <v>20.5607476635514</v>
      </c>
      <c r="M20" s="15">
        <v>25</v>
      </c>
      <c r="N20" s="15">
        <v>14.5833333333333</v>
      </c>
      <c r="O20" s="15">
        <v>21.7741935483871</v>
      </c>
      <c r="P20" s="15">
        <v>23.9669421487603</v>
      </c>
      <c r="Q20" s="15">
        <v>26.470588235294102</v>
      </c>
      <c r="R20" s="15">
        <v>19.148936170212799</v>
      </c>
      <c r="S20" s="15">
        <v>23.913043478260899</v>
      </c>
      <c r="T20" s="15">
        <v>20.930232558139501</v>
      </c>
      <c r="U20" s="15">
        <v>33.928571428571402</v>
      </c>
      <c r="V20" s="15">
        <v>15.789473684210501</v>
      </c>
      <c r="W20" s="15">
        <v>17.3913043478261</v>
      </c>
      <c r="X20" s="15">
        <v>25.225225225225198</v>
      </c>
      <c r="Y20" s="15">
        <v>22.727272727272702</v>
      </c>
      <c r="Z20" s="15">
        <v>24.137931034482801</v>
      </c>
      <c r="AA20" s="15">
        <v>23.913043478260899</v>
      </c>
      <c r="AB20" s="15">
        <v>40.909090909090899</v>
      </c>
      <c r="AC20" s="15">
        <v>28.571428571428601</v>
      </c>
      <c r="AD20" s="15">
        <v>19.565217391304301</v>
      </c>
      <c r="AE20" s="15">
        <v>33.3333333333333</v>
      </c>
      <c r="AF20" s="15">
        <v>31.818181818181799</v>
      </c>
      <c r="AG20" s="20" t="s">
        <v>80</v>
      </c>
      <c r="AH20" s="15">
        <v>26.881720430107499</v>
      </c>
      <c r="AI20" s="15">
        <v>28.571428571428601</v>
      </c>
      <c r="AJ20" s="32">
        <v>28.5506400078648</v>
      </c>
      <c r="AK20" s="15">
        <v>25.1479289940828</v>
      </c>
      <c r="AL20" s="15">
        <v>27.8867102396514</v>
      </c>
      <c r="AM20" s="15">
        <v>29.292929292929301</v>
      </c>
      <c r="AN20" s="15">
        <v>27.737226277372301</v>
      </c>
      <c r="AO20" s="15">
        <v>28.742514970059901</v>
      </c>
      <c r="AP20" s="15">
        <v>28.784648187633302</v>
      </c>
      <c r="AQ20" s="15">
        <v>29.411764705882401</v>
      </c>
      <c r="AR20" s="24">
        <v>26.6666666666667</v>
      </c>
      <c r="AS20" s="38"/>
    </row>
    <row r="21" spans="1:45">
      <c r="A21" s="9" t="s">
        <v>275</v>
      </c>
      <c r="B21" s="36">
        <v>5.2809516995041204</v>
      </c>
      <c r="C21" s="32">
        <v>5.0111181195288799</v>
      </c>
      <c r="D21" s="32">
        <v>5.4694462292962402</v>
      </c>
      <c r="E21" s="32">
        <v>3.40400201233762</v>
      </c>
      <c r="F21" s="20" t="s">
        <v>80</v>
      </c>
      <c r="G21" s="20" t="s">
        <v>80</v>
      </c>
      <c r="H21" s="15">
        <v>5.5865921787709496</v>
      </c>
      <c r="I21" s="15">
        <v>5.9405940594059397</v>
      </c>
      <c r="J21" s="20" t="s">
        <v>80</v>
      </c>
      <c r="K21" s="20" t="s">
        <v>80</v>
      </c>
      <c r="L21" s="15">
        <v>4.6728971962616797</v>
      </c>
      <c r="M21" s="20" t="s">
        <v>80</v>
      </c>
      <c r="N21" s="15">
        <v>4.1666666666666696</v>
      </c>
      <c r="O21" s="20" t="s">
        <v>80</v>
      </c>
      <c r="P21" s="15">
        <v>4.1322314049586799</v>
      </c>
      <c r="Q21" s="20" t="s">
        <v>80</v>
      </c>
      <c r="R21" s="20" t="s">
        <v>80</v>
      </c>
      <c r="S21" s="20" t="s">
        <v>80</v>
      </c>
      <c r="T21" s="20" t="s">
        <v>80</v>
      </c>
      <c r="U21" s="20" t="s">
        <v>80</v>
      </c>
      <c r="V21" s="20" t="s">
        <v>80</v>
      </c>
      <c r="W21" s="20" t="s">
        <v>80</v>
      </c>
      <c r="X21" s="20" t="s">
        <v>80</v>
      </c>
      <c r="Y21" s="15">
        <v>3.7878787878787898</v>
      </c>
      <c r="Z21" s="20" t="s">
        <v>80</v>
      </c>
      <c r="AA21" s="20" t="s">
        <v>80</v>
      </c>
      <c r="AB21" s="20" t="s">
        <v>80</v>
      </c>
      <c r="AC21" s="20" t="s">
        <v>80</v>
      </c>
      <c r="AD21" s="20" t="s">
        <v>80</v>
      </c>
      <c r="AE21" s="20" t="s">
        <v>80</v>
      </c>
      <c r="AF21" s="20" t="s">
        <v>80</v>
      </c>
      <c r="AG21" s="20" t="s">
        <v>80</v>
      </c>
      <c r="AH21" s="20" t="s">
        <v>80</v>
      </c>
      <c r="AI21" s="20" t="s">
        <v>80</v>
      </c>
      <c r="AJ21" s="32">
        <v>7.2764138890466104</v>
      </c>
      <c r="AK21" s="15">
        <v>6.95266272189349</v>
      </c>
      <c r="AL21" s="15">
        <v>6.3180827886710196</v>
      </c>
      <c r="AM21" s="15">
        <v>9.5959595959596005</v>
      </c>
      <c r="AN21" s="15">
        <v>3.6496350364963499</v>
      </c>
      <c r="AO21" s="15">
        <v>9.5808383233532908</v>
      </c>
      <c r="AP21" s="15">
        <v>7.2494669509594898</v>
      </c>
      <c r="AQ21" s="15">
        <v>5.1470588235294104</v>
      </c>
      <c r="AR21" s="24">
        <v>3.3333333333333299</v>
      </c>
      <c r="AS21" s="38"/>
    </row>
    <row r="22" spans="1:45">
      <c r="A22" s="9" t="s">
        <v>278</v>
      </c>
      <c r="B22" s="36">
        <v>30.668181086544202</v>
      </c>
      <c r="C22" s="32">
        <v>28.935557970646499</v>
      </c>
      <c r="D22" s="32">
        <v>26.708605274604299</v>
      </c>
      <c r="E22" s="32">
        <v>21.190476804798099</v>
      </c>
      <c r="F22" s="15">
        <v>11.764705882352899</v>
      </c>
      <c r="G22" s="15">
        <v>31.818181818181799</v>
      </c>
      <c r="H22" s="15">
        <v>26.256983240223501</v>
      </c>
      <c r="I22" s="15">
        <v>26.7326732673267</v>
      </c>
      <c r="J22" s="15">
        <v>21.428571428571399</v>
      </c>
      <c r="K22" s="15">
        <v>13.5135135135135</v>
      </c>
      <c r="L22" s="15">
        <v>9.3457943925233593</v>
      </c>
      <c r="M22" s="15">
        <v>13.0952380952381</v>
      </c>
      <c r="N22" s="15">
        <v>22.2222222222222</v>
      </c>
      <c r="O22" s="15">
        <v>25</v>
      </c>
      <c r="P22" s="15">
        <v>29.752066115702501</v>
      </c>
      <c r="Q22" s="20" t="s">
        <v>80</v>
      </c>
      <c r="R22" s="15">
        <v>23.404255319148898</v>
      </c>
      <c r="S22" s="20" t="s">
        <v>80</v>
      </c>
      <c r="T22" s="15">
        <v>16.2790697674419</v>
      </c>
      <c r="U22" s="15">
        <v>17.8571428571429</v>
      </c>
      <c r="V22" s="15">
        <v>23.684210526315798</v>
      </c>
      <c r="W22" s="15">
        <v>30.434782608695699</v>
      </c>
      <c r="X22" s="15">
        <v>16.2162162162162</v>
      </c>
      <c r="Y22" s="15">
        <v>37.121212121212103</v>
      </c>
      <c r="Z22" s="20" t="s">
        <v>80</v>
      </c>
      <c r="AA22" s="15">
        <v>43.478260869565197</v>
      </c>
      <c r="AB22" s="20" t="s">
        <v>80</v>
      </c>
      <c r="AC22" s="15">
        <v>21.428571428571399</v>
      </c>
      <c r="AD22" s="15">
        <v>34.7826086956522</v>
      </c>
      <c r="AE22" s="20" t="s">
        <v>80</v>
      </c>
      <c r="AF22" s="15">
        <v>22.727272727272702</v>
      </c>
      <c r="AG22" s="20" t="s">
        <v>80</v>
      </c>
      <c r="AH22" s="15">
        <v>19.354838709677399</v>
      </c>
      <c r="AI22" s="15">
        <v>19.6428571428571</v>
      </c>
      <c r="AJ22" s="32">
        <v>31.536176799130899</v>
      </c>
      <c r="AK22" s="15">
        <v>41.420118343195298</v>
      </c>
      <c r="AL22" s="15">
        <v>33.1154684095861</v>
      </c>
      <c r="AM22" s="15">
        <v>23.737373737373701</v>
      </c>
      <c r="AN22" s="15">
        <v>17.518248175182499</v>
      </c>
      <c r="AO22" s="15">
        <v>34.431137724550901</v>
      </c>
      <c r="AP22" s="15">
        <v>26.865671641791</v>
      </c>
      <c r="AQ22" s="15">
        <v>16.911764705882401</v>
      </c>
      <c r="AR22" s="24">
        <v>19.696969696969699</v>
      </c>
      <c r="AS22" s="38"/>
    </row>
    <row r="23" spans="1:45" ht="30">
      <c r="A23" s="39" t="s">
        <v>279</v>
      </c>
      <c r="B23" s="36"/>
      <c r="C23" s="32"/>
      <c r="D23" s="32"/>
      <c r="E23" s="32"/>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32"/>
      <c r="AK23" s="15"/>
      <c r="AL23" s="15"/>
      <c r="AM23" s="15"/>
      <c r="AN23" s="15"/>
      <c r="AO23" s="15"/>
      <c r="AP23" s="15"/>
      <c r="AQ23" s="15"/>
      <c r="AR23" s="24"/>
      <c r="AS23" s="38"/>
    </row>
    <row r="24" spans="1:45">
      <c r="A24" s="9" t="s">
        <v>262</v>
      </c>
      <c r="B24" s="36">
        <v>46.864163425930101</v>
      </c>
      <c r="C24" s="32">
        <v>49.188140709941102</v>
      </c>
      <c r="D24" s="32">
        <v>49.643427916068099</v>
      </c>
      <c r="E24" s="32">
        <v>54.340060479214102</v>
      </c>
      <c r="F24" s="15">
        <v>56.862745098039198</v>
      </c>
      <c r="G24" s="15">
        <v>68.181818181818201</v>
      </c>
      <c r="H24" s="15">
        <v>40.782122905027897</v>
      </c>
      <c r="I24" s="15">
        <v>40.594059405940598</v>
      </c>
      <c r="J24" s="15">
        <v>65.714285714285694</v>
      </c>
      <c r="K24" s="15">
        <v>75.675675675675706</v>
      </c>
      <c r="L24" s="15">
        <v>58.878504672897201</v>
      </c>
      <c r="M24" s="15">
        <v>66.6666666666667</v>
      </c>
      <c r="N24" s="15">
        <v>56.9444444444444</v>
      </c>
      <c r="O24" s="15">
        <v>51.612903225806498</v>
      </c>
      <c r="P24" s="15">
        <v>52.066115702479301</v>
      </c>
      <c r="Q24" s="15">
        <v>67.647058823529406</v>
      </c>
      <c r="R24" s="15">
        <v>46.808510638297903</v>
      </c>
      <c r="S24" s="15">
        <v>76.086956521739097</v>
      </c>
      <c r="T24" s="15">
        <v>46.511627906976699</v>
      </c>
      <c r="U24" s="15">
        <v>62.5</v>
      </c>
      <c r="V24" s="15">
        <v>50</v>
      </c>
      <c r="W24" s="15">
        <v>45.652173913043498</v>
      </c>
      <c r="X24" s="15">
        <v>60.360360360360403</v>
      </c>
      <c r="Y24" s="15">
        <v>37.878787878787897</v>
      </c>
      <c r="Z24" s="15">
        <v>58.620689655172399</v>
      </c>
      <c r="AA24" s="15">
        <v>58.695652173912997</v>
      </c>
      <c r="AB24" s="15">
        <v>59.090909090909101</v>
      </c>
      <c r="AC24" s="15">
        <v>57.142857142857103</v>
      </c>
      <c r="AD24" s="15">
        <v>54.347826086956502</v>
      </c>
      <c r="AE24" s="15">
        <v>66.6666666666667</v>
      </c>
      <c r="AF24" s="15">
        <v>63.636363636363598</v>
      </c>
      <c r="AG24" s="15">
        <v>73.3333333333333</v>
      </c>
      <c r="AH24" s="15">
        <v>52.688172043010802</v>
      </c>
      <c r="AI24" s="15">
        <v>48.214285714285701</v>
      </c>
      <c r="AJ24" s="32">
        <v>45.534547568850499</v>
      </c>
      <c r="AK24" s="15">
        <v>39.349112426035497</v>
      </c>
      <c r="AL24" s="15">
        <v>43.355119825708101</v>
      </c>
      <c r="AM24" s="15">
        <v>45.454545454545503</v>
      </c>
      <c r="AN24" s="15">
        <v>63.503649635036503</v>
      </c>
      <c r="AO24" s="15">
        <v>42.814371257485</v>
      </c>
      <c r="AP24" s="15">
        <v>47.121535181236702</v>
      </c>
      <c r="AQ24" s="15">
        <v>50</v>
      </c>
      <c r="AR24" s="24">
        <v>60.909090909090899</v>
      </c>
      <c r="AS24" s="38"/>
    </row>
    <row r="25" spans="1:45">
      <c r="A25" s="9" t="s">
        <v>263</v>
      </c>
      <c r="B25" s="36">
        <v>23.013222353707199</v>
      </c>
      <c r="C25" s="32">
        <v>22.715003386786201</v>
      </c>
      <c r="D25" s="32">
        <v>23.983728828221501</v>
      </c>
      <c r="E25" s="32">
        <v>23.8723776592559</v>
      </c>
      <c r="F25" s="15">
        <v>35.294117647058798</v>
      </c>
      <c r="G25" s="20" t="s">
        <v>80</v>
      </c>
      <c r="H25" s="15">
        <v>25.139664804469302</v>
      </c>
      <c r="I25" s="15">
        <v>26.7326732673267</v>
      </c>
      <c r="J25" s="15">
        <v>14.285714285714301</v>
      </c>
      <c r="K25" s="15">
        <v>13.5135135135135</v>
      </c>
      <c r="L25" s="15">
        <v>24.299065420560702</v>
      </c>
      <c r="M25" s="15">
        <v>17.8571428571429</v>
      </c>
      <c r="N25" s="15">
        <v>22.9166666666667</v>
      </c>
      <c r="O25" s="15">
        <v>30.645161290322601</v>
      </c>
      <c r="P25" s="15">
        <v>28.925619834710702</v>
      </c>
      <c r="Q25" s="15">
        <v>23.529411764705898</v>
      </c>
      <c r="R25" s="15">
        <v>23.404255319148898</v>
      </c>
      <c r="S25" s="15">
        <v>10.869565217391299</v>
      </c>
      <c r="T25" s="15">
        <v>34.883720930232599</v>
      </c>
      <c r="U25" s="15">
        <v>25</v>
      </c>
      <c r="V25" s="15">
        <v>23.684210526315798</v>
      </c>
      <c r="W25" s="15">
        <v>23.913043478260899</v>
      </c>
      <c r="X25" s="15">
        <v>24.324324324324301</v>
      </c>
      <c r="Y25" s="15">
        <v>19.696969696969699</v>
      </c>
      <c r="Z25" s="15">
        <v>34.482758620689701</v>
      </c>
      <c r="AA25" s="15">
        <v>15.2173913043478</v>
      </c>
      <c r="AB25" s="15">
        <v>27.272727272727298</v>
      </c>
      <c r="AC25" s="15">
        <v>23.8095238095238</v>
      </c>
      <c r="AD25" s="15">
        <v>15.2173913043478</v>
      </c>
      <c r="AE25" s="15">
        <v>27.272727272727298</v>
      </c>
      <c r="AF25" s="15">
        <v>20.454545454545499</v>
      </c>
      <c r="AG25" s="20" t="s">
        <v>80</v>
      </c>
      <c r="AH25" s="15">
        <v>27.9569892473118</v>
      </c>
      <c r="AI25" s="15">
        <v>37.5</v>
      </c>
      <c r="AJ25" s="32">
        <v>24.0811451416441</v>
      </c>
      <c r="AK25" s="15">
        <v>21.5976331360947</v>
      </c>
      <c r="AL25" s="15">
        <v>25.2723311546841</v>
      </c>
      <c r="AM25" s="15">
        <v>24.2424242424242</v>
      </c>
      <c r="AN25" s="15">
        <v>21.897810218978101</v>
      </c>
      <c r="AO25" s="15">
        <v>27.8443113772455</v>
      </c>
      <c r="AP25" s="15">
        <v>24.3070362473348</v>
      </c>
      <c r="AQ25" s="15">
        <v>32.352941176470601</v>
      </c>
      <c r="AR25" s="24">
        <v>20.909090909090899</v>
      </c>
      <c r="AS25" s="38"/>
    </row>
    <row r="26" spans="1:45">
      <c r="A26" s="9" t="s">
        <v>264</v>
      </c>
      <c r="B26" s="36">
        <v>6.1962712228488801</v>
      </c>
      <c r="C26" s="32">
        <v>5.7216081292782297</v>
      </c>
      <c r="D26" s="32">
        <v>5.4564491309336898</v>
      </c>
      <c r="E26" s="32">
        <v>4.6335114641303798</v>
      </c>
      <c r="F26" s="20" t="s">
        <v>80</v>
      </c>
      <c r="G26" s="20" t="s">
        <v>80</v>
      </c>
      <c r="H26" s="15">
        <v>6.7039106145251397</v>
      </c>
      <c r="I26" s="15">
        <v>6.9306930693069297</v>
      </c>
      <c r="J26" s="20" t="s">
        <v>80</v>
      </c>
      <c r="K26" s="20" t="s">
        <v>80</v>
      </c>
      <c r="L26" s="15">
        <v>4.6728971962616797</v>
      </c>
      <c r="M26" s="20" t="s">
        <v>80</v>
      </c>
      <c r="N26" s="15">
        <v>5.5555555555555598</v>
      </c>
      <c r="O26" s="15">
        <v>4.0322580645161299</v>
      </c>
      <c r="P26" s="15">
        <v>7.4380165289256199</v>
      </c>
      <c r="Q26" s="20" t="s">
        <v>80</v>
      </c>
      <c r="R26" s="20" t="s">
        <v>80</v>
      </c>
      <c r="S26" s="20" t="s">
        <v>80</v>
      </c>
      <c r="T26" s="20" t="s">
        <v>80</v>
      </c>
      <c r="U26" s="20" t="s">
        <v>80</v>
      </c>
      <c r="V26" s="20" t="s">
        <v>80</v>
      </c>
      <c r="W26" s="15">
        <v>10.869565217391299</v>
      </c>
      <c r="X26" s="15">
        <v>4.5045045045045002</v>
      </c>
      <c r="Y26" s="15">
        <v>7.5757575757575797</v>
      </c>
      <c r="Z26" s="20" t="s">
        <v>80</v>
      </c>
      <c r="AA26" s="20" t="s">
        <v>80</v>
      </c>
      <c r="AB26" s="20" t="s">
        <v>80</v>
      </c>
      <c r="AC26" s="20" t="s">
        <v>80</v>
      </c>
      <c r="AD26" s="20" t="s">
        <v>80</v>
      </c>
      <c r="AE26" s="20" t="s">
        <v>80</v>
      </c>
      <c r="AF26" s="20" t="s">
        <v>80</v>
      </c>
      <c r="AG26" s="20" t="s">
        <v>80</v>
      </c>
      <c r="AH26" s="20" t="s">
        <v>80</v>
      </c>
      <c r="AI26" s="20" t="s">
        <v>80</v>
      </c>
      <c r="AJ26" s="32">
        <v>6.1764016417275496</v>
      </c>
      <c r="AK26" s="15">
        <v>5.6213017751479297</v>
      </c>
      <c r="AL26" s="15">
        <v>5.6644880174291901</v>
      </c>
      <c r="AM26" s="15">
        <v>9.5959595959596005</v>
      </c>
      <c r="AN26" s="20" t="s">
        <v>80</v>
      </c>
      <c r="AO26" s="15">
        <v>6.2874251497006002</v>
      </c>
      <c r="AP26" s="15">
        <v>6.3965884861407201</v>
      </c>
      <c r="AQ26" s="15">
        <v>3.6764705882352899</v>
      </c>
      <c r="AR26" s="24">
        <v>3.9393939393939399</v>
      </c>
      <c r="AS26" s="38"/>
    </row>
    <row r="27" spans="1:45">
      <c r="A27" s="9" t="s">
        <v>280</v>
      </c>
      <c r="B27" s="36">
        <v>23.926342997513899</v>
      </c>
      <c r="C27" s="32">
        <v>22.375247773994399</v>
      </c>
      <c r="D27" s="32">
        <v>20.916394124776801</v>
      </c>
      <c r="E27" s="32">
        <v>17.154050397399601</v>
      </c>
      <c r="F27" s="20" t="s">
        <v>80</v>
      </c>
      <c r="G27" s="20" t="s">
        <v>80</v>
      </c>
      <c r="H27" s="15">
        <v>27.374301675977701</v>
      </c>
      <c r="I27" s="15">
        <v>25.742574257425701</v>
      </c>
      <c r="J27" s="15">
        <v>14.285714285714301</v>
      </c>
      <c r="K27" s="20" t="s">
        <v>80</v>
      </c>
      <c r="L27" s="15">
        <v>12.1495327102804</v>
      </c>
      <c r="M27" s="15">
        <v>15.476190476190499</v>
      </c>
      <c r="N27" s="15">
        <v>14.5833333333333</v>
      </c>
      <c r="O27" s="15">
        <v>13.709677419354801</v>
      </c>
      <c r="P27" s="15">
        <v>11.5702479338843</v>
      </c>
      <c r="Q27" s="20" t="s">
        <v>80</v>
      </c>
      <c r="R27" s="15">
        <v>27.659574468085101</v>
      </c>
      <c r="S27" s="15">
        <v>10.869565217391299</v>
      </c>
      <c r="T27" s="15">
        <v>13.953488372093</v>
      </c>
      <c r="U27" s="15">
        <v>10.714285714285699</v>
      </c>
      <c r="V27" s="15">
        <v>21.052631578947398</v>
      </c>
      <c r="W27" s="15">
        <v>19.565217391304301</v>
      </c>
      <c r="X27" s="15">
        <v>10.8108108108108</v>
      </c>
      <c r="Y27" s="15">
        <v>34.848484848484802</v>
      </c>
      <c r="Z27" s="20" t="s">
        <v>80</v>
      </c>
      <c r="AA27" s="15">
        <v>26.086956521739101</v>
      </c>
      <c r="AB27" s="20" t="s">
        <v>80</v>
      </c>
      <c r="AC27" s="15">
        <v>14.285714285714301</v>
      </c>
      <c r="AD27" s="15">
        <v>21.739130434782599</v>
      </c>
      <c r="AE27" s="20" t="s">
        <v>80</v>
      </c>
      <c r="AF27" s="15">
        <v>15.909090909090899</v>
      </c>
      <c r="AG27" s="20" t="s">
        <v>80</v>
      </c>
      <c r="AH27" s="15">
        <v>16.129032258064498</v>
      </c>
      <c r="AI27" s="15">
        <v>10.714285714285699</v>
      </c>
      <c r="AJ27" s="32">
        <v>24.2079056477778</v>
      </c>
      <c r="AK27" s="15">
        <v>33.431952662721898</v>
      </c>
      <c r="AL27" s="15">
        <v>25.708061002178599</v>
      </c>
      <c r="AM27" s="15">
        <v>20.707070707070699</v>
      </c>
      <c r="AN27" s="15">
        <v>13.138686131386899</v>
      </c>
      <c r="AO27" s="15">
        <v>23.053892215568901</v>
      </c>
      <c r="AP27" s="15">
        <v>22.174840085287801</v>
      </c>
      <c r="AQ27" s="15">
        <v>13.9705882352941</v>
      </c>
      <c r="AR27" s="24">
        <v>14.2424242424242</v>
      </c>
      <c r="AS27" s="38"/>
    </row>
    <row r="28" spans="1:45" ht="30">
      <c r="A28" s="39" t="s">
        <v>281</v>
      </c>
      <c r="B28" s="36"/>
      <c r="C28" s="32"/>
      <c r="D28" s="32"/>
      <c r="E28" s="32"/>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32"/>
      <c r="AK28" s="15"/>
      <c r="AL28" s="15"/>
      <c r="AM28" s="15"/>
      <c r="AN28" s="15"/>
      <c r="AO28" s="15"/>
      <c r="AP28" s="15"/>
      <c r="AQ28" s="15"/>
      <c r="AR28" s="24"/>
      <c r="AS28" s="38"/>
    </row>
    <row r="29" spans="1:45">
      <c r="A29" s="9" t="s">
        <v>262</v>
      </c>
      <c r="B29" s="36">
        <v>56.676468406290503</v>
      </c>
      <c r="C29" s="32">
        <v>58.534105912960896</v>
      </c>
      <c r="D29" s="32">
        <v>58.526784570447298</v>
      </c>
      <c r="E29" s="32">
        <v>63.018101938050599</v>
      </c>
      <c r="F29" s="15">
        <v>60.7843137254902</v>
      </c>
      <c r="G29" s="15">
        <v>63.636363636363598</v>
      </c>
      <c r="H29" s="15">
        <v>54.189944134078203</v>
      </c>
      <c r="I29" s="15">
        <v>58.4158415841584</v>
      </c>
      <c r="J29" s="15">
        <v>65.714285714285694</v>
      </c>
      <c r="K29" s="15">
        <v>78.3783783783784</v>
      </c>
      <c r="L29" s="15">
        <v>65.420560747663501</v>
      </c>
      <c r="M29" s="15">
        <v>72.619047619047606</v>
      </c>
      <c r="N29" s="15">
        <v>62.5</v>
      </c>
      <c r="O29" s="15">
        <v>62.096774193548399</v>
      </c>
      <c r="P29" s="15">
        <v>60.330578512396698</v>
      </c>
      <c r="Q29" s="15">
        <v>79.411764705882305</v>
      </c>
      <c r="R29" s="15">
        <v>61.702127659574501</v>
      </c>
      <c r="S29" s="15">
        <v>73.913043478260903</v>
      </c>
      <c r="T29" s="15">
        <v>67.441860465116307</v>
      </c>
      <c r="U29" s="15">
        <v>69.642857142857096</v>
      </c>
      <c r="V29" s="15">
        <v>71.052631578947398</v>
      </c>
      <c r="W29" s="15">
        <v>67.391304347826093</v>
      </c>
      <c r="X29" s="15">
        <v>63.963963963963998</v>
      </c>
      <c r="Y29" s="15">
        <v>52.272727272727302</v>
      </c>
      <c r="Z29" s="15">
        <v>68.965517241379303</v>
      </c>
      <c r="AA29" s="15">
        <v>65.2173913043478</v>
      </c>
      <c r="AB29" s="15">
        <v>68.181818181818201</v>
      </c>
      <c r="AC29" s="15">
        <v>64.285714285714306</v>
      </c>
      <c r="AD29" s="15">
        <v>67.391304347826093</v>
      </c>
      <c r="AE29" s="15">
        <v>66.6666666666667</v>
      </c>
      <c r="AF29" s="15">
        <v>72.727272727272705</v>
      </c>
      <c r="AG29" s="15">
        <v>80</v>
      </c>
      <c r="AH29" s="15">
        <v>66.6666666666667</v>
      </c>
      <c r="AI29" s="15">
        <v>64.285714285714306</v>
      </c>
      <c r="AJ29" s="32">
        <v>54.597525592499899</v>
      </c>
      <c r="AK29" s="15">
        <v>49.556213017751503</v>
      </c>
      <c r="AL29" s="15">
        <v>52.069716775599098</v>
      </c>
      <c r="AM29" s="15">
        <v>57.575757575757599</v>
      </c>
      <c r="AN29" s="15">
        <v>62.7737226277372</v>
      </c>
      <c r="AO29" s="15">
        <v>55.089820359281397</v>
      </c>
      <c r="AP29" s="15">
        <v>57.7825159914712</v>
      </c>
      <c r="AQ29" s="15">
        <v>59.558823529411796</v>
      </c>
      <c r="AR29" s="24">
        <v>69.090909090909093</v>
      </c>
      <c r="AS29" s="38"/>
    </row>
    <row r="30" spans="1:45">
      <c r="A30" s="9" t="s">
        <v>263</v>
      </c>
      <c r="B30" s="36">
        <v>27.056844546746401</v>
      </c>
      <c r="C30" s="32">
        <v>26.590874364747499</v>
      </c>
      <c r="D30" s="32">
        <v>27.375432344793701</v>
      </c>
      <c r="E30" s="32">
        <v>26.133120048723299</v>
      </c>
      <c r="F30" s="15">
        <v>35.294117647058798</v>
      </c>
      <c r="G30" s="15">
        <v>22.727272727272702</v>
      </c>
      <c r="H30" s="15">
        <v>27.932960893854698</v>
      </c>
      <c r="I30" s="15">
        <v>25.742574257425701</v>
      </c>
      <c r="J30" s="15">
        <v>25.714285714285701</v>
      </c>
      <c r="K30" s="15">
        <v>18.918918918918902</v>
      </c>
      <c r="L30" s="15">
        <v>23.364485981308398</v>
      </c>
      <c r="M30" s="15">
        <v>19.047619047619001</v>
      </c>
      <c r="N30" s="15">
        <v>22.9166666666667</v>
      </c>
      <c r="O30" s="15">
        <v>24.193548387096801</v>
      </c>
      <c r="P30" s="15">
        <v>30.578512396694201</v>
      </c>
      <c r="Q30" s="15">
        <v>20.588235294117599</v>
      </c>
      <c r="R30" s="15">
        <v>17.021276595744698</v>
      </c>
      <c r="S30" s="15">
        <v>21.739130434782599</v>
      </c>
      <c r="T30" s="15">
        <v>25.581395348837201</v>
      </c>
      <c r="U30" s="15">
        <v>21.428571428571399</v>
      </c>
      <c r="V30" s="15">
        <v>15.789473684210501</v>
      </c>
      <c r="W30" s="15">
        <v>23.913043478260899</v>
      </c>
      <c r="X30" s="15">
        <v>27.027027027027</v>
      </c>
      <c r="Y30" s="15">
        <v>29.545454545454501</v>
      </c>
      <c r="Z30" s="15">
        <v>24.137931034482801</v>
      </c>
      <c r="AA30" s="15">
        <v>26.086956521739101</v>
      </c>
      <c r="AB30" s="15">
        <v>27.272727272727298</v>
      </c>
      <c r="AC30" s="15">
        <v>26.1904761904762</v>
      </c>
      <c r="AD30" s="15">
        <v>23.913043478260899</v>
      </c>
      <c r="AE30" s="15">
        <v>24.2424242424242</v>
      </c>
      <c r="AF30" s="15">
        <v>27.272727272727298</v>
      </c>
      <c r="AG30" s="20" t="s">
        <v>80</v>
      </c>
      <c r="AH30" s="15">
        <v>27.9569892473118</v>
      </c>
      <c r="AI30" s="15">
        <v>32.142857142857103</v>
      </c>
      <c r="AJ30" s="32">
        <v>28.462277549267501</v>
      </c>
      <c r="AK30" s="15">
        <v>29.881656804733701</v>
      </c>
      <c r="AL30" s="15">
        <v>27.6688453159041</v>
      </c>
      <c r="AM30" s="15">
        <v>29.797979797979799</v>
      </c>
      <c r="AN30" s="15">
        <v>29.927007299270102</v>
      </c>
      <c r="AO30" s="15">
        <v>29.041916167664699</v>
      </c>
      <c r="AP30" s="15">
        <v>26.652452025586399</v>
      </c>
      <c r="AQ30" s="15">
        <v>24.264705882352899</v>
      </c>
      <c r="AR30" s="24">
        <v>24.545454545454501</v>
      </c>
      <c r="AS30" s="38"/>
    </row>
    <row r="31" spans="1:45">
      <c r="A31" s="9" t="s">
        <v>264</v>
      </c>
      <c r="B31" s="36">
        <v>3.95508630568728</v>
      </c>
      <c r="C31" s="32">
        <v>3.60540147496449</v>
      </c>
      <c r="D31" s="32">
        <v>3.4260422244079201</v>
      </c>
      <c r="E31" s="32">
        <v>2.73888873794357</v>
      </c>
      <c r="F31" s="20" t="s">
        <v>80</v>
      </c>
      <c r="G31" s="20" t="s">
        <v>80</v>
      </c>
      <c r="H31" s="15">
        <v>3.91061452513966</v>
      </c>
      <c r="I31" s="15">
        <v>4.9504950495049496</v>
      </c>
      <c r="J31" s="20" t="s">
        <v>80</v>
      </c>
      <c r="K31" s="20" t="s">
        <v>80</v>
      </c>
      <c r="L31" s="20" t="s">
        <v>80</v>
      </c>
      <c r="M31" s="20" t="s">
        <v>80</v>
      </c>
      <c r="N31" s="15">
        <v>4.8611111111111098</v>
      </c>
      <c r="O31" s="15">
        <v>4.0322580645161299</v>
      </c>
      <c r="P31" s="15">
        <v>4.95867768595041</v>
      </c>
      <c r="Q31" s="20" t="s">
        <v>80</v>
      </c>
      <c r="R31" s="20" t="s">
        <v>80</v>
      </c>
      <c r="S31" s="20" t="s">
        <v>80</v>
      </c>
      <c r="T31" s="20" t="s">
        <v>80</v>
      </c>
      <c r="U31" s="20" t="s">
        <v>80</v>
      </c>
      <c r="V31" s="20" t="s">
        <v>80</v>
      </c>
      <c r="W31" s="20" t="s">
        <v>80</v>
      </c>
      <c r="X31" s="20" t="s">
        <v>80</v>
      </c>
      <c r="Y31" s="20" t="s">
        <v>80</v>
      </c>
      <c r="Z31" s="20" t="s">
        <v>80</v>
      </c>
      <c r="AA31" s="20" t="s">
        <v>80</v>
      </c>
      <c r="AB31" s="20" t="s">
        <v>80</v>
      </c>
      <c r="AC31" s="20" t="s">
        <v>80</v>
      </c>
      <c r="AD31" s="20" t="s">
        <v>80</v>
      </c>
      <c r="AE31" s="20" t="s">
        <v>80</v>
      </c>
      <c r="AF31" s="20" t="s">
        <v>80</v>
      </c>
      <c r="AG31" s="20" t="s">
        <v>80</v>
      </c>
      <c r="AH31" s="20" t="s">
        <v>80</v>
      </c>
      <c r="AI31" s="20" t="s">
        <v>80</v>
      </c>
      <c r="AJ31" s="32">
        <v>4.0272030386922903</v>
      </c>
      <c r="AK31" s="15">
        <v>4.5857988165680501</v>
      </c>
      <c r="AL31" s="15">
        <v>2.6143790849673199</v>
      </c>
      <c r="AM31" s="15">
        <v>4.0404040404040398</v>
      </c>
      <c r="AN31" s="20" t="s">
        <v>80</v>
      </c>
      <c r="AO31" s="15">
        <v>4.7904191616766498</v>
      </c>
      <c r="AP31" s="15">
        <v>4.0511727078891298</v>
      </c>
      <c r="AQ31" s="15">
        <v>4.4117647058823497</v>
      </c>
      <c r="AR31" s="26" t="s">
        <v>80</v>
      </c>
      <c r="AS31" s="38"/>
    </row>
    <row r="32" spans="1:45">
      <c r="A32" s="9" t="s">
        <v>282</v>
      </c>
      <c r="B32" s="36">
        <v>12.3116007412759</v>
      </c>
      <c r="C32" s="32">
        <v>11.2696182473271</v>
      </c>
      <c r="D32" s="32">
        <v>10.671740860350999</v>
      </c>
      <c r="E32" s="32">
        <v>8.1098892752825105</v>
      </c>
      <c r="F32" s="20" t="s">
        <v>80</v>
      </c>
      <c r="G32" s="20" t="s">
        <v>80</v>
      </c>
      <c r="H32" s="15">
        <v>13.966480446927401</v>
      </c>
      <c r="I32" s="15">
        <v>10.891089108910901</v>
      </c>
      <c r="J32" s="20" t="s">
        <v>80</v>
      </c>
      <c r="K32" s="20" t="s">
        <v>80</v>
      </c>
      <c r="L32" s="15">
        <v>7.4766355140186898</v>
      </c>
      <c r="M32" s="15">
        <v>7.1428571428571397</v>
      </c>
      <c r="N32" s="15">
        <v>9.7222222222222197</v>
      </c>
      <c r="O32" s="15">
        <v>9.67741935483871</v>
      </c>
      <c r="P32" s="15">
        <v>4.1322314049586799</v>
      </c>
      <c r="Q32" s="20" t="s">
        <v>80</v>
      </c>
      <c r="R32" s="15">
        <v>19.148936170212799</v>
      </c>
      <c r="S32" s="20" t="s">
        <v>80</v>
      </c>
      <c r="T32" s="20" t="s">
        <v>80</v>
      </c>
      <c r="U32" s="20" t="s">
        <v>80</v>
      </c>
      <c r="V32" s="20" t="s">
        <v>80</v>
      </c>
      <c r="W32" s="20" t="s">
        <v>80</v>
      </c>
      <c r="X32" s="15">
        <v>8.1081081081081106</v>
      </c>
      <c r="Y32" s="15">
        <v>16.6666666666667</v>
      </c>
      <c r="Z32" s="20" t="s">
        <v>80</v>
      </c>
      <c r="AA32" s="20" t="s">
        <v>80</v>
      </c>
      <c r="AB32" s="20" t="s">
        <v>80</v>
      </c>
      <c r="AC32" s="20" t="s">
        <v>80</v>
      </c>
      <c r="AD32" s="20" t="s">
        <v>80</v>
      </c>
      <c r="AE32" s="20" t="s">
        <v>80</v>
      </c>
      <c r="AF32" s="20" t="s">
        <v>80</v>
      </c>
      <c r="AG32" s="20" t="s">
        <v>80</v>
      </c>
      <c r="AH32" s="20" t="s">
        <v>80</v>
      </c>
      <c r="AI32" s="20" t="s">
        <v>80</v>
      </c>
      <c r="AJ32" s="32">
        <v>12.9129938195404</v>
      </c>
      <c r="AK32" s="15">
        <v>15.9763313609467</v>
      </c>
      <c r="AL32" s="15">
        <v>17.647058823529399</v>
      </c>
      <c r="AM32" s="15">
        <v>8.5858585858585901</v>
      </c>
      <c r="AN32" s="15">
        <v>4.3795620437956204</v>
      </c>
      <c r="AO32" s="15">
        <v>11.0778443113772</v>
      </c>
      <c r="AP32" s="15">
        <v>11.513859275053299</v>
      </c>
      <c r="AQ32" s="15">
        <v>11.764705882352899</v>
      </c>
      <c r="AR32" s="24">
        <v>5.4545454545454604</v>
      </c>
      <c r="AS32" s="38"/>
    </row>
    <row r="33" spans="1:45">
      <c r="A33" s="39" t="s">
        <v>283</v>
      </c>
      <c r="B33" s="36"/>
      <c r="C33" s="32"/>
      <c r="D33" s="32"/>
      <c r="E33" s="32"/>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32"/>
      <c r="AK33" s="15"/>
      <c r="AL33" s="15"/>
      <c r="AM33" s="15"/>
      <c r="AN33" s="15"/>
      <c r="AO33" s="15"/>
      <c r="AP33" s="15"/>
      <c r="AQ33" s="15"/>
      <c r="AR33" s="24"/>
      <c r="AS33" s="38"/>
    </row>
    <row r="34" spans="1:45">
      <c r="A34" s="9" t="s">
        <v>284</v>
      </c>
      <c r="B34" s="36">
        <v>27.539574223517899</v>
      </c>
      <c r="C34" s="32">
        <v>27.552996314699602</v>
      </c>
      <c r="D34" s="32">
        <v>26.310717549432798</v>
      </c>
      <c r="E34" s="32">
        <v>32.580636044940597</v>
      </c>
      <c r="F34" s="15">
        <v>37.254901960784302</v>
      </c>
      <c r="G34" s="15">
        <v>27.272727272727298</v>
      </c>
      <c r="H34" s="15">
        <v>28.491620111731802</v>
      </c>
      <c r="I34" s="15">
        <v>20.7920792079208</v>
      </c>
      <c r="J34" s="15">
        <v>31.428571428571399</v>
      </c>
      <c r="K34" s="15">
        <v>35.135135135135101</v>
      </c>
      <c r="L34" s="15">
        <v>35.514018691588802</v>
      </c>
      <c r="M34" s="15">
        <v>39.285714285714299</v>
      </c>
      <c r="N34" s="15">
        <v>36.8055555555556</v>
      </c>
      <c r="O34" s="15">
        <v>29.838709677419399</v>
      </c>
      <c r="P34" s="15">
        <v>33.057851239669397</v>
      </c>
      <c r="Q34" s="15">
        <v>32.352941176470601</v>
      </c>
      <c r="R34" s="15">
        <v>29.787234042553202</v>
      </c>
      <c r="S34" s="15">
        <v>26.086956521739101</v>
      </c>
      <c r="T34" s="15">
        <v>27.906976744186</v>
      </c>
      <c r="U34" s="15">
        <v>37.5</v>
      </c>
      <c r="V34" s="15">
        <v>34.210526315789501</v>
      </c>
      <c r="W34" s="15">
        <v>26.086956521739101</v>
      </c>
      <c r="X34" s="15">
        <v>32.4324324324324</v>
      </c>
      <c r="Y34" s="15">
        <v>32.575757575757599</v>
      </c>
      <c r="Z34" s="15">
        <v>20.689655172413801</v>
      </c>
      <c r="AA34" s="15">
        <v>30.434782608695699</v>
      </c>
      <c r="AB34" s="20" t="s">
        <v>80</v>
      </c>
      <c r="AC34" s="15">
        <v>38.095238095238102</v>
      </c>
      <c r="AD34" s="15">
        <v>28.260869565217401</v>
      </c>
      <c r="AE34" s="15">
        <v>36.363636363636402</v>
      </c>
      <c r="AF34" s="15">
        <v>36.363636363636402</v>
      </c>
      <c r="AG34" s="15">
        <v>40</v>
      </c>
      <c r="AH34" s="15">
        <v>31.1827956989247</v>
      </c>
      <c r="AI34" s="15">
        <v>32.142857142857103</v>
      </c>
      <c r="AJ34" s="32">
        <v>20.8254375028305</v>
      </c>
      <c r="AK34" s="15">
        <v>17.4556213017751</v>
      </c>
      <c r="AL34" s="15">
        <v>19.1721132897604</v>
      </c>
      <c r="AM34" s="15">
        <v>22.727272727272702</v>
      </c>
      <c r="AN34" s="15">
        <v>27.737226277372301</v>
      </c>
      <c r="AO34" s="15">
        <v>22.1556886227545</v>
      </c>
      <c r="AP34" s="15">
        <v>26.012793176972298</v>
      </c>
      <c r="AQ34" s="15">
        <v>23.529411764705898</v>
      </c>
      <c r="AR34" s="24">
        <v>28.181818181818201</v>
      </c>
      <c r="AS34" s="38"/>
    </row>
    <row r="35" spans="1:45">
      <c r="A35" s="9" t="s">
        <v>285</v>
      </c>
      <c r="B35" s="36">
        <v>41.764469866735702</v>
      </c>
      <c r="C35" s="32">
        <v>41.925304211962697</v>
      </c>
      <c r="D35" s="32">
        <v>43.562734614208999</v>
      </c>
      <c r="E35" s="32">
        <v>43.122430572408902</v>
      </c>
      <c r="F35" s="15">
        <v>43.137254901960802</v>
      </c>
      <c r="G35" s="15">
        <v>40.909090909090899</v>
      </c>
      <c r="H35" s="15">
        <v>42.458100558659197</v>
      </c>
      <c r="I35" s="15">
        <v>46.534653465346501</v>
      </c>
      <c r="J35" s="15">
        <v>42.857142857142897</v>
      </c>
      <c r="K35" s="15">
        <v>51.351351351351397</v>
      </c>
      <c r="L35" s="15">
        <v>42.056074766355103</v>
      </c>
      <c r="M35" s="15">
        <v>38.095238095238102</v>
      </c>
      <c r="N35" s="15">
        <v>43.0555555555556</v>
      </c>
      <c r="O35" s="15">
        <v>45.9677419354839</v>
      </c>
      <c r="P35" s="15">
        <v>43.801652892561997</v>
      </c>
      <c r="Q35" s="15">
        <v>52.941176470588204</v>
      </c>
      <c r="R35" s="15">
        <v>27.659574468085101</v>
      </c>
      <c r="S35" s="15">
        <v>50</v>
      </c>
      <c r="T35" s="15">
        <v>58.139534883720899</v>
      </c>
      <c r="U35" s="15">
        <v>35.714285714285701</v>
      </c>
      <c r="V35" s="15">
        <v>47.368421052631597</v>
      </c>
      <c r="W35" s="15">
        <v>36.956521739130402</v>
      </c>
      <c r="X35" s="15">
        <v>45.945945945945901</v>
      </c>
      <c r="Y35" s="15">
        <v>44.696969696969703</v>
      </c>
      <c r="Z35" s="15">
        <v>41.379310344827601</v>
      </c>
      <c r="AA35" s="15">
        <v>41.304347826087003</v>
      </c>
      <c r="AB35" s="15">
        <v>63.636363636363598</v>
      </c>
      <c r="AC35" s="15">
        <v>40.476190476190503</v>
      </c>
      <c r="AD35" s="15">
        <v>58.695652173912997</v>
      </c>
      <c r="AE35" s="15">
        <v>36.363636363636402</v>
      </c>
      <c r="AF35" s="15">
        <v>36.363636363636402</v>
      </c>
      <c r="AG35" s="15">
        <v>33.3333333333333</v>
      </c>
      <c r="AH35" s="15">
        <v>43.010752688171998</v>
      </c>
      <c r="AI35" s="15">
        <v>48.214285714285701</v>
      </c>
      <c r="AJ35" s="32">
        <v>43.947937544144096</v>
      </c>
      <c r="AK35" s="15">
        <v>42.603550295858</v>
      </c>
      <c r="AL35" s="15">
        <v>40.740740740740698</v>
      </c>
      <c r="AM35" s="15">
        <v>42.929292929292899</v>
      </c>
      <c r="AN35" s="15">
        <v>45.255474452554701</v>
      </c>
      <c r="AO35" s="15">
        <v>44.610778443113801</v>
      </c>
      <c r="AP35" s="15">
        <v>38.592750533048999</v>
      </c>
      <c r="AQ35" s="15">
        <v>48.529411764705898</v>
      </c>
      <c r="AR35" s="24">
        <v>47.272727272727302</v>
      </c>
      <c r="AS35" s="38"/>
    </row>
    <row r="36" spans="1:45">
      <c r="A36" s="9" t="s">
        <v>286</v>
      </c>
      <c r="B36" s="36">
        <v>22.5084723469366</v>
      </c>
      <c r="C36" s="32">
        <v>22.640826603314899</v>
      </c>
      <c r="D36" s="32">
        <v>22.533448304938599</v>
      </c>
      <c r="E36" s="32">
        <v>18.8844216160035</v>
      </c>
      <c r="F36" s="15">
        <v>19.6078431372549</v>
      </c>
      <c r="G36" s="15">
        <v>27.272727272727298</v>
      </c>
      <c r="H36" s="15">
        <v>22.905027932960898</v>
      </c>
      <c r="I36" s="15">
        <v>25.742574257425701</v>
      </c>
      <c r="J36" s="15">
        <v>24.285714285714299</v>
      </c>
      <c r="K36" s="15">
        <v>13.5135135135135</v>
      </c>
      <c r="L36" s="15">
        <v>21.495327102803699</v>
      </c>
      <c r="M36" s="15">
        <v>22.619047619047599</v>
      </c>
      <c r="N36" s="15">
        <v>12.5</v>
      </c>
      <c r="O36" s="15">
        <v>16.129032258064498</v>
      </c>
      <c r="P36" s="15">
        <v>19.834710743801701</v>
      </c>
      <c r="Q36" s="15">
        <v>14.705882352941201</v>
      </c>
      <c r="R36" s="15">
        <v>38.297872340425499</v>
      </c>
      <c r="S36" s="15">
        <v>17.3913043478261</v>
      </c>
      <c r="T36" s="15">
        <v>13.953488372093</v>
      </c>
      <c r="U36" s="15">
        <v>21.428571428571399</v>
      </c>
      <c r="V36" s="15">
        <v>15.789473684210501</v>
      </c>
      <c r="W36" s="15">
        <v>32.6086956521739</v>
      </c>
      <c r="X36" s="15">
        <v>13.5135135135135</v>
      </c>
      <c r="Y36" s="15">
        <v>17.424242424242401</v>
      </c>
      <c r="Z36" s="15">
        <v>31.034482758620701</v>
      </c>
      <c r="AA36" s="15">
        <v>21.739130434782599</v>
      </c>
      <c r="AB36" s="20" t="s">
        <v>80</v>
      </c>
      <c r="AC36" s="20" t="s">
        <v>80</v>
      </c>
      <c r="AD36" s="20" t="s">
        <v>80</v>
      </c>
      <c r="AE36" s="15">
        <v>21.2121212121212</v>
      </c>
      <c r="AF36" s="15">
        <v>22.727272727272702</v>
      </c>
      <c r="AG36" s="20" t="s">
        <v>80</v>
      </c>
      <c r="AH36" s="15">
        <v>22.580645161290299</v>
      </c>
      <c r="AI36" s="15">
        <v>12.5</v>
      </c>
      <c r="AJ36" s="32">
        <v>25.725823660483702</v>
      </c>
      <c r="AK36" s="15">
        <v>28.4023668639053</v>
      </c>
      <c r="AL36" s="15">
        <v>29.847494553376901</v>
      </c>
      <c r="AM36" s="15">
        <v>25.252525252525299</v>
      </c>
      <c r="AN36" s="15">
        <v>21.167883211678799</v>
      </c>
      <c r="AO36" s="15">
        <v>23.353293413173699</v>
      </c>
      <c r="AP36" s="15">
        <v>24.733475479744101</v>
      </c>
      <c r="AQ36" s="15">
        <v>19.852941176470601</v>
      </c>
      <c r="AR36" s="24">
        <v>20.909090909090899</v>
      </c>
      <c r="AS36" s="38"/>
    </row>
    <row r="37" spans="1:45">
      <c r="A37" s="11" t="s">
        <v>287</v>
      </c>
      <c r="B37" s="37">
        <v>8.1874835628098204</v>
      </c>
      <c r="C37" s="33">
        <v>7.8808728700227402</v>
      </c>
      <c r="D37" s="33">
        <v>7.5930995314195897</v>
      </c>
      <c r="E37" s="33">
        <v>5.41251176664698</v>
      </c>
      <c r="F37" s="28" t="s">
        <v>80</v>
      </c>
      <c r="G37" s="28" t="s">
        <v>80</v>
      </c>
      <c r="H37" s="16">
        <v>6.1452513966480398</v>
      </c>
      <c r="I37" s="16">
        <v>6.9306930693069297</v>
      </c>
      <c r="J37" s="28" t="s">
        <v>80</v>
      </c>
      <c r="K37" s="28" t="s">
        <v>80</v>
      </c>
      <c r="L37" s="28" t="s">
        <v>80</v>
      </c>
      <c r="M37" s="28" t="s">
        <v>80</v>
      </c>
      <c r="N37" s="16">
        <v>7.6388888888888902</v>
      </c>
      <c r="O37" s="16">
        <v>8.0645161290322598</v>
      </c>
      <c r="P37" s="28" t="s">
        <v>80</v>
      </c>
      <c r="Q37" s="28" t="s">
        <v>80</v>
      </c>
      <c r="R37" s="28" t="s">
        <v>80</v>
      </c>
      <c r="S37" s="28" t="s">
        <v>80</v>
      </c>
      <c r="T37" s="28" t="s">
        <v>80</v>
      </c>
      <c r="U37" s="28" t="s">
        <v>80</v>
      </c>
      <c r="V37" s="28" t="s">
        <v>80</v>
      </c>
      <c r="W37" s="28" t="s">
        <v>80</v>
      </c>
      <c r="X37" s="16">
        <v>8.1081081081081106</v>
      </c>
      <c r="Y37" s="16">
        <v>5.3030303030303001</v>
      </c>
      <c r="Z37" s="28" t="s">
        <v>80</v>
      </c>
      <c r="AA37" s="28" t="s">
        <v>80</v>
      </c>
      <c r="AB37" s="28" t="s">
        <v>80</v>
      </c>
      <c r="AC37" s="16">
        <v>14.285714285714301</v>
      </c>
      <c r="AD37" s="28" t="s">
        <v>80</v>
      </c>
      <c r="AE37" s="28" t="s">
        <v>80</v>
      </c>
      <c r="AF37" s="28" t="s">
        <v>80</v>
      </c>
      <c r="AG37" s="28" t="s">
        <v>80</v>
      </c>
      <c r="AH37" s="28" t="s">
        <v>80</v>
      </c>
      <c r="AI37" s="28" t="s">
        <v>80</v>
      </c>
      <c r="AJ37" s="33">
        <v>9.5008012925417002</v>
      </c>
      <c r="AK37" s="16">
        <v>11.538461538461499</v>
      </c>
      <c r="AL37" s="16">
        <v>10.239651416121999</v>
      </c>
      <c r="AM37" s="16">
        <v>9.0909090909090899</v>
      </c>
      <c r="AN37" s="16">
        <v>5.8394160583941597</v>
      </c>
      <c r="AO37" s="16">
        <v>9.8802395209580904</v>
      </c>
      <c r="AP37" s="16">
        <v>10.6609808102345</v>
      </c>
      <c r="AQ37" s="16">
        <v>8.0882352941176503</v>
      </c>
      <c r="AR37" s="25">
        <v>3.6363636363636398</v>
      </c>
      <c r="AS37" s="38"/>
    </row>
    <row r="38" spans="1:45" ht="30" customHeight="1">
      <c r="A38" t="s">
        <v>155</v>
      </c>
    </row>
    <row r="39" spans="1:45">
      <c r="A39" t="s">
        <v>93</v>
      </c>
    </row>
    <row r="40" spans="1:45">
      <c r="A40" t="s">
        <v>94</v>
      </c>
    </row>
    <row r="41" spans="1:45">
      <c r="A41" t="s">
        <v>95</v>
      </c>
    </row>
    <row r="42" spans="1:45">
      <c r="A42" t="s">
        <v>96</v>
      </c>
    </row>
    <row r="43" spans="1:45">
      <c r="A43" t="s">
        <v>97</v>
      </c>
    </row>
    <row r="44" spans="1:45">
      <c r="A4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8"/>
  <sheetViews>
    <sheetView zoomScale="70" workbookViewId="0"/>
  </sheetViews>
  <sheetFormatPr defaultColWidth="10.90625" defaultRowHeight="15"/>
  <cols>
    <col min="1" max="1" width="51.6796875" customWidth="1"/>
    <col min="2" max="16" width="15.90625" customWidth="1"/>
  </cols>
  <sheetData>
    <row r="1" spans="1:16" ht="39.9" customHeight="1">
      <c r="A1" s="10" t="s">
        <v>289</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39" t="s">
        <v>290</v>
      </c>
      <c r="B3" s="15"/>
      <c r="C3" s="15"/>
      <c r="D3" s="24"/>
      <c r="E3" s="15"/>
      <c r="F3" s="15"/>
      <c r="G3" s="24"/>
      <c r="H3" s="15"/>
      <c r="I3" s="15"/>
      <c r="J3" s="24"/>
      <c r="K3" s="15"/>
      <c r="L3" s="15"/>
      <c r="M3" s="24"/>
      <c r="N3" s="15"/>
      <c r="O3" s="15"/>
      <c r="P3" s="24"/>
    </row>
    <row r="4" spans="1:16">
      <c r="A4" s="9" t="s">
        <v>291</v>
      </c>
      <c r="B4" s="15">
        <v>39.960496203542299</v>
      </c>
      <c r="C4" s="15">
        <v>35.071070884614599</v>
      </c>
      <c r="D4" s="24">
        <v>44.238042580019403</v>
      </c>
      <c r="E4" s="15">
        <v>39.389234320830298</v>
      </c>
      <c r="F4" s="15">
        <v>35.3052805774105</v>
      </c>
      <c r="G4" s="24">
        <v>42.983105574943401</v>
      </c>
      <c r="H4" s="15">
        <v>40.807385598855099</v>
      </c>
      <c r="I4" s="15">
        <v>35.099141547919999</v>
      </c>
      <c r="J4" s="24">
        <v>45.846274554869801</v>
      </c>
      <c r="K4" s="20" t="s">
        <v>80</v>
      </c>
      <c r="L4" s="20" t="s">
        <v>80</v>
      </c>
      <c r="M4" s="26" t="s">
        <v>80</v>
      </c>
      <c r="N4" s="15">
        <v>34.105931660533699</v>
      </c>
      <c r="O4" s="20" t="s">
        <v>80</v>
      </c>
      <c r="P4" s="26" t="s">
        <v>80</v>
      </c>
    </row>
    <row r="5" spans="1:16">
      <c r="A5" s="9" t="s">
        <v>292</v>
      </c>
      <c r="B5" s="15">
        <v>8.36249424567308</v>
      </c>
      <c r="C5" s="15">
        <v>5.1089452164970801</v>
      </c>
      <c r="D5" s="24">
        <v>11.2088833308212</v>
      </c>
      <c r="E5" s="15">
        <v>8.3671995654892193</v>
      </c>
      <c r="F5" s="15">
        <v>5.58824674519696</v>
      </c>
      <c r="G5" s="24">
        <v>10.8126725764107</v>
      </c>
      <c r="H5" s="15">
        <v>8.1844256254337697</v>
      </c>
      <c r="I5" s="15">
        <v>4.3741290003078603</v>
      </c>
      <c r="J5" s="24">
        <v>11.547922597912001</v>
      </c>
      <c r="K5" s="20" t="s">
        <v>80</v>
      </c>
      <c r="L5" s="20" t="s">
        <v>80</v>
      </c>
      <c r="M5" s="26" t="s">
        <v>80</v>
      </c>
      <c r="N5" s="20" t="s">
        <v>80</v>
      </c>
      <c r="O5" s="20" t="s">
        <v>80</v>
      </c>
      <c r="P5" s="26" t="s">
        <v>80</v>
      </c>
    </row>
    <row r="6" spans="1:16">
      <c r="A6" s="9" t="s">
        <v>293</v>
      </c>
      <c r="B6" s="15">
        <v>36.3480866338612</v>
      </c>
      <c r="C6" s="15">
        <v>35.883083202610997</v>
      </c>
      <c r="D6" s="24">
        <v>36.754897989521602</v>
      </c>
      <c r="E6" s="15">
        <v>34.553326581751499</v>
      </c>
      <c r="F6" s="15">
        <v>36.222006931023998</v>
      </c>
      <c r="G6" s="24">
        <v>33.084891159529498</v>
      </c>
      <c r="H6" s="15">
        <v>38.388987940344599</v>
      </c>
      <c r="I6" s="15">
        <v>36.1216032436745</v>
      </c>
      <c r="J6" s="24">
        <v>40.390496566314503</v>
      </c>
      <c r="K6" s="20" t="s">
        <v>80</v>
      </c>
      <c r="L6" s="20" t="s">
        <v>80</v>
      </c>
      <c r="M6" s="26" t="s">
        <v>80</v>
      </c>
      <c r="N6" s="15">
        <v>37.160071084442599</v>
      </c>
      <c r="O6" s="20" t="s">
        <v>80</v>
      </c>
      <c r="P6" s="26" t="s">
        <v>80</v>
      </c>
    </row>
    <row r="7" spans="1:16">
      <c r="A7" s="9" t="s">
        <v>294</v>
      </c>
      <c r="B7" s="15">
        <v>17.420375848763001</v>
      </c>
      <c r="C7" s="15">
        <v>18.924767697603102</v>
      </c>
      <c r="D7" s="24">
        <v>16.104248598205199</v>
      </c>
      <c r="E7" s="15">
        <v>14.6087778506206</v>
      </c>
      <c r="F7" s="15">
        <v>17.1838537077209</v>
      </c>
      <c r="G7" s="24">
        <v>12.342716165934799</v>
      </c>
      <c r="H7" s="15">
        <v>19.9252583587697</v>
      </c>
      <c r="I7" s="15">
        <v>20.345768845290699</v>
      </c>
      <c r="J7" s="24">
        <v>19.5540574031848</v>
      </c>
      <c r="K7" s="20" t="s">
        <v>80</v>
      </c>
      <c r="L7" s="20" t="s">
        <v>80</v>
      </c>
      <c r="M7" s="26" t="s">
        <v>80</v>
      </c>
      <c r="N7" s="20" t="s">
        <v>80</v>
      </c>
      <c r="O7" s="20" t="s">
        <v>80</v>
      </c>
      <c r="P7" s="26" t="s">
        <v>80</v>
      </c>
    </row>
    <row r="8" spans="1:16">
      <c r="A8" s="9" t="s">
        <v>295</v>
      </c>
      <c r="B8" s="15">
        <v>19.7505554146889</v>
      </c>
      <c r="C8" s="15">
        <v>19.898336846086799</v>
      </c>
      <c r="D8" s="24">
        <v>19.6212678430105</v>
      </c>
      <c r="E8" s="15">
        <v>19.825284275205</v>
      </c>
      <c r="F8" s="15">
        <v>20.0189900784214</v>
      </c>
      <c r="G8" s="24">
        <v>19.654823549723901</v>
      </c>
      <c r="H8" s="15">
        <v>19.836974383628402</v>
      </c>
      <c r="I8" s="15">
        <v>19.836093797643802</v>
      </c>
      <c r="J8" s="24">
        <v>19.837751711113601</v>
      </c>
      <c r="K8" s="20" t="s">
        <v>80</v>
      </c>
      <c r="L8" s="20" t="s">
        <v>80</v>
      </c>
      <c r="M8" s="26" t="s">
        <v>80</v>
      </c>
      <c r="N8" s="20" t="s">
        <v>80</v>
      </c>
      <c r="O8" s="20" t="s">
        <v>80</v>
      </c>
      <c r="P8" s="26" t="s">
        <v>80</v>
      </c>
    </row>
    <row r="9" spans="1:16">
      <c r="A9" s="9" t="s">
        <v>296</v>
      </c>
      <c r="B9" s="15">
        <v>16.612936985187499</v>
      </c>
      <c r="C9" s="15">
        <v>20.0496964867415</v>
      </c>
      <c r="D9" s="24">
        <v>13.606264995376</v>
      </c>
      <c r="E9" s="15">
        <v>17.0583138145155</v>
      </c>
      <c r="F9" s="15">
        <v>19.764279593671802</v>
      </c>
      <c r="G9" s="24">
        <v>14.677069256103801</v>
      </c>
      <c r="H9" s="15">
        <v>16.042498695041399</v>
      </c>
      <c r="I9" s="15">
        <v>20.062377335242701</v>
      </c>
      <c r="J9" s="24">
        <v>12.4939955294642</v>
      </c>
      <c r="K9" s="20" t="s">
        <v>80</v>
      </c>
      <c r="L9" s="20" t="s">
        <v>80</v>
      </c>
      <c r="M9" s="26" t="s">
        <v>80</v>
      </c>
      <c r="N9" s="20" t="s">
        <v>80</v>
      </c>
      <c r="O9" s="20" t="s">
        <v>80</v>
      </c>
      <c r="P9" s="26" t="s">
        <v>80</v>
      </c>
    </row>
    <row r="10" spans="1:16">
      <c r="A10" s="9" t="s">
        <v>297</v>
      </c>
      <c r="B10" s="15">
        <v>10.659306616272</v>
      </c>
      <c r="C10" s="15">
        <v>12.3110673798079</v>
      </c>
      <c r="D10" s="24">
        <v>9.2142526870262706</v>
      </c>
      <c r="E10" s="15">
        <v>12.082645575805399</v>
      </c>
      <c r="F10" s="15">
        <v>15.2475855450461</v>
      </c>
      <c r="G10" s="24">
        <v>9.2975046337038592</v>
      </c>
      <c r="H10" s="15">
        <v>9.20257762489579</v>
      </c>
      <c r="I10" s="15">
        <v>8.9846408173940908</v>
      </c>
      <c r="J10" s="24">
        <v>9.3949589180974105</v>
      </c>
      <c r="K10" s="20" t="s">
        <v>80</v>
      </c>
      <c r="L10" s="20" t="s">
        <v>80</v>
      </c>
      <c r="M10" s="26" t="s">
        <v>80</v>
      </c>
      <c r="N10" s="20" t="s">
        <v>80</v>
      </c>
      <c r="O10" s="20" t="s">
        <v>80</v>
      </c>
      <c r="P10" s="26" t="s">
        <v>80</v>
      </c>
    </row>
    <row r="11" spans="1:16">
      <c r="A11" s="9" t="s">
        <v>298</v>
      </c>
      <c r="B11" s="15">
        <v>10.760698839405</v>
      </c>
      <c r="C11" s="15">
        <v>10.9798009223019</v>
      </c>
      <c r="D11" s="24">
        <v>10.569015919707599</v>
      </c>
      <c r="E11" s="15">
        <v>7.36530557450717</v>
      </c>
      <c r="F11" s="15">
        <v>9.5815669287908793</v>
      </c>
      <c r="G11" s="24">
        <v>5.4149999459002798</v>
      </c>
      <c r="H11" s="15">
        <v>14.3625153401552</v>
      </c>
      <c r="I11" s="15">
        <v>12.212510761547099</v>
      </c>
      <c r="J11" s="24">
        <v>16.260407972260602</v>
      </c>
      <c r="K11" s="20" t="s">
        <v>80</v>
      </c>
      <c r="L11" s="20" t="s">
        <v>80</v>
      </c>
      <c r="M11" s="26" t="s">
        <v>80</v>
      </c>
      <c r="N11" s="20" t="s">
        <v>80</v>
      </c>
      <c r="O11" s="20" t="s">
        <v>80</v>
      </c>
      <c r="P11" s="26" t="s">
        <v>80</v>
      </c>
    </row>
    <row r="12" spans="1:16">
      <c r="A12" s="9" t="s">
        <v>299</v>
      </c>
      <c r="B12" s="15">
        <v>10.129494447961299</v>
      </c>
      <c r="C12" s="15">
        <v>13.5242747585263</v>
      </c>
      <c r="D12" s="24">
        <v>7.1595482335913996</v>
      </c>
      <c r="E12" s="15">
        <v>8.4140296328467201</v>
      </c>
      <c r="F12" s="15">
        <v>12.0084210795881</v>
      </c>
      <c r="G12" s="24">
        <v>5.2509722360073896</v>
      </c>
      <c r="H12" s="15">
        <v>11.5876838237567</v>
      </c>
      <c r="I12" s="15">
        <v>14.818004012907</v>
      </c>
      <c r="J12" s="24">
        <v>8.7361546003636992</v>
      </c>
      <c r="K12" s="20" t="s">
        <v>80</v>
      </c>
      <c r="L12" s="20" t="s">
        <v>80</v>
      </c>
      <c r="M12" s="26" t="s">
        <v>80</v>
      </c>
      <c r="N12" s="20" t="s">
        <v>80</v>
      </c>
      <c r="O12" s="20" t="s">
        <v>80</v>
      </c>
      <c r="P12" s="26" t="s">
        <v>80</v>
      </c>
    </row>
    <row r="13" spans="1:16">
      <c r="A13" s="9" t="s">
        <v>300</v>
      </c>
      <c r="B13" s="15">
        <v>15.537892696632801</v>
      </c>
      <c r="C13" s="15">
        <v>15.780458068725</v>
      </c>
      <c r="D13" s="24">
        <v>15.325682761768901</v>
      </c>
      <c r="E13" s="15">
        <v>12.0521967850921</v>
      </c>
      <c r="F13" s="15">
        <v>14.9181206424101</v>
      </c>
      <c r="G13" s="24">
        <v>9.5301894328081804</v>
      </c>
      <c r="H13" s="15">
        <v>18.326487275873301</v>
      </c>
      <c r="I13" s="15">
        <v>16.4089792789221</v>
      </c>
      <c r="J13" s="24">
        <v>20.019146136057099</v>
      </c>
      <c r="K13" s="20" t="s">
        <v>80</v>
      </c>
      <c r="L13" s="20" t="s">
        <v>80</v>
      </c>
      <c r="M13" s="26" t="s">
        <v>80</v>
      </c>
      <c r="N13" s="15">
        <v>26.014467787528499</v>
      </c>
      <c r="O13" s="20" t="s">
        <v>80</v>
      </c>
      <c r="P13" s="26" t="s">
        <v>80</v>
      </c>
    </row>
    <row r="14" spans="1:16">
      <c r="A14" s="9" t="s">
        <v>301</v>
      </c>
      <c r="B14" s="15">
        <v>14.766924292438301</v>
      </c>
      <c r="C14" s="15">
        <v>16.287819660681802</v>
      </c>
      <c r="D14" s="24">
        <v>13.4363588277718</v>
      </c>
      <c r="E14" s="15">
        <v>12.664751367792601</v>
      </c>
      <c r="F14" s="15">
        <v>14.651084416785199</v>
      </c>
      <c r="G14" s="24">
        <v>10.916782195181</v>
      </c>
      <c r="H14" s="15">
        <v>16.1064397901558</v>
      </c>
      <c r="I14" s="15">
        <v>17.2321564576505</v>
      </c>
      <c r="J14" s="24">
        <v>15.1127259207372</v>
      </c>
      <c r="K14" s="20" t="s">
        <v>80</v>
      </c>
      <c r="L14" s="20" t="s">
        <v>80</v>
      </c>
      <c r="M14" s="26" t="s">
        <v>80</v>
      </c>
      <c r="N14" s="15">
        <v>28.5538717911795</v>
      </c>
      <c r="O14" s="20" t="s">
        <v>80</v>
      </c>
      <c r="P14" s="26" t="s">
        <v>80</v>
      </c>
    </row>
    <row r="15" spans="1:16">
      <c r="A15" s="9" t="s">
        <v>302</v>
      </c>
      <c r="B15" s="15">
        <v>5.05510222127623</v>
      </c>
      <c r="C15" s="15">
        <v>5.83014716782007</v>
      </c>
      <c r="D15" s="24">
        <v>4.3770489764784202</v>
      </c>
      <c r="E15" s="15">
        <v>4.4740600372885897</v>
      </c>
      <c r="F15" s="15">
        <v>5.5746377602782999</v>
      </c>
      <c r="G15" s="24">
        <v>3.5055538077695001</v>
      </c>
      <c r="H15" s="15">
        <v>5.3517811538388704</v>
      </c>
      <c r="I15" s="15">
        <v>5.8229165478135103</v>
      </c>
      <c r="J15" s="24">
        <v>4.9358916241861301</v>
      </c>
      <c r="K15" s="20" t="s">
        <v>80</v>
      </c>
      <c r="L15" s="20" t="s">
        <v>80</v>
      </c>
      <c r="M15" s="26" t="s">
        <v>80</v>
      </c>
      <c r="N15" s="20" t="s">
        <v>80</v>
      </c>
      <c r="O15" s="20" t="s">
        <v>80</v>
      </c>
      <c r="P15" s="26" t="s">
        <v>80</v>
      </c>
    </row>
    <row r="16" spans="1:16">
      <c r="A16" s="9" t="s">
        <v>303</v>
      </c>
      <c r="B16" s="15">
        <v>26.088917040429699</v>
      </c>
      <c r="C16" s="15">
        <v>23.532784866046601</v>
      </c>
      <c r="D16" s="24">
        <v>28.325166335004699</v>
      </c>
      <c r="E16" s="15">
        <v>18.918950330241302</v>
      </c>
      <c r="F16" s="15">
        <v>19.0774818831704</v>
      </c>
      <c r="G16" s="24">
        <v>18.779442875765302</v>
      </c>
      <c r="H16" s="15">
        <v>32.513622606160197</v>
      </c>
      <c r="I16" s="15">
        <v>27.506232715383401</v>
      </c>
      <c r="J16" s="24">
        <v>36.933840346318298</v>
      </c>
      <c r="K16" s="20" t="s">
        <v>80</v>
      </c>
      <c r="L16" s="20" t="s">
        <v>80</v>
      </c>
      <c r="M16" s="26" t="s">
        <v>80</v>
      </c>
      <c r="N16" s="15">
        <v>39.198128775798899</v>
      </c>
      <c r="O16" s="20" t="s">
        <v>80</v>
      </c>
      <c r="P16" s="26" t="s">
        <v>80</v>
      </c>
    </row>
    <row r="17" spans="1:16">
      <c r="A17" s="9" t="s">
        <v>304</v>
      </c>
      <c r="B17" s="15">
        <v>20.9985788904747</v>
      </c>
      <c r="C17" s="15">
        <v>22.001204482111</v>
      </c>
      <c r="D17" s="24">
        <v>20.1214251992497</v>
      </c>
      <c r="E17" s="15">
        <v>17.286552066031401</v>
      </c>
      <c r="F17" s="15">
        <v>19.3891451593021</v>
      </c>
      <c r="G17" s="24">
        <v>15.436274283336701</v>
      </c>
      <c r="H17" s="15">
        <v>24.586618800380499</v>
      </c>
      <c r="I17" s="15">
        <v>24.3971449822041</v>
      </c>
      <c r="J17" s="24">
        <v>24.7538747062849</v>
      </c>
      <c r="K17" s="20" t="s">
        <v>80</v>
      </c>
      <c r="L17" s="20" t="s">
        <v>80</v>
      </c>
      <c r="M17" s="26" t="s">
        <v>80</v>
      </c>
      <c r="N17" s="20" t="s">
        <v>80</v>
      </c>
      <c r="O17" s="20" t="s">
        <v>80</v>
      </c>
      <c r="P17" s="26" t="s">
        <v>80</v>
      </c>
    </row>
    <row r="18" spans="1:16" ht="18">
      <c r="A18" s="9" t="s">
        <v>305</v>
      </c>
      <c r="B18" s="15">
        <v>4.6371541189855696</v>
      </c>
      <c r="C18" s="15">
        <v>1.97323982975118</v>
      </c>
      <c r="D18" s="24">
        <v>6.9676973161683504</v>
      </c>
      <c r="E18" s="15">
        <v>1.5780803326131301</v>
      </c>
      <c r="F18" s="20" t="s">
        <v>80</v>
      </c>
      <c r="G18" s="26" t="s">
        <v>80</v>
      </c>
      <c r="H18" s="15">
        <v>7.3484344143561096</v>
      </c>
      <c r="I18" s="15">
        <v>2.06091219178239</v>
      </c>
      <c r="J18" s="24">
        <v>12.0159358551266</v>
      </c>
      <c r="K18" s="20" t="s">
        <v>80</v>
      </c>
      <c r="L18" s="20" t="s">
        <v>80</v>
      </c>
      <c r="M18" s="26" t="s">
        <v>80</v>
      </c>
      <c r="N18" s="20" t="s">
        <v>80</v>
      </c>
      <c r="O18" s="20" t="s">
        <v>80</v>
      </c>
      <c r="P18" s="26" t="s">
        <v>80</v>
      </c>
    </row>
    <row r="19" spans="1:16">
      <c r="A19" s="9" t="s">
        <v>306</v>
      </c>
      <c r="B19" s="15">
        <v>23.505603346188401</v>
      </c>
      <c r="C19" s="15">
        <v>21.233239691288301</v>
      </c>
      <c r="D19" s="24">
        <v>25.4935958573795</v>
      </c>
      <c r="E19" s="15">
        <v>15.2492927852989</v>
      </c>
      <c r="F19" s="15">
        <v>15.7205737419262</v>
      </c>
      <c r="G19" s="24">
        <v>14.8345664712797</v>
      </c>
      <c r="H19" s="15">
        <v>31.545003759726502</v>
      </c>
      <c r="I19" s="15">
        <v>26.384206719592399</v>
      </c>
      <c r="J19" s="24">
        <v>36.100639954977197</v>
      </c>
      <c r="K19" s="20" t="s">
        <v>80</v>
      </c>
      <c r="L19" s="20" t="s">
        <v>80</v>
      </c>
      <c r="M19" s="26" t="s">
        <v>80</v>
      </c>
      <c r="N19" s="15">
        <v>28.691143898283698</v>
      </c>
      <c r="O19" s="20" t="s">
        <v>80</v>
      </c>
      <c r="P19" s="26" t="s">
        <v>80</v>
      </c>
    </row>
    <row r="20" spans="1:16">
      <c r="A20" s="9" t="s">
        <v>307</v>
      </c>
      <c r="B20" s="15">
        <v>9.0988650202919903</v>
      </c>
      <c r="C20" s="15">
        <v>7.9235648884086398</v>
      </c>
      <c r="D20" s="24">
        <v>10.1270841856301</v>
      </c>
      <c r="E20" s="15">
        <v>10.5899203524128</v>
      </c>
      <c r="F20" s="15">
        <v>8.8319966124427793</v>
      </c>
      <c r="G20" s="24">
        <v>12.136889782754899</v>
      </c>
      <c r="H20" s="15">
        <v>7.4421263408088203</v>
      </c>
      <c r="I20" s="15">
        <v>6.7938853947350202</v>
      </c>
      <c r="J20" s="24">
        <v>8.0143538270307406</v>
      </c>
      <c r="K20" s="20" t="s">
        <v>80</v>
      </c>
      <c r="L20" s="20" t="s">
        <v>80</v>
      </c>
      <c r="M20" s="26" t="s">
        <v>80</v>
      </c>
      <c r="N20" s="20" t="s">
        <v>80</v>
      </c>
      <c r="O20" s="20" t="s">
        <v>80</v>
      </c>
      <c r="P20" s="26" t="s">
        <v>80</v>
      </c>
    </row>
    <row r="21" spans="1:16">
      <c r="A21" s="11" t="s">
        <v>308</v>
      </c>
      <c r="B21" s="16">
        <v>6.1144839294942201</v>
      </c>
      <c r="C21" s="16">
        <v>7.0905230581239698</v>
      </c>
      <c r="D21" s="25">
        <v>5.2605895828911899</v>
      </c>
      <c r="E21" s="16">
        <v>6.8372990945513603</v>
      </c>
      <c r="F21" s="16">
        <v>7.1991338614814699</v>
      </c>
      <c r="G21" s="25">
        <v>6.5188852119984499</v>
      </c>
      <c r="H21" s="16">
        <v>4.8261714092468297</v>
      </c>
      <c r="I21" s="16">
        <v>6.4913555555511602</v>
      </c>
      <c r="J21" s="25">
        <v>3.3562486221913002</v>
      </c>
      <c r="K21" s="28" t="s">
        <v>80</v>
      </c>
      <c r="L21" s="28" t="s">
        <v>80</v>
      </c>
      <c r="M21" s="29" t="s">
        <v>80</v>
      </c>
      <c r="N21" s="28" t="s">
        <v>80</v>
      </c>
      <c r="O21" s="28" t="s">
        <v>80</v>
      </c>
      <c r="P21" s="29" t="s">
        <v>80</v>
      </c>
    </row>
    <row r="22" spans="1:16" ht="30" customHeight="1">
      <c r="A22" t="s">
        <v>309</v>
      </c>
    </row>
    <row r="23" spans="1:16">
      <c r="A23" t="s">
        <v>93</v>
      </c>
    </row>
    <row r="24" spans="1:16">
      <c r="A24" t="s">
        <v>94</v>
      </c>
    </row>
    <row r="25" spans="1:16">
      <c r="A25" t="s">
        <v>95</v>
      </c>
    </row>
    <row r="26" spans="1:16">
      <c r="A26" t="s">
        <v>96</v>
      </c>
    </row>
    <row r="27" spans="1:16">
      <c r="A27" t="s">
        <v>97</v>
      </c>
    </row>
    <row r="28" spans="1:16">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S29"/>
  <sheetViews>
    <sheetView zoomScale="55" workbookViewId="0"/>
  </sheetViews>
  <sheetFormatPr defaultColWidth="10.90625" defaultRowHeight="15"/>
  <cols>
    <col min="1" max="1" width="51.6796875" customWidth="1"/>
    <col min="2" max="44" width="13.6796875" customWidth="1"/>
  </cols>
  <sheetData>
    <row r="1" spans="1:45" ht="39.9" customHeight="1">
      <c r="A1" s="10" t="s">
        <v>310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c r="A3" s="39" t="s">
        <v>290</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32"/>
      <c r="AK3" s="15"/>
      <c r="AL3" s="15"/>
      <c r="AM3" s="15"/>
      <c r="AN3" s="15"/>
      <c r="AO3" s="15"/>
      <c r="AP3" s="15"/>
      <c r="AQ3" s="15"/>
      <c r="AR3" s="24"/>
      <c r="AS3" s="38"/>
    </row>
    <row r="4" spans="1:45">
      <c r="A4" s="9" t="s">
        <v>291</v>
      </c>
      <c r="B4" s="36">
        <v>36.644800417231899</v>
      </c>
      <c r="C4" s="32">
        <v>36.5153509876695</v>
      </c>
      <c r="D4" s="32">
        <v>39.960496203542299</v>
      </c>
      <c r="E4" s="32">
        <v>35.071070884614599</v>
      </c>
      <c r="F4" s="15">
        <v>29.411764705882401</v>
      </c>
      <c r="G4" s="15">
        <v>27.272727272727298</v>
      </c>
      <c r="H4" s="15">
        <v>41.899441340782097</v>
      </c>
      <c r="I4" s="15">
        <v>40.594059405940598</v>
      </c>
      <c r="J4" s="15">
        <v>31.428571428571399</v>
      </c>
      <c r="K4" s="15">
        <v>43.243243243243199</v>
      </c>
      <c r="L4" s="15">
        <v>30.841121495327101</v>
      </c>
      <c r="M4" s="15">
        <v>50</v>
      </c>
      <c r="N4" s="15">
        <v>34.0277777777778</v>
      </c>
      <c r="O4" s="15">
        <v>37.096774193548399</v>
      </c>
      <c r="P4" s="15">
        <v>44.6280991735537</v>
      </c>
      <c r="Q4" s="15">
        <v>20.588235294117599</v>
      </c>
      <c r="R4" s="15">
        <v>29.787234042553202</v>
      </c>
      <c r="S4" s="15">
        <v>39.130434782608702</v>
      </c>
      <c r="T4" s="15">
        <v>32.558139534883701</v>
      </c>
      <c r="U4" s="15">
        <v>42.857142857142897</v>
      </c>
      <c r="V4" s="15">
        <v>47.368421052631597</v>
      </c>
      <c r="W4" s="15">
        <v>19.565217391304301</v>
      </c>
      <c r="X4" s="15">
        <v>24.324324324324301</v>
      </c>
      <c r="Y4" s="15">
        <v>30.303030303030301</v>
      </c>
      <c r="Z4" s="15">
        <v>24.137931034482801</v>
      </c>
      <c r="AA4" s="15">
        <v>34.7826086956522</v>
      </c>
      <c r="AB4" s="20" t="s">
        <v>80</v>
      </c>
      <c r="AC4" s="15">
        <v>35.714285714285701</v>
      </c>
      <c r="AD4" s="15">
        <v>65.2173913043478</v>
      </c>
      <c r="AE4" s="15">
        <v>21.2121212121212</v>
      </c>
      <c r="AF4" s="15">
        <v>50</v>
      </c>
      <c r="AG4" s="20" t="s">
        <v>80</v>
      </c>
      <c r="AH4" s="15">
        <v>32.258064516128997</v>
      </c>
      <c r="AI4" s="15">
        <v>33.928571428571402</v>
      </c>
      <c r="AJ4" s="32">
        <v>44.238042580019403</v>
      </c>
      <c r="AK4" s="15">
        <v>36.242603550295897</v>
      </c>
      <c r="AL4" s="15">
        <v>38.9978213507625</v>
      </c>
      <c r="AM4" s="15">
        <v>51.010101010101003</v>
      </c>
      <c r="AN4" s="15">
        <v>44.525547445255498</v>
      </c>
      <c r="AO4" s="15">
        <v>46.107784431137702</v>
      </c>
      <c r="AP4" s="15">
        <v>41.791044776119399</v>
      </c>
      <c r="AQ4" s="15">
        <v>56.617647058823501</v>
      </c>
      <c r="AR4" s="24">
        <v>54.545454545454497</v>
      </c>
      <c r="AS4" s="38"/>
    </row>
    <row r="5" spans="1:45">
      <c r="A5" s="9" t="s">
        <v>292</v>
      </c>
      <c r="B5" s="36">
        <v>6.2575238989833899</v>
      </c>
      <c r="C5" s="32">
        <v>5.6397486512890902</v>
      </c>
      <c r="D5" s="32">
        <v>8.36249424567308</v>
      </c>
      <c r="E5" s="32">
        <v>5.1089452164970801</v>
      </c>
      <c r="F5" s="20" t="s">
        <v>80</v>
      </c>
      <c r="G5" s="20" t="s">
        <v>80</v>
      </c>
      <c r="H5" s="15">
        <v>4.4692737430167604</v>
      </c>
      <c r="I5" s="15">
        <v>7.9207920792079198</v>
      </c>
      <c r="J5" s="20" t="s">
        <v>80</v>
      </c>
      <c r="K5" s="20" t="s">
        <v>80</v>
      </c>
      <c r="L5" s="20" t="s">
        <v>80</v>
      </c>
      <c r="M5" s="20" t="s">
        <v>80</v>
      </c>
      <c r="N5" s="15">
        <v>4.8611111111111098</v>
      </c>
      <c r="O5" s="15">
        <v>4.0322580645161299</v>
      </c>
      <c r="P5" s="20" t="s">
        <v>80</v>
      </c>
      <c r="Q5" s="20" t="s">
        <v>80</v>
      </c>
      <c r="R5" s="20" t="s">
        <v>80</v>
      </c>
      <c r="S5" s="20" t="s">
        <v>80</v>
      </c>
      <c r="T5" s="20" t="s">
        <v>80</v>
      </c>
      <c r="U5" s="20" t="s">
        <v>80</v>
      </c>
      <c r="V5" s="20" t="s">
        <v>80</v>
      </c>
      <c r="W5" s="20" t="s">
        <v>80</v>
      </c>
      <c r="X5" s="20" t="s">
        <v>80</v>
      </c>
      <c r="Y5" s="15">
        <v>5.3030303030303001</v>
      </c>
      <c r="Z5" s="20" t="s">
        <v>80</v>
      </c>
      <c r="AA5" s="20" t="s">
        <v>80</v>
      </c>
      <c r="AB5" s="20" t="s">
        <v>80</v>
      </c>
      <c r="AC5" s="20" t="s">
        <v>80</v>
      </c>
      <c r="AD5" s="15">
        <v>26.086956521739101</v>
      </c>
      <c r="AE5" s="20" t="s">
        <v>80</v>
      </c>
      <c r="AF5" s="20" t="s">
        <v>80</v>
      </c>
      <c r="AG5" s="20" t="s">
        <v>80</v>
      </c>
      <c r="AH5" s="15">
        <v>13.9784946236559</v>
      </c>
      <c r="AI5" s="20" t="s">
        <v>80</v>
      </c>
      <c r="AJ5" s="32">
        <v>11.2088833308212</v>
      </c>
      <c r="AK5" s="15">
        <v>10.6508875739645</v>
      </c>
      <c r="AL5" s="15">
        <v>9.8039215686274499</v>
      </c>
      <c r="AM5" s="15">
        <v>12.6262626262626</v>
      </c>
      <c r="AN5" s="15">
        <v>19.7080291970803</v>
      </c>
      <c r="AO5" s="15">
        <v>14.0718562874252</v>
      </c>
      <c r="AP5" s="15">
        <v>5.9701492537313401</v>
      </c>
      <c r="AQ5" s="15">
        <v>16.911764705882401</v>
      </c>
      <c r="AR5" s="24">
        <v>12.7272727272727</v>
      </c>
      <c r="AS5" s="38"/>
    </row>
    <row r="6" spans="1:45">
      <c r="A6" s="9" t="s">
        <v>293</v>
      </c>
      <c r="B6" s="36">
        <v>36.300152035967798</v>
      </c>
      <c r="C6" s="32">
        <v>37.020120557064402</v>
      </c>
      <c r="D6" s="32">
        <v>36.3480866338612</v>
      </c>
      <c r="E6" s="32">
        <v>35.883083202610997</v>
      </c>
      <c r="F6" s="15">
        <v>45.098039215686299</v>
      </c>
      <c r="G6" s="15">
        <v>45.454545454545503</v>
      </c>
      <c r="H6" s="15">
        <v>25.698324022346402</v>
      </c>
      <c r="I6" s="15">
        <v>47.524752475247503</v>
      </c>
      <c r="J6" s="15">
        <v>42.857142857142897</v>
      </c>
      <c r="K6" s="15">
        <v>43.243243243243199</v>
      </c>
      <c r="L6" s="15">
        <v>27.1028037383178</v>
      </c>
      <c r="M6" s="15">
        <v>30.952380952380999</v>
      </c>
      <c r="N6" s="15">
        <v>36.1111111111111</v>
      </c>
      <c r="O6" s="15">
        <v>34.677419354838698</v>
      </c>
      <c r="P6" s="15">
        <v>31.404958677686</v>
      </c>
      <c r="Q6" s="15">
        <v>47.058823529411796</v>
      </c>
      <c r="R6" s="15">
        <v>19.148936170212799</v>
      </c>
      <c r="S6" s="15">
        <v>39.130434782608702</v>
      </c>
      <c r="T6" s="15">
        <v>27.906976744186</v>
      </c>
      <c r="U6" s="15">
        <v>44.642857142857103</v>
      </c>
      <c r="V6" s="15">
        <v>31.578947368421101</v>
      </c>
      <c r="W6" s="15">
        <v>41.304347826087003</v>
      </c>
      <c r="X6" s="15">
        <v>37.837837837837803</v>
      </c>
      <c r="Y6" s="15">
        <v>34.848484848484802</v>
      </c>
      <c r="Z6" s="15">
        <v>37.931034482758598</v>
      </c>
      <c r="AA6" s="15">
        <v>19.565217391304301</v>
      </c>
      <c r="AB6" s="15">
        <v>31.818181818181799</v>
      </c>
      <c r="AC6" s="15">
        <v>35.714285714285701</v>
      </c>
      <c r="AD6" s="15">
        <v>58.695652173912997</v>
      </c>
      <c r="AE6" s="20" t="s">
        <v>80</v>
      </c>
      <c r="AF6" s="15">
        <v>38.636363636363598</v>
      </c>
      <c r="AG6" s="15">
        <v>73.3333333333333</v>
      </c>
      <c r="AH6" s="15">
        <v>39.784946236559101</v>
      </c>
      <c r="AI6" s="15">
        <v>44.642857142857103</v>
      </c>
      <c r="AJ6" s="32">
        <v>36.754897989521602</v>
      </c>
      <c r="AK6" s="15">
        <v>33.284023668639101</v>
      </c>
      <c r="AL6" s="15">
        <v>29.847494553376901</v>
      </c>
      <c r="AM6" s="15">
        <v>37.878787878787897</v>
      </c>
      <c r="AN6" s="15">
        <v>51.0948905109489</v>
      </c>
      <c r="AO6" s="15">
        <v>39.820359281437099</v>
      </c>
      <c r="AP6" s="15">
        <v>30.7036247334755</v>
      </c>
      <c r="AQ6" s="15">
        <v>43.382352941176499</v>
      </c>
      <c r="AR6" s="24">
        <v>46.363636363636402</v>
      </c>
      <c r="AS6" s="38"/>
    </row>
    <row r="7" spans="1:45">
      <c r="A7" s="9" t="s">
        <v>294</v>
      </c>
      <c r="B7" s="36">
        <v>17.445370072745799</v>
      </c>
      <c r="C7" s="32">
        <v>17.288676833815298</v>
      </c>
      <c r="D7" s="32">
        <v>17.420375848763001</v>
      </c>
      <c r="E7" s="32">
        <v>18.924767697603102</v>
      </c>
      <c r="F7" s="15">
        <v>35.294117647058798</v>
      </c>
      <c r="G7" s="20" t="s">
        <v>80</v>
      </c>
      <c r="H7" s="15">
        <v>17.877094972066999</v>
      </c>
      <c r="I7" s="15">
        <v>22.7722772277228</v>
      </c>
      <c r="J7" s="15">
        <v>15.714285714285699</v>
      </c>
      <c r="K7" s="20" t="s">
        <v>80</v>
      </c>
      <c r="L7" s="15">
        <v>8.4112149532710294</v>
      </c>
      <c r="M7" s="15">
        <v>20.238095238095202</v>
      </c>
      <c r="N7" s="15">
        <v>18.0555555555556</v>
      </c>
      <c r="O7" s="15">
        <v>24.193548387096801</v>
      </c>
      <c r="P7" s="15">
        <v>18.181818181818201</v>
      </c>
      <c r="Q7" s="15">
        <v>14.705882352941201</v>
      </c>
      <c r="R7" s="15">
        <v>19.148936170212799</v>
      </c>
      <c r="S7" s="15">
        <v>15.2173913043478</v>
      </c>
      <c r="T7" s="15">
        <v>20.930232558139501</v>
      </c>
      <c r="U7" s="15">
        <v>10.714285714285699</v>
      </c>
      <c r="V7" s="15">
        <v>23.684210526315798</v>
      </c>
      <c r="W7" s="15">
        <v>17.3913043478261</v>
      </c>
      <c r="X7" s="15">
        <v>9.0090090090090094</v>
      </c>
      <c r="Y7" s="15">
        <v>16.6666666666667</v>
      </c>
      <c r="Z7" s="20" t="s">
        <v>80</v>
      </c>
      <c r="AA7" s="15">
        <v>17.3913043478261</v>
      </c>
      <c r="AB7" s="20" t="s">
        <v>80</v>
      </c>
      <c r="AC7" s="15">
        <v>28.571428571428601</v>
      </c>
      <c r="AD7" s="15">
        <v>43.478260869565197</v>
      </c>
      <c r="AE7" s="20" t="s">
        <v>80</v>
      </c>
      <c r="AF7" s="15">
        <v>25</v>
      </c>
      <c r="AG7" s="20" t="s">
        <v>80</v>
      </c>
      <c r="AH7" s="15">
        <v>22.580645161290299</v>
      </c>
      <c r="AI7" s="15">
        <v>17.8571428571429</v>
      </c>
      <c r="AJ7" s="32">
        <v>16.104248598205199</v>
      </c>
      <c r="AK7" s="15">
        <v>18.491124260355001</v>
      </c>
      <c r="AL7" s="15">
        <v>12.4183006535948</v>
      </c>
      <c r="AM7" s="15">
        <v>18.686868686868699</v>
      </c>
      <c r="AN7" s="15">
        <v>18.978102189781001</v>
      </c>
      <c r="AO7" s="15">
        <v>16.167664670658699</v>
      </c>
      <c r="AP7" s="15">
        <v>13.6460554371002</v>
      </c>
      <c r="AQ7" s="15">
        <v>22.0588235294118</v>
      </c>
      <c r="AR7" s="24">
        <v>14.8484848484848</v>
      </c>
      <c r="AS7" s="38"/>
    </row>
    <row r="8" spans="1:45">
      <c r="A8" s="9" t="s">
        <v>295</v>
      </c>
      <c r="B8" s="36">
        <v>18.5697047619086</v>
      </c>
      <c r="C8" s="32">
        <v>18.346044997920799</v>
      </c>
      <c r="D8" s="32">
        <v>19.7505554146889</v>
      </c>
      <c r="E8" s="32">
        <v>19.898336846086799</v>
      </c>
      <c r="F8" s="15">
        <v>29.411764705882401</v>
      </c>
      <c r="G8" s="20" t="s">
        <v>80</v>
      </c>
      <c r="H8" s="15">
        <v>22.346368715083798</v>
      </c>
      <c r="I8" s="15">
        <v>18.8118811881188</v>
      </c>
      <c r="J8" s="15">
        <v>21.428571428571399</v>
      </c>
      <c r="K8" s="15">
        <v>13.5135135135135</v>
      </c>
      <c r="L8" s="15">
        <v>10.2803738317757</v>
      </c>
      <c r="M8" s="15">
        <v>15.476190476190499</v>
      </c>
      <c r="N8" s="15">
        <v>22.2222222222222</v>
      </c>
      <c r="O8" s="15">
        <v>23.387096774193498</v>
      </c>
      <c r="P8" s="15">
        <v>18.181818181818201</v>
      </c>
      <c r="Q8" s="15">
        <v>14.705882352941201</v>
      </c>
      <c r="R8" s="15">
        <v>14.893617021276601</v>
      </c>
      <c r="S8" s="15">
        <v>17.3913043478261</v>
      </c>
      <c r="T8" s="15">
        <v>13.953488372093</v>
      </c>
      <c r="U8" s="15">
        <v>17.8571428571429</v>
      </c>
      <c r="V8" s="15">
        <v>28.947368421052602</v>
      </c>
      <c r="W8" s="15">
        <v>21.739130434782599</v>
      </c>
      <c r="X8" s="15">
        <v>16.2162162162162</v>
      </c>
      <c r="Y8" s="15">
        <v>18.181818181818201</v>
      </c>
      <c r="Z8" s="20" t="s">
        <v>80</v>
      </c>
      <c r="AA8" s="15">
        <v>19.565217391304301</v>
      </c>
      <c r="AB8" s="15">
        <v>50</v>
      </c>
      <c r="AC8" s="15">
        <v>28.571428571428601</v>
      </c>
      <c r="AD8" s="15">
        <v>58.695652173912997</v>
      </c>
      <c r="AE8" s="15">
        <v>15.1515151515152</v>
      </c>
      <c r="AF8" s="15">
        <v>22.727272727272702</v>
      </c>
      <c r="AG8" s="20" t="s">
        <v>80</v>
      </c>
      <c r="AH8" s="15">
        <v>24.731182795698899</v>
      </c>
      <c r="AI8" s="15">
        <v>23.214285714285701</v>
      </c>
      <c r="AJ8" s="32">
        <v>19.6212678430105</v>
      </c>
      <c r="AK8" s="15">
        <v>18.1952662721894</v>
      </c>
      <c r="AL8" s="15">
        <v>15.4684095860566</v>
      </c>
      <c r="AM8" s="15">
        <v>20.707070707070699</v>
      </c>
      <c r="AN8" s="15">
        <v>29.197080291970799</v>
      </c>
      <c r="AO8" s="15">
        <v>22.455089820359301</v>
      </c>
      <c r="AP8" s="15">
        <v>14.498933901918999</v>
      </c>
      <c r="AQ8" s="15">
        <v>32.352941176470601</v>
      </c>
      <c r="AR8" s="24">
        <v>26.363636363636399</v>
      </c>
      <c r="AS8" s="38"/>
    </row>
    <row r="9" spans="1:45">
      <c r="A9" s="9" t="s">
        <v>296</v>
      </c>
      <c r="B9" s="36">
        <v>16.1110316763009</v>
      </c>
      <c r="C9" s="32">
        <v>15.7283956794003</v>
      </c>
      <c r="D9" s="32">
        <v>16.612936985187499</v>
      </c>
      <c r="E9" s="32">
        <v>20.0496964867415</v>
      </c>
      <c r="F9" s="15">
        <v>21.568627450980401</v>
      </c>
      <c r="G9" s="20" t="s">
        <v>80</v>
      </c>
      <c r="H9" s="15">
        <v>23.463687150837998</v>
      </c>
      <c r="I9" s="15">
        <v>24.752475247524799</v>
      </c>
      <c r="J9" s="15">
        <v>27.1428571428571</v>
      </c>
      <c r="K9" s="15">
        <v>18.918918918918902</v>
      </c>
      <c r="L9" s="15">
        <v>10.2803738317757</v>
      </c>
      <c r="M9" s="15">
        <v>21.428571428571399</v>
      </c>
      <c r="N9" s="15">
        <v>21.5277777777778</v>
      </c>
      <c r="O9" s="15">
        <v>14.5161290322581</v>
      </c>
      <c r="P9" s="15">
        <v>19.008264462809901</v>
      </c>
      <c r="Q9" s="15">
        <v>23.529411764705898</v>
      </c>
      <c r="R9" s="15">
        <v>19.148936170212799</v>
      </c>
      <c r="S9" s="15">
        <v>15.2173913043478</v>
      </c>
      <c r="T9" s="15">
        <v>20.930232558139501</v>
      </c>
      <c r="U9" s="15">
        <v>16.071428571428601</v>
      </c>
      <c r="V9" s="15">
        <v>23.684210526315798</v>
      </c>
      <c r="W9" s="15">
        <v>17.3913043478261</v>
      </c>
      <c r="X9" s="15">
        <v>17.1171171171171</v>
      </c>
      <c r="Y9" s="15">
        <v>19.696969696969699</v>
      </c>
      <c r="Z9" s="20" t="s">
        <v>80</v>
      </c>
      <c r="AA9" s="20" t="s">
        <v>80</v>
      </c>
      <c r="AB9" s="20" t="s">
        <v>80</v>
      </c>
      <c r="AC9" s="15">
        <v>33.3333333333333</v>
      </c>
      <c r="AD9" s="15">
        <v>56.521739130434803</v>
      </c>
      <c r="AE9" s="20" t="s">
        <v>80</v>
      </c>
      <c r="AF9" s="15">
        <v>15.909090909090899</v>
      </c>
      <c r="AG9" s="20" t="s">
        <v>80</v>
      </c>
      <c r="AH9" s="15">
        <v>18.279569892473098</v>
      </c>
      <c r="AI9" s="15">
        <v>26.785714285714299</v>
      </c>
      <c r="AJ9" s="32">
        <v>13.606264995376</v>
      </c>
      <c r="AK9" s="15">
        <v>12.5739644970414</v>
      </c>
      <c r="AL9" s="15">
        <v>10.239651416121999</v>
      </c>
      <c r="AM9" s="15">
        <v>19.696969696969699</v>
      </c>
      <c r="AN9" s="15">
        <v>14.5985401459854</v>
      </c>
      <c r="AO9" s="15">
        <v>11.6766467065868</v>
      </c>
      <c r="AP9" s="15">
        <v>12.1535181236674</v>
      </c>
      <c r="AQ9" s="15">
        <v>15.4411764705882</v>
      </c>
      <c r="AR9" s="24">
        <v>20.303030303030301</v>
      </c>
      <c r="AS9" s="38"/>
    </row>
    <row r="10" spans="1:45">
      <c r="A10" s="9" t="s">
        <v>297</v>
      </c>
      <c r="B10" s="36">
        <v>10.1159711954861</v>
      </c>
      <c r="C10" s="32">
        <v>9.6148143351476296</v>
      </c>
      <c r="D10" s="32">
        <v>10.659306616272</v>
      </c>
      <c r="E10" s="32">
        <v>12.3110673798079</v>
      </c>
      <c r="F10" s="20" t="s">
        <v>80</v>
      </c>
      <c r="G10" s="20" t="s">
        <v>80</v>
      </c>
      <c r="H10" s="15">
        <v>11.731843575418999</v>
      </c>
      <c r="I10" s="15">
        <v>14.8514851485149</v>
      </c>
      <c r="J10" s="15">
        <v>17.1428571428571</v>
      </c>
      <c r="K10" s="20" t="s">
        <v>80</v>
      </c>
      <c r="L10" s="15">
        <v>11.214953271028</v>
      </c>
      <c r="M10" s="15">
        <v>9.5238095238095202</v>
      </c>
      <c r="N10" s="15">
        <v>14.5833333333333</v>
      </c>
      <c r="O10" s="15">
        <v>18.548387096774199</v>
      </c>
      <c r="P10" s="15">
        <v>12.396694214876</v>
      </c>
      <c r="Q10" s="15">
        <v>14.705882352941201</v>
      </c>
      <c r="R10" s="20" t="s">
        <v>80</v>
      </c>
      <c r="S10" s="15">
        <v>10.869565217391299</v>
      </c>
      <c r="T10" s="15">
        <v>11.6279069767442</v>
      </c>
      <c r="U10" s="20" t="s">
        <v>80</v>
      </c>
      <c r="V10" s="15">
        <v>18.421052631578899</v>
      </c>
      <c r="W10" s="15">
        <v>19.565217391304301</v>
      </c>
      <c r="X10" s="15">
        <v>10.8108108108108</v>
      </c>
      <c r="Y10" s="15">
        <v>12.8787878787879</v>
      </c>
      <c r="Z10" s="20" t="s">
        <v>80</v>
      </c>
      <c r="AA10" s="20" t="s">
        <v>80</v>
      </c>
      <c r="AB10" s="20" t="s">
        <v>80</v>
      </c>
      <c r="AC10" s="15">
        <v>16.6666666666667</v>
      </c>
      <c r="AD10" s="15">
        <v>34.7826086956522</v>
      </c>
      <c r="AE10" s="20" t="s">
        <v>80</v>
      </c>
      <c r="AF10" s="20" t="s">
        <v>80</v>
      </c>
      <c r="AG10" s="20" t="s">
        <v>80</v>
      </c>
      <c r="AH10" s="15">
        <v>10.752688172042999</v>
      </c>
      <c r="AI10" s="15">
        <v>17.8571428571429</v>
      </c>
      <c r="AJ10" s="32">
        <v>9.2142526870262706</v>
      </c>
      <c r="AK10" s="15">
        <v>6.0650887573964498</v>
      </c>
      <c r="AL10" s="15">
        <v>6.3180827886710196</v>
      </c>
      <c r="AM10" s="15">
        <v>10.6060606060606</v>
      </c>
      <c r="AN10" s="15">
        <v>8.7591240875912408</v>
      </c>
      <c r="AO10" s="15">
        <v>11.6766467065868</v>
      </c>
      <c r="AP10" s="15">
        <v>7.2494669509594898</v>
      </c>
      <c r="AQ10" s="15">
        <v>13.9705882352941</v>
      </c>
      <c r="AR10" s="24">
        <v>10.909090909090899</v>
      </c>
      <c r="AS10" s="38"/>
    </row>
    <row r="11" spans="1:45">
      <c r="A11" s="9" t="s">
        <v>298</v>
      </c>
      <c r="B11" s="36">
        <v>9.3917516017224703</v>
      </c>
      <c r="C11" s="32">
        <v>9.7286433525695006</v>
      </c>
      <c r="D11" s="32">
        <v>10.760698839405</v>
      </c>
      <c r="E11" s="32">
        <v>10.9798009223019</v>
      </c>
      <c r="F11" s="15">
        <v>15.6862745098039</v>
      </c>
      <c r="G11" s="20" t="s">
        <v>80</v>
      </c>
      <c r="H11" s="15">
        <v>11.173184357541899</v>
      </c>
      <c r="I11" s="15">
        <v>13.8613861386139</v>
      </c>
      <c r="J11" s="15">
        <v>11.4285714285714</v>
      </c>
      <c r="K11" s="20" t="s">
        <v>80</v>
      </c>
      <c r="L11" s="15">
        <v>6.5420560747663501</v>
      </c>
      <c r="M11" s="15">
        <v>10.714285714285699</v>
      </c>
      <c r="N11" s="15">
        <v>15.9722222222222</v>
      </c>
      <c r="O11" s="15">
        <v>11.290322580645199</v>
      </c>
      <c r="P11" s="15">
        <v>10.7438016528926</v>
      </c>
      <c r="Q11" s="20" t="s">
        <v>80</v>
      </c>
      <c r="R11" s="20" t="s">
        <v>80</v>
      </c>
      <c r="S11" s="15">
        <v>10.869565217391299</v>
      </c>
      <c r="T11" s="20" t="s">
        <v>80</v>
      </c>
      <c r="U11" s="15">
        <v>10.714285714285699</v>
      </c>
      <c r="V11" s="15">
        <v>13.157894736842101</v>
      </c>
      <c r="W11" s="20" t="s">
        <v>80</v>
      </c>
      <c r="X11" s="15">
        <v>11.7117117117117</v>
      </c>
      <c r="Y11" s="15">
        <v>9.0909090909090899</v>
      </c>
      <c r="Z11" s="20" t="s">
        <v>80</v>
      </c>
      <c r="AA11" s="20" t="s">
        <v>80</v>
      </c>
      <c r="AB11" s="20" t="s">
        <v>80</v>
      </c>
      <c r="AC11" s="15">
        <v>19.047619047619001</v>
      </c>
      <c r="AD11" s="15">
        <v>54.347826086956502</v>
      </c>
      <c r="AE11" s="20" t="s">
        <v>80</v>
      </c>
      <c r="AF11" s="20" t="s">
        <v>80</v>
      </c>
      <c r="AG11" s="20" t="s">
        <v>80</v>
      </c>
      <c r="AH11" s="15">
        <v>9.67741935483871</v>
      </c>
      <c r="AI11" s="15">
        <v>16.071428571428601</v>
      </c>
      <c r="AJ11" s="32">
        <v>10.569015919707599</v>
      </c>
      <c r="AK11" s="15">
        <v>8.8757396449704107</v>
      </c>
      <c r="AL11" s="15">
        <v>11.1111111111111</v>
      </c>
      <c r="AM11" s="15">
        <v>20.202020202020201</v>
      </c>
      <c r="AN11" s="15">
        <v>13.868613138686101</v>
      </c>
      <c r="AO11" s="15">
        <v>11.0778443113772</v>
      </c>
      <c r="AP11" s="15">
        <v>5.7569296375266497</v>
      </c>
      <c r="AQ11" s="15">
        <v>11.764705882352899</v>
      </c>
      <c r="AR11" s="24">
        <v>13.3333333333333</v>
      </c>
      <c r="AS11" s="38"/>
    </row>
    <row r="12" spans="1:45">
      <c r="A12" s="9" t="s">
        <v>299</v>
      </c>
      <c r="B12" s="36">
        <v>9.5388921369160098</v>
      </c>
      <c r="C12" s="32">
        <v>9.4457951952227308</v>
      </c>
      <c r="D12" s="32">
        <v>10.129494447961299</v>
      </c>
      <c r="E12" s="32">
        <v>13.5242747585263</v>
      </c>
      <c r="F12" s="20" t="s">
        <v>80</v>
      </c>
      <c r="G12" s="20" t="s">
        <v>80</v>
      </c>
      <c r="H12" s="15">
        <v>13.966480446927401</v>
      </c>
      <c r="I12" s="15">
        <v>22.7722772277228</v>
      </c>
      <c r="J12" s="15">
        <v>22.8571428571429</v>
      </c>
      <c r="K12" s="20" t="s">
        <v>80</v>
      </c>
      <c r="L12" s="15">
        <v>15.887850467289701</v>
      </c>
      <c r="M12" s="15">
        <v>9.5238095238095202</v>
      </c>
      <c r="N12" s="15">
        <v>15.9722222222222</v>
      </c>
      <c r="O12" s="15">
        <v>18.548387096774199</v>
      </c>
      <c r="P12" s="15">
        <v>16.528925619834698</v>
      </c>
      <c r="Q12" s="20" t="s">
        <v>80</v>
      </c>
      <c r="R12" s="20" t="s">
        <v>80</v>
      </c>
      <c r="S12" s="15">
        <v>13.0434782608696</v>
      </c>
      <c r="T12" s="15">
        <v>11.6279069767442</v>
      </c>
      <c r="U12" s="15">
        <v>10.714285714285699</v>
      </c>
      <c r="V12" s="15">
        <v>15.789473684210501</v>
      </c>
      <c r="W12" s="15">
        <v>10.869565217391299</v>
      </c>
      <c r="X12" s="15">
        <v>15.315315315315299</v>
      </c>
      <c r="Y12" s="15">
        <v>12.8787878787879</v>
      </c>
      <c r="Z12" s="15">
        <v>17.241379310344801</v>
      </c>
      <c r="AA12" s="15">
        <v>10.869565217391299</v>
      </c>
      <c r="AB12" s="20" t="s">
        <v>80</v>
      </c>
      <c r="AC12" s="15">
        <v>30.952380952380999</v>
      </c>
      <c r="AD12" s="15">
        <v>19.565217391304301</v>
      </c>
      <c r="AE12" s="20" t="s">
        <v>80</v>
      </c>
      <c r="AF12" s="15">
        <v>20.454545454545499</v>
      </c>
      <c r="AG12" s="20" t="s">
        <v>80</v>
      </c>
      <c r="AH12" s="15">
        <v>10.752688172042999</v>
      </c>
      <c r="AI12" s="15">
        <v>16.071428571428601</v>
      </c>
      <c r="AJ12" s="32">
        <v>7.1595482335913996</v>
      </c>
      <c r="AK12" s="15">
        <v>7.5443786982248504</v>
      </c>
      <c r="AL12" s="15">
        <v>3.7037037037037002</v>
      </c>
      <c r="AM12" s="15">
        <v>8.0808080808080796</v>
      </c>
      <c r="AN12" s="15">
        <v>13.868613138686101</v>
      </c>
      <c r="AO12" s="15">
        <v>6.2874251497006002</v>
      </c>
      <c r="AP12" s="15">
        <v>7.6759061833688698</v>
      </c>
      <c r="AQ12" s="15">
        <v>13.9705882352941</v>
      </c>
      <c r="AR12" s="24">
        <v>10</v>
      </c>
      <c r="AS12" s="38"/>
    </row>
    <row r="13" spans="1:45">
      <c r="A13" s="9" t="s">
        <v>300</v>
      </c>
      <c r="B13" s="36">
        <v>15.5673455375206</v>
      </c>
      <c r="C13" s="32">
        <v>14.7910001675044</v>
      </c>
      <c r="D13" s="32">
        <v>15.537892696632801</v>
      </c>
      <c r="E13" s="32">
        <v>15.780458068725</v>
      </c>
      <c r="F13" s="15">
        <v>11.764705882352899</v>
      </c>
      <c r="G13" s="20" t="s">
        <v>80</v>
      </c>
      <c r="H13" s="15">
        <v>16.201117318435799</v>
      </c>
      <c r="I13" s="15">
        <v>25.742574257425701</v>
      </c>
      <c r="J13" s="15">
        <v>11.4285714285714</v>
      </c>
      <c r="K13" s="20" t="s">
        <v>80</v>
      </c>
      <c r="L13" s="15">
        <v>12.1495327102804</v>
      </c>
      <c r="M13" s="15">
        <v>14.285714285714301</v>
      </c>
      <c r="N13" s="15">
        <v>18.75</v>
      </c>
      <c r="O13" s="15">
        <v>19.354838709677399</v>
      </c>
      <c r="P13" s="15">
        <v>15.702479338843</v>
      </c>
      <c r="Q13" s="20" t="s">
        <v>80</v>
      </c>
      <c r="R13" s="15">
        <v>12.7659574468085</v>
      </c>
      <c r="S13" s="20" t="s">
        <v>80</v>
      </c>
      <c r="T13" s="15">
        <v>11.6279069767442</v>
      </c>
      <c r="U13" s="15">
        <v>14.285714285714301</v>
      </c>
      <c r="V13" s="15">
        <v>15.789473684210501</v>
      </c>
      <c r="W13" s="15">
        <v>23.913043478260899</v>
      </c>
      <c r="X13" s="15">
        <v>15.315315315315299</v>
      </c>
      <c r="Y13" s="15">
        <v>19.696969696969699</v>
      </c>
      <c r="Z13" s="20" t="s">
        <v>80</v>
      </c>
      <c r="AA13" s="15">
        <v>10.869565217391299</v>
      </c>
      <c r="AB13" s="20" t="s">
        <v>80</v>
      </c>
      <c r="AC13" s="15">
        <v>16.6666666666667</v>
      </c>
      <c r="AD13" s="15">
        <v>23.913043478260899</v>
      </c>
      <c r="AE13" s="20" t="s">
        <v>80</v>
      </c>
      <c r="AF13" s="20" t="s">
        <v>80</v>
      </c>
      <c r="AG13" s="20" t="s">
        <v>80</v>
      </c>
      <c r="AH13" s="15">
        <v>25.806451612903199</v>
      </c>
      <c r="AI13" s="15">
        <v>12.5</v>
      </c>
      <c r="AJ13" s="32">
        <v>15.325682761768901</v>
      </c>
      <c r="AK13" s="15">
        <v>13.7573964497041</v>
      </c>
      <c r="AL13" s="15">
        <v>13.289760348583901</v>
      </c>
      <c r="AM13" s="15">
        <v>22.2222222222222</v>
      </c>
      <c r="AN13" s="15">
        <v>16.788321167883201</v>
      </c>
      <c r="AO13" s="15">
        <v>17.964071856287401</v>
      </c>
      <c r="AP13" s="15">
        <v>17.910447761194</v>
      </c>
      <c r="AQ13" s="15">
        <v>16.176470588235301</v>
      </c>
      <c r="AR13" s="24">
        <v>15.454545454545499</v>
      </c>
      <c r="AS13" s="38"/>
    </row>
    <row r="14" spans="1:45">
      <c r="A14" s="9" t="s">
        <v>301</v>
      </c>
      <c r="B14" s="36">
        <v>15.106881231318701</v>
      </c>
      <c r="C14" s="32">
        <v>14.4784612938615</v>
      </c>
      <c r="D14" s="32">
        <v>14.766924292438301</v>
      </c>
      <c r="E14" s="32">
        <v>16.287819660681802</v>
      </c>
      <c r="F14" s="15">
        <v>11.764705882352899</v>
      </c>
      <c r="G14" s="20" t="s">
        <v>80</v>
      </c>
      <c r="H14" s="15">
        <v>13.966480446927401</v>
      </c>
      <c r="I14" s="15">
        <v>28.712871287128699</v>
      </c>
      <c r="J14" s="15">
        <v>20</v>
      </c>
      <c r="K14" s="20" t="s">
        <v>80</v>
      </c>
      <c r="L14" s="15">
        <v>12.1495327102804</v>
      </c>
      <c r="M14" s="15">
        <v>14.285714285714301</v>
      </c>
      <c r="N14" s="15">
        <v>18.0555555555556</v>
      </c>
      <c r="O14" s="15">
        <v>23.387096774193498</v>
      </c>
      <c r="P14" s="15">
        <v>14.876033057851201</v>
      </c>
      <c r="Q14" s="15">
        <v>14.705882352941201</v>
      </c>
      <c r="R14" s="15">
        <v>12.7659574468085</v>
      </c>
      <c r="S14" s="15">
        <v>15.2173913043478</v>
      </c>
      <c r="T14" s="15">
        <v>11.6279069767442</v>
      </c>
      <c r="U14" s="15">
        <v>16.071428571428601</v>
      </c>
      <c r="V14" s="15">
        <v>13.157894736842101</v>
      </c>
      <c r="W14" s="20" t="s">
        <v>80</v>
      </c>
      <c r="X14" s="15">
        <v>20.720720720720699</v>
      </c>
      <c r="Y14" s="15">
        <v>14.3939393939394</v>
      </c>
      <c r="Z14" s="20" t="s">
        <v>80</v>
      </c>
      <c r="AA14" s="15">
        <v>15.2173913043478</v>
      </c>
      <c r="AB14" s="20" t="s">
        <v>80</v>
      </c>
      <c r="AC14" s="15">
        <v>23.8095238095238</v>
      </c>
      <c r="AD14" s="15">
        <v>28.260869565217401</v>
      </c>
      <c r="AE14" s="20" t="s">
        <v>80</v>
      </c>
      <c r="AF14" s="15">
        <v>11.363636363636401</v>
      </c>
      <c r="AG14" s="20" t="s">
        <v>80</v>
      </c>
      <c r="AH14" s="15">
        <v>17.204301075268798</v>
      </c>
      <c r="AI14" s="15">
        <v>19.6428571428571</v>
      </c>
      <c r="AJ14" s="32">
        <v>13.4363588277718</v>
      </c>
      <c r="AK14" s="15">
        <v>15.384615384615399</v>
      </c>
      <c r="AL14" s="15">
        <v>11.982570806100201</v>
      </c>
      <c r="AM14" s="15">
        <v>19.191919191919201</v>
      </c>
      <c r="AN14" s="15">
        <v>12.408759124087601</v>
      </c>
      <c r="AO14" s="15">
        <v>17.664670658682599</v>
      </c>
      <c r="AP14" s="15">
        <v>14.0724946695096</v>
      </c>
      <c r="AQ14" s="15">
        <v>6.6176470588235299</v>
      </c>
      <c r="AR14" s="24">
        <v>14.2424242424242</v>
      </c>
      <c r="AS14" s="38"/>
    </row>
    <row r="15" spans="1:45">
      <c r="A15" s="9" t="s">
        <v>302</v>
      </c>
      <c r="B15" s="36">
        <v>4.6981412668902003</v>
      </c>
      <c r="C15" s="32">
        <v>4.4459378675803602</v>
      </c>
      <c r="D15" s="32">
        <v>5.05510222127623</v>
      </c>
      <c r="E15" s="32">
        <v>5.83014716782007</v>
      </c>
      <c r="F15" s="20" t="s">
        <v>80</v>
      </c>
      <c r="G15" s="20" t="s">
        <v>80</v>
      </c>
      <c r="H15" s="15">
        <v>5.5865921787709496</v>
      </c>
      <c r="I15" s="15">
        <v>9.9009900990098991</v>
      </c>
      <c r="J15" s="20" t="s">
        <v>80</v>
      </c>
      <c r="K15" s="20" t="s">
        <v>80</v>
      </c>
      <c r="L15" s="20" t="s">
        <v>80</v>
      </c>
      <c r="M15" s="20" t="s">
        <v>80</v>
      </c>
      <c r="N15" s="15">
        <v>7.6388888888888902</v>
      </c>
      <c r="O15" s="15">
        <v>8.0645161290322598</v>
      </c>
      <c r="P15" s="15">
        <v>8.2644628099173598</v>
      </c>
      <c r="Q15" s="20" t="s">
        <v>80</v>
      </c>
      <c r="R15" s="20" t="s">
        <v>80</v>
      </c>
      <c r="S15" s="20" t="s">
        <v>80</v>
      </c>
      <c r="T15" s="20" t="s">
        <v>80</v>
      </c>
      <c r="U15" s="20" t="s">
        <v>80</v>
      </c>
      <c r="V15" s="20" t="s">
        <v>80</v>
      </c>
      <c r="W15" s="20" t="s">
        <v>80</v>
      </c>
      <c r="X15" s="15">
        <v>9.0090090090090094</v>
      </c>
      <c r="Y15" s="15">
        <v>6.8181818181818201</v>
      </c>
      <c r="Z15" s="20" t="s">
        <v>80</v>
      </c>
      <c r="AA15" s="20" t="s">
        <v>80</v>
      </c>
      <c r="AB15" s="20" t="s">
        <v>80</v>
      </c>
      <c r="AC15" s="20" t="s">
        <v>80</v>
      </c>
      <c r="AD15" s="15">
        <v>10.869565217391299</v>
      </c>
      <c r="AE15" s="20" t="s">
        <v>80</v>
      </c>
      <c r="AF15" s="20" t="s">
        <v>80</v>
      </c>
      <c r="AG15" s="20" t="s">
        <v>80</v>
      </c>
      <c r="AH15" s="15">
        <v>6.4516129032258096</v>
      </c>
      <c r="AI15" s="15">
        <v>8.9285714285714306</v>
      </c>
      <c r="AJ15" s="32">
        <v>4.3770489764784202</v>
      </c>
      <c r="AK15" s="15">
        <v>3.9940828402366901</v>
      </c>
      <c r="AL15" s="15">
        <v>1.7429193899782101</v>
      </c>
      <c r="AM15" s="15">
        <v>4.0404040404040398</v>
      </c>
      <c r="AN15" s="15">
        <v>8.0291970802919703</v>
      </c>
      <c r="AO15" s="15">
        <v>4.19161676646707</v>
      </c>
      <c r="AP15" s="15">
        <v>2.98507462686567</v>
      </c>
      <c r="AQ15" s="15">
        <v>5.8823529411764701</v>
      </c>
      <c r="AR15" s="24">
        <v>4.8484848484848504</v>
      </c>
      <c r="AS15" s="38"/>
    </row>
    <row r="16" spans="1:45">
      <c r="A16" s="9" t="s">
        <v>303</v>
      </c>
      <c r="B16" s="36">
        <v>24.711762473202398</v>
      </c>
      <c r="C16" s="32">
        <v>24.657571218057601</v>
      </c>
      <c r="D16" s="32">
        <v>26.088917040429699</v>
      </c>
      <c r="E16" s="32">
        <v>23.532784866046601</v>
      </c>
      <c r="F16" s="15">
        <v>13.7254901960784</v>
      </c>
      <c r="G16" s="15">
        <v>22.727272727272702</v>
      </c>
      <c r="H16" s="15">
        <v>19.553072625698299</v>
      </c>
      <c r="I16" s="15">
        <v>26.7326732673267</v>
      </c>
      <c r="J16" s="15">
        <v>27.1428571428571</v>
      </c>
      <c r="K16" s="15">
        <v>18.918918918918902</v>
      </c>
      <c r="L16" s="15">
        <v>20.5607476635514</v>
      </c>
      <c r="M16" s="15">
        <v>30.952380952380999</v>
      </c>
      <c r="N16" s="15">
        <v>23.6111111111111</v>
      </c>
      <c r="O16" s="15">
        <v>23.387096774193498</v>
      </c>
      <c r="P16" s="15">
        <v>27.272727272727298</v>
      </c>
      <c r="Q16" s="15">
        <v>14.705882352941201</v>
      </c>
      <c r="R16" s="15">
        <v>19.148936170212799</v>
      </c>
      <c r="S16" s="15">
        <v>17.3913043478261</v>
      </c>
      <c r="T16" s="15">
        <v>13.953488372093</v>
      </c>
      <c r="U16" s="15">
        <v>30.3571428571429</v>
      </c>
      <c r="V16" s="15">
        <v>13.157894736842101</v>
      </c>
      <c r="W16" s="15">
        <v>17.3913043478261</v>
      </c>
      <c r="X16" s="15">
        <v>26.126126126126099</v>
      </c>
      <c r="Y16" s="15">
        <v>22.727272727272702</v>
      </c>
      <c r="Z16" s="15">
        <v>34.482758620689701</v>
      </c>
      <c r="AA16" s="15">
        <v>13.0434782608696</v>
      </c>
      <c r="AB16" s="20" t="s">
        <v>80</v>
      </c>
      <c r="AC16" s="15">
        <v>30.952380952380999</v>
      </c>
      <c r="AD16" s="15">
        <v>65.2173913043478</v>
      </c>
      <c r="AE16" s="20" t="s">
        <v>80</v>
      </c>
      <c r="AF16" s="15">
        <v>15.909090909090899</v>
      </c>
      <c r="AG16" s="20" t="s">
        <v>80</v>
      </c>
      <c r="AH16" s="15">
        <v>24.731182795698899</v>
      </c>
      <c r="AI16" s="15">
        <v>25</v>
      </c>
      <c r="AJ16" s="32">
        <v>28.325166335004699</v>
      </c>
      <c r="AK16" s="15">
        <v>28.4023668639053</v>
      </c>
      <c r="AL16" s="15">
        <v>26.579520697167801</v>
      </c>
      <c r="AM16" s="15">
        <v>26.7676767676768</v>
      </c>
      <c r="AN16" s="15">
        <v>32.116788321167903</v>
      </c>
      <c r="AO16" s="15">
        <v>27.8443113772455</v>
      </c>
      <c r="AP16" s="15">
        <v>27.931769722814501</v>
      </c>
      <c r="AQ16" s="15">
        <v>27.205882352941199</v>
      </c>
      <c r="AR16" s="24">
        <v>33.636363636363598</v>
      </c>
      <c r="AS16" s="38"/>
    </row>
    <row r="17" spans="1:45">
      <c r="A17" s="9" t="s">
        <v>304</v>
      </c>
      <c r="B17" s="36">
        <v>19.946471642172899</v>
      </c>
      <c r="C17" s="32">
        <v>19.164227471981199</v>
      </c>
      <c r="D17" s="32">
        <v>20.9985788904747</v>
      </c>
      <c r="E17" s="32">
        <v>22.001204482111</v>
      </c>
      <c r="F17" s="15">
        <v>11.764705882352899</v>
      </c>
      <c r="G17" s="20" t="s">
        <v>80</v>
      </c>
      <c r="H17" s="15">
        <v>19.553072625698299</v>
      </c>
      <c r="I17" s="15">
        <v>26.7326732673267</v>
      </c>
      <c r="J17" s="15">
        <v>22.8571428571429</v>
      </c>
      <c r="K17" s="20" t="s">
        <v>80</v>
      </c>
      <c r="L17" s="15">
        <v>15.887850467289701</v>
      </c>
      <c r="M17" s="15">
        <v>23.8095238095238</v>
      </c>
      <c r="N17" s="15">
        <v>22.9166666666667</v>
      </c>
      <c r="O17" s="15">
        <v>20.161290322580601</v>
      </c>
      <c r="P17" s="15">
        <v>23.9669421487603</v>
      </c>
      <c r="Q17" s="20" t="s">
        <v>80</v>
      </c>
      <c r="R17" s="15">
        <v>17.021276595744698</v>
      </c>
      <c r="S17" s="15">
        <v>13.0434782608696</v>
      </c>
      <c r="T17" s="15">
        <v>13.953488372093</v>
      </c>
      <c r="U17" s="15">
        <v>19.6428571428571</v>
      </c>
      <c r="V17" s="15">
        <v>15.789473684210501</v>
      </c>
      <c r="W17" s="15">
        <v>15.2173913043478</v>
      </c>
      <c r="X17" s="15">
        <v>27.9279279279279</v>
      </c>
      <c r="Y17" s="15">
        <v>22.727272727272702</v>
      </c>
      <c r="Z17" s="20" t="s">
        <v>80</v>
      </c>
      <c r="AA17" s="15">
        <v>15.2173913043478</v>
      </c>
      <c r="AB17" s="20" t="s">
        <v>80</v>
      </c>
      <c r="AC17" s="15">
        <v>40.476190476190503</v>
      </c>
      <c r="AD17" s="15">
        <v>60.869565217391298</v>
      </c>
      <c r="AE17" s="20" t="s">
        <v>80</v>
      </c>
      <c r="AF17" s="15">
        <v>18.181818181818201</v>
      </c>
      <c r="AG17" s="15">
        <v>40</v>
      </c>
      <c r="AH17" s="15">
        <v>18.279569892473098</v>
      </c>
      <c r="AI17" s="15">
        <v>30.3571428571429</v>
      </c>
      <c r="AJ17" s="32">
        <v>20.1214251992497</v>
      </c>
      <c r="AK17" s="15">
        <v>20.266272189349099</v>
      </c>
      <c r="AL17" s="15">
        <v>21.132897603485802</v>
      </c>
      <c r="AM17" s="15">
        <v>20.707070707070699</v>
      </c>
      <c r="AN17" s="15">
        <v>24.817518248175201</v>
      </c>
      <c r="AO17" s="15">
        <v>23.652694610778401</v>
      </c>
      <c r="AP17" s="15">
        <v>18.3368869936034</v>
      </c>
      <c r="AQ17" s="15">
        <v>16.911764705882401</v>
      </c>
      <c r="AR17" s="24">
        <v>25.151515151515198</v>
      </c>
      <c r="AS17" s="38"/>
    </row>
    <row r="18" spans="1:45" ht="18">
      <c r="A18" s="9" t="s">
        <v>305</v>
      </c>
      <c r="B18" s="36">
        <v>4.9522296255065399</v>
      </c>
      <c r="C18" s="32">
        <v>5.0285018622375501</v>
      </c>
      <c r="D18" s="32">
        <v>4.6371541189855696</v>
      </c>
      <c r="E18" s="32">
        <v>1.97323982975118</v>
      </c>
      <c r="F18" s="20" t="s">
        <v>80</v>
      </c>
      <c r="G18" s="20" t="s">
        <v>80</v>
      </c>
      <c r="H18" s="15">
        <v>2.7932960893854699</v>
      </c>
      <c r="I18" s="20" t="s">
        <v>80</v>
      </c>
      <c r="J18" s="20" t="s">
        <v>80</v>
      </c>
      <c r="K18" s="20" t="s">
        <v>80</v>
      </c>
      <c r="L18" s="20" t="s">
        <v>80</v>
      </c>
      <c r="M18" s="20" t="s">
        <v>80</v>
      </c>
      <c r="N18" s="20" t="s">
        <v>80</v>
      </c>
      <c r="O18" s="20" t="s">
        <v>80</v>
      </c>
      <c r="P18" s="15">
        <v>4.95867768595041</v>
      </c>
      <c r="Q18" s="20" t="s">
        <v>80</v>
      </c>
      <c r="R18" s="20" t="s">
        <v>80</v>
      </c>
      <c r="S18" s="20" t="s">
        <v>80</v>
      </c>
      <c r="T18" s="20" t="s">
        <v>80</v>
      </c>
      <c r="U18" s="20" t="s">
        <v>80</v>
      </c>
      <c r="V18" s="20" t="s">
        <v>80</v>
      </c>
      <c r="W18" s="20" t="s">
        <v>80</v>
      </c>
      <c r="X18" s="20" t="s">
        <v>80</v>
      </c>
      <c r="Y18" s="20" t="s">
        <v>80</v>
      </c>
      <c r="Z18" s="20" t="s">
        <v>80</v>
      </c>
      <c r="AA18" s="20" t="s">
        <v>80</v>
      </c>
      <c r="AB18" s="20" t="s">
        <v>80</v>
      </c>
      <c r="AC18" s="20" t="s">
        <v>80</v>
      </c>
      <c r="AD18" s="20" t="s">
        <v>80</v>
      </c>
      <c r="AE18" s="20" t="s">
        <v>80</v>
      </c>
      <c r="AF18" s="20" t="s">
        <v>80</v>
      </c>
      <c r="AG18" s="20" t="s">
        <v>80</v>
      </c>
      <c r="AH18" s="20" t="s">
        <v>80</v>
      </c>
      <c r="AI18" s="20" t="s">
        <v>80</v>
      </c>
      <c r="AJ18" s="32">
        <v>6.9676973161683504</v>
      </c>
      <c r="AK18" s="15">
        <v>7.1005917159763303</v>
      </c>
      <c r="AL18" s="15">
        <v>5.0108932461873597</v>
      </c>
      <c r="AM18" s="15">
        <v>8.5858585858585901</v>
      </c>
      <c r="AN18" s="15">
        <v>13.138686131386899</v>
      </c>
      <c r="AO18" s="15">
        <v>5.6886227544910204</v>
      </c>
      <c r="AP18" s="15">
        <v>4.2643923240938202</v>
      </c>
      <c r="AQ18" s="15">
        <v>10.294117647058799</v>
      </c>
      <c r="AR18" s="24">
        <v>7.5757575757575797</v>
      </c>
      <c r="AS18" s="38"/>
    </row>
    <row r="19" spans="1:45">
      <c r="A19" s="9" t="s">
        <v>306</v>
      </c>
      <c r="B19" s="36">
        <v>22.975134184654799</v>
      </c>
      <c r="C19" s="32">
        <v>22.942712280339698</v>
      </c>
      <c r="D19" s="32">
        <v>23.505603346188401</v>
      </c>
      <c r="E19" s="32">
        <v>21.233239691288301</v>
      </c>
      <c r="F19" s="15">
        <v>23.529411764705898</v>
      </c>
      <c r="G19" s="15">
        <v>27.272727272727298</v>
      </c>
      <c r="H19" s="15">
        <v>20.111731843575399</v>
      </c>
      <c r="I19" s="15">
        <v>21.782178217821802</v>
      </c>
      <c r="J19" s="15">
        <v>28.571428571428601</v>
      </c>
      <c r="K19" s="20" t="s">
        <v>80</v>
      </c>
      <c r="L19" s="15">
        <v>19.6261682242991</v>
      </c>
      <c r="M19" s="15">
        <v>25</v>
      </c>
      <c r="N19" s="15">
        <v>18.75</v>
      </c>
      <c r="O19" s="15">
        <v>20.161290322580601</v>
      </c>
      <c r="P19" s="15">
        <v>20.6611570247934</v>
      </c>
      <c r="Q19" s="15">
        <v>29.411764705882401</v>
      </c>
      <c r="R19" s="15">
        <v>23.404255319148898</v>
      </c>
      <c r="S19" s="15">
        <v>21.739130434782599</v>
      </c>
      <c r="T19" s="15">
        <v>20.930232558139501</v>
      </c>
      <c r="U19" s="15">
        <v>21.428571428571399</v>
      </c>
      <c r="V19" s="15">
        <v>13.157894736842101</v>
      </c>
      <c r="W19" s="15">
        <v>17.3913043478261</v>
      </c>
      <c r="X19" s="15">
        <v>18.918918918918902</v>
      </c>
      <c r="Y19" s="15">
        <v>25.7575757575758</v>
      </c>
      <c r="Z19" s="20" t="s">
        <v>80</v>
      </c>
      <c r="AA19" s="15">
        <v>21.739130434782599</v>
      </c>
      <c r="AB19" s="15">
        <v>31.818181818181799</v>
      </c>
      <c r="AC19" s="15">
        <v>14.285714285714301</v>
      </c>
      <c r="AD19" s="15">
        <v>76.086956521739097</v>
      </c>
      <c r="AE19" s="15">
        <v>15.1515151515152</v>
      </c>
      <c r="AF19" s="15">
        <v>22.727272727272702</v>
      </c>
      <c r="AG19" s="20" t="s">
        <v>80</v>
      </c>
      <c r="AH19" s="15">
        <v>16.129032258064498</v>
      </c>
      <c r="AI19" s="15">
        <v>17.8571428571429</v>
      </c>
      <c r="AJ19" s="32">
        <v>25.4935958573795</v>
      </c>
      <c r="AK19" s="15">
        <v>29.142011834319501</v>
      </c>
      <c r="AL19" s="15">
        <v>20.915032679738601</v>
      </c>
      <c r="AM19" s="15">
        <v>28.7878787878788</v>
      </c>
      <c r="AN19" s="15">
        <v>35.036496350364999</v>
      </c>
      <c r="AO19" s="15">
        <v>28.742514970059901</v>
      </c>
      <c r="AP19" s="15">
        <v>19.829424307036199</v>
      </c>
      <c r="AQ19" s="15">
        <v>22.794117647058801</v>
      </c>
      <c r="AR19" s="24">
        <v>28.7878787878788</v>
      </c>
      <c r="AS19" s="38"/>
    </row>
    <row r="20" spans="1:45">
      <c r="A20" s="9" t="s">
        <v>307</v>
      </c>
      <c r="B20" s="36">
        <v>9.3381259836545301</v>
      </c>
      <c r="C20" s="32">
        <v>9.2696611030447897</v>
      </c>
      <c r="D20" s="32">
        <v>9.0988650202919903</v>
      </c>
      <c r="E20" s="32">
        <v>7.9235648884086398</v>
      </c>
      <c r="F20" s="20" t="s">
        <v>80</v>
      </c>
      <c r="G20" s="20" t="s">
        <v>80</v>
      </c>
      <c r="H20" s="15">
        <v>3.91061452513966</v>
      </c>
      <c r="I20" s="20" t="s">
        <v>80</v>
      </c>
      <c r="J20" s="20" t="s">
        <v>80</v>
      </c>
      <c r="K20" s="20" t="s">
        <v>80</v>
      </c>
      <c r="L20" s="15">
        <v>7.4766355140186898</v>
      </c>
      <c r="M20" s="20" t="s">
        <v>80</v>
      </c>
      <c r="N20" s="15">
        <v>6.25</v>
      </c>
      <c r="O20" s="15">
        <v>9.67741935483871</v>
      </c>
      <c r="P20" s="15">
        <v>6.61157024793388</v>
      </c>
      <c r="Q20" s="20" t="s">
        <v>80</v>
      </c>
      <c r="R20" s="20" t="s">
        <v>80</v>
      </c>
      <c r="S20" s="20" t="s">
        <v>80</v>
      </c>
      <c r="T20" s="20" t="s">
        <v>80</v>
      </c>
      <c r="U20" s="15">
        <v>8.9285714285714306</v>
      </c>
      <c r="V20" s="20" t="s">
        <v>80</v>
      </c>
      <c r="W20" s="20" t="s">
        <v>80</v>
      </c>
      <c r="X20" s="15">
        <v>9.0090090090090094</v>
      </c>
      <c r="Y20" s="15">
        <v>5.3030303030303001</v>
      </c>
      <c r="Z20" s="20" t="s">
        <v>80</v>
      </c>
      <c r="AA20" s="15">
        <v>21.739130434782599</v>
      </c>
      <c r="AB20" s="20" t="s">
        <v>80</v>
      </c>
      <c r="AC20" s="20" t="s">
        <v>80</v>
      </c>
      <c r="AD20" s="20" t="s">
        <v>80</v>
      </c>
      <c r="AE20" s="20" t="s">
        <v>80</v>
      </c>
      <c r="AF20" s="20" t="s">
        <v>80</v>
      </c>
      <c r="AG20" s="20" t="s">
        <v>80</v>
      </c>
      <c r="AH20" s="15">
        <v>6.4516129032258096</v>
      </c>
      <c r="AI20" s="20" t="s">
        <v>80</v>
      </c>
      <c r="AJ20" s="32">
        <v>10.1270841856301</v>
      </c>
      <c r="AK20" s="15">
        <v>13.609467455621299</v>
      </c>
      <c r="AL20" s="15">
        <v>11.1111111111111</v>
      </c>
      <c r="AM20" s="15">
        <v>5.0505050505050502</v>
      </c>
      <c r="AN20" s="15">
        <v>3.6496350364963499</v>
      </c>
      <c r="AO20" s="15">
        <v>8.6826347305389202</v>
      </c>
      <c r="AP20" s="15">
        <v>9.1684434968017108</v>
      </c>
      <c r="AQ20" s="15">
        <v>5.8823529411764701</v>
      </c>
      <c r="AR20" s="24">
        <v>5.1515151515151496</v>
      </c>
      <c r="AS20" s="38"/>
    </row>
    <row r="21" spans="1:45">
      <c r="A21" s="11" t="s">
        <v>308</v>
      </c>
      <c r="B21" s="37">
        <v>6.0758846238811897</v>
      </c>
      <c r="C21" s="33">
        <v>5.82097749260409</v>
      </c>
      <c r="D21" s="33">
        <v>6.1144839294942201</v>
      </c>
      <c r="E21" s="33">
        <v>7.0905230581239698</v>
      </c>
      <c r="F21" s="28" t="s">
        <v>80</v>
      </c>
      <c r="G21" s="28" t="s">
        <v>80</v>
      </c>
      <c r="H21" s="16">
        <v>10.614525139664799</v>
      </c>
      <c r="I21" s="16">
        <v>9.9009900990098991</v>
      </c>
      <c r="J21" s="16">
        <v>7.1428571428571397</v>
      </c>
      <c r="K21" s="28" t="s">
        <v>80</v>
      </c>
      <c r="L21" s="16">
        <v>7.4766355140186898</v>
      </c>
      <c r="M21" s="16">
        <v>10.714285714285699</v>
      </c>
      <c r="N21" s="16">
        <v>5.5555555555555598</v>
      </c>
      <c r="O21" s="16">
        <v>12.0967741935484</v>
      </c>
      <c r="P21" s="16">
        <v>4.95867768595041</v>
      </c>
      <c r="Q21" s="28" t="s">
        <v>80</v>
      </c>
      <c r="R21" s="28" t="s">
        <v>80</v>
      </c>
      <c r="S21" s="28" t="s">
        <v>80</v>
      </c>
      <c r="T21" s="28" t="s">
        <v>80</v>
      </c>
      <c r="U21" s="28" t="s">
        <v>80</v>
      </c>
      <c r="V21" s="28" t="s">
        <v>80</v>
      </c>
      <c r="W21" s="28" t="s">
        <v>80</v>
      </c>
      <c r="X21" s="28" t="s">
        <v>80</v>
      </c>
      <c r="Y21" s="16">
        <v>9.8484848484848495</v>
      </c>
      <c r="Z21" s="28" t="s">
        <v>80</v>
      </c>
      <c r="AA21" s="28" t="s">
        <v>80</v>
      </c>
      <c r="AB21" s="28" t="s">
        <v>80</v>
      </c>
      <c r="AC21" s="28" t="s">
        <v>80</v>
      </c>
      <c r="AD21" s="28" t="s">
        <v>80</v>
      </c>
      <c r="AE21" s="16">
        <v>24.2424242424242</v>
      </c>
      <c r="AF21" s="28" t="s">
        <v>80</v>
      </c>
      <c r="AG21" s="28" t="s">
        <v>80</v>
      </c>
      <c r="AH21" s="16">
        <v>10.752688172042999</v>
      </c>
      <c r="AI21" s="16">
        <v>12.5</v>
      </c>
      <c r="AJ21" s="33">
        <v>5.2605895828911899</v>
      </c>
      <c r="AK21" s="16">
        <v>5.32544378698225</v>
      </c>
      <c r="AL21" s="16">
        <v>6.5359477124182996</v>
      </c>
      <c r="AM21" s="16">
        <v>6.0606060606060597</v>
      </c>
      <c r="AN21" s="16">
        <v>5.8394160583941597</v>
      </c>
      <c r="AO21" s="16">
        <v>7.1856287425149699</v>
      </c>
      <c r="AP21" s="16">
        <v>6.3965884861407201</v>
      </c>
      <c r="AQ21" s="16">
        <v>10.294117647058799</v>
      </c>
      <c r="AR21" s="25">
        <v>3.9393939393939399</v>
      </c>
      <c r="AS21" s="38"/>
    </row>
    <row r="22" spans="1:45" ht="30" customHeight="1">
      <c r="A22" t="s">
        <v>155</v>
      </c>
    </row>
    <row r="23" spans="1:45" ht="18">
      <c r="A23" t="s">
        <v>309</v>
      </c>
    </row>
    <row r="24" spans="1:45">
      <c r="A24" t="s">
        <v>93</v>
      </c>
    </row>
    <row r="25" spans="1:45">
      <c r="A25" t="s">
        <v>94</v>
      </c>
    </row>
    <row r="26" spans="1:45">
      <c r="A26" t="s">
        <v>95</v>
      </c>
    </row>
    <row r="27" spans="1:45">
      <c r="A27" t="s">
        <v>96</v>
      </c>
    </row>
    <row r="28" spans="1:45">
      <c r="A28" t="s">
        <v>97</v>
      </c>
    </row>
    <row r="29" spans="1:45">
      <c r="A2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13"/>
  <sheetViews>
    <sheetView zoomScale="70" workbookViewId="0"/>
  </sheetViews>
  <sheetFormatPr defaultColWidth="10.90625" defaultRowHeight="15"/>
  <cols>
    <col min="1" max="1" width="51.6796875" customWidth="1"/>
    <col min="2" max="16" width="15.90625" customWidth="1"/>
  </cols>
  <sheetData>
    <row r="1" spans="1:16" ht="39.9" customHeight="1">
      <c r="A1" s="10" t="s">
        <v>311</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39" t="s">
        <v>312</v>
      </c>
      <c r="B3" s="15"/>
      <c r="C3" s="15"/>
      <c r="D3" s="24"/>
      <c r="E3" s="15"/>
      <c r="F3" s="15"/>
      <c r="G3" s="24"/>
      <c r="H3" s="15"/>
      <c r="I3" s="15"/>
      <c r="J3" s="24"/>
      <c r="K3" s="15"/>
      <c r="L3" s="15"/>
      <c r="M3" s="24"/>
      <c r="N3" s="15"/>
      <c r="O3" s="15"/>
      <c r="P3" s="24"/>
    </row>
    <row r="4" spans="1:16">
      <c r="A4" s="9" t="s">
        <v>313</v>
      </c>
      <c r="B4" s="15">
        <v>58.314833375728398</v>
      </c>
      <c r="C4" s="15">
        <v>62.6446776312266</v>
      </c>
      <c r="D4" s="24">
        <v>54.526840227715901</v>
      </c>
      <c r="E4" s="15">
        <v>63.819412817631303</v>
      </c>
      <c r="F4" s="15">
        <v>66.710618853130697</v>
      </c>
      <c r="G4" s="24">
        <v>61.275157198320997</v>
      </c>
      <c r="H4" s="15">
        <v>53.779428856175798</v>
      </c>
      <c r="I4" s="15">
        <v>59.468434523700097</v>
      </c>
      <c r="J4" s="24">
        <v>48.757522369171703</v>
      </c>
      <c r="K4" s="20" t="s">
        <v>80</v>
      </c>
      <c r="L4" s="20" t="s">
        <v>80</v>
      </c>
      <c r="M4" s="26" t="s">
        <v>80</v>
      </c>
      <c r="N4" s="15">
        <v>44.562138948956502</v>
      </c>
      <c r="O4" s="20" t="s">
        <v>80</v>
      </c>
      <c r="P4" s="26" t="s">
        <v>80</v>
      </c>
    </row>
    <row r="5" spans="1:16">
      <c r="A5" s="39" t="s">
        <v>314</v>
      </c>
      <c r="B5" s="15"/>
      <c r="C5" s="15"/>
      <c r="D5" s="24"/>
      <c r="E5" s="15"/>
      <c r="F5" s="15"/>
      <c r="G5" s="24"/>
      <c r="H5" s="15"/>
      <c r="I5" s="15"/>
      <c r="J5" s="24"/>
      <c r="K5" s="15"/>
      <c r="L5" s="15"/>
      <c r="M5" s="24"/>
      <c r="N5" s="15"/>
      <c r="O5" s="15"/>
      <c r="P5" s="24"/>
    </row>
    <row r="6" spans="1:16">
      <c r="A6" s="9" t="s">
        <v>315</v>
      </c>
      <c r="B6" s="15">
        <v>9.7959818243170798</v>
      </c>
      <c r="C6" s="15">
        <v>10.915868761971</v>
      </c>
      <c r="D6" s="24">
        <v>8.8162412618257395</v>
      </c>
      <c r="E6" s="15">
        <v>11.344951248356899</v>
      </c>
      <c r="F6" s="15">
        <v>12.4006547120576</v>
      </c>
      <c r="G6" s="24">
        <v>10.415934278668001</v>
      </c>
      <c r="H6" s="15">
        <v>8.3954929831568794</v>
      </c>
      <c r="I6" s="15">
        <v>9.7338620325874707</v>
      </c>
      <c r="J6" s="24">
        <v>7.2140625884380398</v>
      </c>
      <c r="K6" s="20" t="s">
        <v>80</v>
      </c>
      <c r="L6" s="20" t="s">
        <v>80</v>
      </c>
      <c r="M6" s="26" t="s">
        <v>80</v>
      </c>
      <c r="N6" s="20" t="s">
        <v>80</v>
      </c>
      <c r="O6" s="20" t="s">
        <v>80</v>
      </c>
      <c r="P6" s="26" t="s">
        <v>80</v>
      </c>
    </row>
    <row r="7" spans="1:16">
      <c r="A7" s="11" t="s">
        <v>316</v>
      </c>
      <c r="B7" s="16">
        <v>25.5018817886466</v>
      </c>
      <c r="C7" s="16">
        <v>26.072629381722901</v>
      </c>
      <c r="D7" s="25">
        <v>25.002559447185501</v>
      </c>
      <c r="E7" s="16">
        <v>27.245528661733601</v>
      </c>
      <c r="F7" s="16">
        <v>28.2230484443749</v>
      </c>
      <c r="G7" s="25">
        <v>26.3853131774564</v>
      </c>
      <c r="H7" s="16">
        <v>23.966599076908601</v>
      </c>
      <c r="I7" s="16">
        <v>24.024227998465399</v>
      </c>
      <c r="J7" s="25">
        <v>23.915727787281199</v>
      </c>
      <c r="K7" s="28" t="s">
        <v>80</v>
      </c>
      <c r="L7" s="28" t="s">
        <v>80</v>
      </c>
      <c r="M7" s="29" t="s">
        <v>80</v>
      </c>
      <c r="N7" s="28" t="s">
        <v>80</v>
      </c>
      <c r="O7" s="28" t="s">
        <v>80</v>
      </c>
      <c r="P7" s="29" t="s">
        <v>80</v>
      </c>
    </row>
    <row r="8" spans="1:16" ht="30" customHeight="1">
      <c r="A8" t="s">
        <v>93</v>
      </c>
    </row>
    <row r="9" spans="1:16">
      <c r="A9" t="s">
        <v>94</v>
      </c>
    </row>
    <row r="10" spans="1:16">
      <c r="A10" t="s">
        <v>95</v>
      </c>
    </row>
    <row r="11" spans="1:16">
      <c r="A11" t="s">
        <v>96</v>
      </c>
    </row>
    <row r="12" spans="1:16">
      <c r="A12" t="s">
        <v>97</v>
      </c>
    </row>
    <row r="13" spans="1:16">
      <c r="A1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S14"/>
  <sheetViews>
    <sheetView zoomScale="55" workbookViewId="0"/>
  </sheetViews>
  <sheetFormatPr defaultColWidth="10.90625" defaultRowHeight="15"/>
  <cols>
    <col min="1" max="1" width="51.6796875" customWidth="1"/>
    <col min="2" max="44" width="13.6796875" customWidth="1"/>
  </cols>
  <sheetData>
    <row r="1" spans="1:45" ht="39.9" customHeight="1">
      <c r="A1" s="10" t="s">
        <v>317</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row>
    <row r="2" spans="1:45"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0" t="s">
        <v>137</v>
      </c>
      <c r="AB2" s="30" t="s">
        <v>138</v>
      </c>
      <c r="AC2" s="30" t="s">
        <v>139</v>
      </c>
      <c r="AD2" s="30" t="s">
        <v>140</v>
      </c>
      <c r="AE2" s="30" t="s">
        <v>141</v>
      </c>
      <c r="AF2" s="30" t="s">
        <v>142</v>
      </c>
      <c r="AG2" s="30" t="s">
        <v>143</v>
      </c>
      <c r="AH2" s="30" t="s">
        <v>144</v>
      </c>
      <c r="AI2" s="30" t="s">
        <v>145</v>
      </c>
      <c r="AJ2" s="31" t="s">
        <v>146</v>
      </c>
      <c r="AK2" s="30" t="s">
        <v>147</v>
      </c>
      <c r="AL2" s="30" t="s">
        <v>148</v>
      </c>
      <c r="AM2" s="30" t="s">
        <v>149</v>
      </c>
      <c r="AN2" s="30" t="s">
        <v>150</v>
      </c>
      <c r="AO2" s="30" t="s">
        <v>151</v>
      </c>
      <c r="AP2" s="30" t="s">
        <v>152</v>
      </c>
      <c r="AQ2" s="30" t="s">
        <v>153</v>
      </c>
      <c r="AR2" s="30" t="s">
        <v>154</v>
      </c>
      <c r="AS2" s="38"/>
    </row>
    <row r="3" spans="1:45">
      <c r="A3" s="39" t="s">
        <v>312</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32"/>
      <c r="AK3" s="15"/>
      <c r="AL3" s="15"/>
      <c r="AM3" s="15"/>
      <c r="AN3" s="15"/>
      <c r="AO3" s="15"/>
      <c r="AP3" s="15"/>
      <c r="AQ3" s="15"/>
      <c r="AR3" s="24"/>
      <c r="AS3" s="38"/>
    </row>
    <row r="4" spans="1:45">
      <c r="A4" s="9" t="s">
        <v>313</v>
      </c>
      <c r="B4" s="36">
        <v>54.410660196278002</v>
      </c>
      <c r="C4" s="32">
        <v>57.44489968053</v>
      </c>
      <c r="D4" s="32">
        <v>58.314833375728398</v>
      </c>
      <c r="E4" s="32">
        <v>62.6446776312266</v>
      </c>
      <c r="F4" s="15">
        <v>70.588235294117695</v>
      </c>
      <c r="G4" s="15">
        <v>59.090909090909101</v>
      </c>
      <c r="H4" s="15">
        <v>52.513966480446904</v>
      </c>
      <c r="I4" s="15">
        <v>57.425742574257399</v>
      </c>
      <c r="J4" s="15">
        <v>71.428571428571402</v>
      </c>
      <c r="K4" s="15">
        <v>78.3783783783784</v>
      </c>
      <c r="L4" s="15">
        <v>68.224299065420595</v>
      </c>
      <c r="M4" s="15">
        <v>67.857142857142904</v>
      </c>
      <c r="N4" s="15">
        <v>68.0555555555556</v>
      </c>
      <c r="O4" s="15">
        <v>60.4838709677419</v>
      </c>
      <c r="P4" s="15">
        <v>65.289256198347104</v>
      </c>
      <c r="Q4" s="15">
        <v>76.470588235294102</v>
      </c>
      <c r="R4" s="15">
        <v>63.829787234042598</v>
      </c>
      <c r="S4" s="15">
        <v>78.260869565217405</v>
      </c>
      <c r="T4" s="15">
        <v>60.465116279069797</v>
      </c>
      <c r="U4" s="15">
        <v>64.285714285714306</v>
      </c>
      <c r="V4" s="15">
        <v>55.2631578947368</v>
      </c>
      <c r="W4" s="15">
        <v>54.347826086956502</v>
      </c>
      <c r="X4" s="15">
        <v>69.369369369369394</v>
      </c>
      <c r="Y4" s="15">
        <v>42.424242424242401</v>
      </c>
      <c r="Z4" s="15">
        <v>68.965517241379303</v>
      </c>
      <c r="AA4" s="15">
        <v>60.869565217391298</v>
      </c>
      <c r="AB4" s="15">
        <v>54.545454545454497</v>
      </c>
      <c r="AC4" s="15">
        <v>71.428571428571402</v>
      </c>
      <c r="AD4" s="15">
        <v>41.304347826087003</v>
      </c>
      <c r="AE4" s="15">
        <v>78.787878787878796</v>
      </c>
      <c r="AF4" s="15">
        <v>70.454545454545496</v>
      </c>
      <c r="AG4" s="15">
        <v>80</v>
      </c>
      <c r="AH4" s="15">
        <v>69.892473118279597</v>
      </c>
      <c r="AI4" s="15">
        <v>66.071428571428598</v>
      </c>
      <c r="AJ4" s="32">
        <v>54.526840227715901</v>
      </c>
      <c r="AK4" s="15">
        <v>43.343195266272197</v>
      </c>
      <c r="AL4" s="15">
        <v>51.416122004357298</v>
      </c>
      <c r="AM4" s="15">
        <v>55.050505050505102</v>
      </c>
      <c r="AN4" s="15">
        <v>71.532846715328503</v>
      </c>
      <c r="AO4" s="15">
        <v>51.497005988024</v>
      </c>
      <c r="AP4" s="15">
        <v>57.7825159914712</v>
      </c>
      <c r="AQ4" s="15">
        <v>68.382352941176507</v>
      </c>
      <c r="AR4" s="24">
        <v>72.424242424242394</v>
      </c>
      <c r="AS4" s="38"/>
    </row>
    <row r="5" spans="1:45">
      <c r="A5" s="39" t="s">
        <v>314</v>
      </c>
      <c r="B5" s="36"/>
      <c r="C5" s="32"/>
      <c r="D5" s="32"/>
      <c r="E5" s="32"/>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32"/>
      <c r="AK5" s="15"/>
      <c r="AL5" s="15"/>
      <c r="AM5" s="15"/>
      <c r="AN5" s="15"/>
      <c r="AO5" s="15"/>
      <c r="AP5" s="15"/>
      <c r="AQ5" s="15"/>
      <c r="AR5" s="24"/>
      <c r="AS5" s="38"/>
    </row>
    <row r="6" spans="1:45">
      <c r="A6" s="9" t="s">
        <v>315</v>
      </c>
      <c r="B6" s="36">
        <v>10.093660482023401</v>
      </c>
      <c r="C6" s="32">
        <v>10.642624597317999</v>
      </c>
      <c r="D6" s="32">
        <v>9.7959818243170798</v>
      </c>
      <c r="E6" s="32">
        <v>10.915868761971</v>
      </c>
      <c r="F6" s="15">
        <v>37.254901960784302</v>
      </c>
      <c r="G6" s="20" t="s">
        <v>80</v>
      </c>
      <c r="H6" s="15">
        <v>5.0279329608938497</v>
      </c>
      <c r="I6" s="20" t="s">
        <v>80</v>
      </c>
      <c r="J6" s="15">
        <v>12.8571428571429</v>
      </c>
      <c r="K6" s="20" t="s">
        <v>80</v>
      </c>
      <c r="L6" s="15">
        <v>7.4766355140186898</v>
      </c>
      <c r="M6" s="20" t="s">
        <v>80</v>
      </c>
      <c r="N6" s="15">
        <v>6.9444444444444402</v>
      </c>
      <c r="O6" s="15">
        <v>8.0645161290322598</v>
      </c>
      <c r="P6" s="20" t="s">
        <v>80</v>
      </c>
      <c r="Q6" s="15">
        <v>50</v>
      </c>
      <c r="R6" s="20" t="s">
        <v>80</v>
      </c>
      <c r="S6" s="20" t="s">
        <v>80</v>
      </c>
      <c r="T6" s="20" t="s">
        <v>80</v>
      </c>
      <c r="U6" s="15">
        <v>12.5</v>
      </c>
      <c r="V6" s="20" t="s">
        <v>80</v>
      </c>
      <c r="W6" s="20" t="s">
        <v>80</v>
      </c>
      <c r="X6" s="15">
        <v>8.1081081081081106</v>
      </c>
      <c r="Y6" s="15">
        <v>4.5454545454545396</v>
      </c>
      <c r="Z6" s="20" t="s">
        <v>80</v>
      </c>
      <c r="AA6" s="15">
        <v>13.0434782608696</v>
      </c>
      <c r="AB6" s="20" t="s">
        <v>80</v>
      </c>
      <c r="AC6" s="20" t="s">
        <v>80</v>
      </c>
      <c r="AD6" s="15">
        <v>19.565217391304301</v>
      </c>
      <c r="AE6" s="15">
        <v>48.484848484848499</v>
      </c>
      <c r="AF6" s="15">
        <v>27.272727272727298</v>
      </c>
      <c r="AG6" s="15">
        <v>80</v>
      </c>
      <c r="AH6" s="15">
        <v>6.4516129032258096</v>
      </c>
      <c r="AI6" s="15">
        <v>50</v>
      </c>
      <c r="AJ6" s="32">
        <v>8.8162412618257395</v>
      </c>
      <c r="AK6" s="15">
        <v>3.6982248520710099</v>
      </c>
      <c r="AL6" s="15">
        <v>4.5751633986928102</v>
      </c>
      <c r="AM6" s="15">
        <v>13.1313131313131</v>
      </c>
      <c r="AN6" s="15">
        <v>8.0291970802919703</v>
      </c>
      <c r="AO6" s="15">
        <v>2.39520958083832</v>
      </c>
      <c r="AP6" s="15">
        <v>2.98507462686567</v>
      </c>
      <c r="AQ6" s="15">
        <v>11.764705882352899</v>
      </c>
      <c r="AR6" s="24">
        <v>28.484848484848499</v>
      </c>
      <c r="AS6" s="38"/>
    </row>
    <row r="7" spans="1:45">
      <c r="A7" s="11" t="s">
        <v>316</v>
      </c>
      <c r="B7" s="37">
        <v>23.804651039170899</v>
      </c>
      <c r="C7" s="33">
        <v>25.7159269568029</v>
      </c>
      <c r="D7" s="33">
        <v>25.5018817886466</v>
      </c>
      <c r="E7" s="33">
        <v>26.072629381722901</v>
      </c>
      <c r="F7" s="16">
        <v>31.372549019607799</v>
      </c>
      <c r="G7" s="16">
        <v>31.818181818181799</v>
      </c>
      <c r="H7" s="16">
        <v>16.759776536312799</v>
      </c>
      <c r="I7" s="16">
        <v>28.712871287128699</v>
      </c>
      <c r="J7" s="16">
        <v>32.857142857142897</v>
      </c>
      <c r="K7" s="16">
        <v>16.2162162162162</v>
      </c>
      <c r="L7" s="16">
        <v>30.841121495327101</v>
      </c>
      <c r="M7" s="16">
        <v>33.3333333333333</v>
      </c>
      <c r="N7" s="16">
        <v>31.9444444444444</v>
      </c>
      <c r="O7" s="16">
        <v>26.612903225806502</v>
      </c>
      <c r="P7" s="16">
        <v>23.9669421487603</v>
      </c>
      <c r="Q7" s="16">
        <v>17.647058823529399</v>
      </c>
      <c r="R7" s="16">
        <v>27.659574468085101</v>
      </c>
      <c r="S7" s="16">
        <v>34.7826086956522</v>
      </c>
      <c r="T7" s="16">
        <v>27.906976744186</v>
      </c>
      <c r="U7" s="16">
        <v>42.857142857142897</v>
      </c>
      <c r="V7" s="16">
        <v>23.684210526315798</v>
      </c>
      <c r="W7" s="16">
        <v>26.086956521739101</v>
      </c>
      <c r="X7" s="16">
        <v>34.234234234234201</v>
      </c>
      <c r="Y7" s="16">
        <v>31.818181818181799</v>
      </c>
      <c r="Z7" s="16">
        <v>20.689655172413801</v>
      </c>
      <c r="AA7" s="16">
        <v>19.565217391304301</v>
      </c>
      <c r="AB7" s="28" t="s">
        <v>80</v>
      </c>
      <c r="AC7" s="16">
        <v>16.6666666666667</v>
      </c>
      <c r="AD7" s="28" t="s">
        <v>80</v>
      </c>
      <c r="AE7" s="16">
        <v>33.3333333333333</v>
      </c>
      <c r="AF7" s="16">
        <v>25</v>
      </c>
      <c r="AG7" s="28" t="s">
        <v>80</v>
      </c>
      <c r="AH7" s="16">
        <v>20.430107526881699</v>
      </c>
      <c r="AI7" s="16">
        <v>19.6428571428571</v>
      </c>
      <c r="AJ7" s="33">
        <v>25.002559447185501</v>
      </c>
      <c r="AK7" s="16">
        <v>14.2011834319527</v>
      </c>
      <c r="AL7" s="16">
        <v>24.6187363834423</v>
      </c>
      <c r="AM7" s="16">
        <v>25.7575757575758</v>
      </c>
      <c r="AN7" s="16">
        <v>32.116788321167903</v>
      </c>
      <c r="AO7" s="16">
        <v>26.047904191616801</v>
      </c>
      <c r="AP7" s="16">
        <v>28.571428571428601</v>
      </c>
      <c r="AQ7" s="16">
        <v>36.029411764705898</v>
      </c>
      <c r="AR7" s="25">
        <v>30.909090909090899</v>
      </c>
      <c r="AS7" s="38"/>
    </row>
    <row r="8" spans="1:45" ht="30" customHeight="1">
      <c r="A8" t="s">
        <v>155</v>
      </c>
    </row>
    <row r="9" spans="1:45">
      <c r="A9" t="s">
        <v>93</v>
      </c>
    </row>
    <row r="10" spans="1:45">
      <c r="A10" t="s">
        <v>94</v>
      </c>
    </row>
    <row r="11" spans="1:45">
      <c r="A11" t="s">
        <v>95</v>
      </c>
    </row>
    <row r="12" spans="1:45">
      <c r="A12" t="s">
        <v>96</v>
      </c>
    </row>
    <row r="13" spans="1:45">
      <c r="A13" t="s">
        <v>97</v>
      </c>
    </row>
    <row r="14" spans="1:45">
      <c r="A1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39"/>
  <sheetViews>
    <sheetView zoomScale="70" workbookViewId="0"/>
  </sheetViews>
  <sheetFormatPr defaultColWidth="10.90625" defaultRowHeight="15"/>
  <cols>
    <col min="1" max="1" width="51.6796875" customWidth="1"/>
    <col min="2" max="2" width="24.6796875" customWidth="1"/>
    <col min="3" max="3" width="54.6796875" customWidth="1"/>
  </cols>
  <sheetData>
    <row r="1" spans="1:3" ht="39.9" customHeight="1">
      <c r="A1" s="10" t="s">
        <v>318</v>
      </c>
      <c r="B1" s="12"/>
      <c r="C1" s="12"/>
    </row>
    <row r="2" spans="1:3" ht="45">
      <c r="A2" s="7" t="s">
        <v>2</v>
      </c>
      <c r="B2" s="6" t="s">
        <v>319</v>
      </c>
      <c r="C2" s="8" t="s">
        <v>320</v>
      </c>
    </row>
    <row r="3" spans="1:3" ht="21.9" customHeight="1">
      <c r="A3" s="22" t="s">
        <v>18</v>
      </c>
      <c r="B3" s="15">
        <v>93.373709151005698</v>
      </c>
      <c r="C3" s="24">
        <v>39.475416999304997</v>
      </c>
    </row>
    <row r="4" spans="1:3" ht="21.9" customHeight="1">
      <c r="A4" s="22" t="s">
        <v>19</v>
      </c>
      <c r="B4" s="15">
        <v>91.072859517974607</v>
      </c>
      <c r="C4" s="24">
        <v>36.124154243099603</v>
      </c>
    </row>
    <row r="5" spans="1:3" ht="21.9" customHeight="1">
      <c r="A5" s="22" t="s">
        <v>20</v>
      </c>
      <c r="B5" s="15">
        <v>100.009726112667</v>
      </c>
      <c r="C5" s="24">
        <v>43.3473389355742</v>
      </c>
    </row>
    <row r="6" spans="1:3">
      <c r="A6" s="9" t="s">
        <v>116</v>
      </c>
      <c r="B6" s="15">
        <v>150</v>
      </c>
      <c r="C6" s="24">
        <v>0</v>
      </c>
    </row>
    <row r="7" spans="1:3">
      <c r="A7" s="9" t="s">
        <v>117</v>
      </c>
      <c r="B7" s="15">
        <v>120</v>
      </c>
      <c r="C7" s="24">
        <v>0</v>
      </c>
    </row>
    <row r="8" spans="1:3">
      <c r="A8" s="9" t="s">
        <v>118</v>
      </c>
      <c r="B8" s="15">
        <v>60</v>
      </c>
      <c r="C8" s="24">
        <v>100</v>
      </c>
    </row>
    <row r="9" spans="1:3">
      <c r="A9" s="9" t="s">
        <v>119</v>
      </c>
      <c r="B9" s="15">
        <v>120</v>
      </c>
      <c r="C9" s="24">
        <v>0</v>
      </c>
    </row>
    <row r="10" spans="1:3">
      <c r="A10" s="9" t="s">
        <v>120</v>
      </c>
      <c r="B10" s="15">
        <v>140</v>
      </c>
      <c r="C10" s="24">
        <v>0</v>
      </c>
    </row>
    <row r="11" spans="1:3">
      <c r="A11" s="9" t="s">
        <v>121</v>
      </c>
      <c r="B11" s="15">
        <v>120</v>
      </c>
      <c r="C11" s="24">
        <v>100</v>
      </c>
    </row>
    <row r="12" spans="1:3">
      <c r="A12" s="9" t="s">
        <v>122</v>
      </c>
      <c r="B12" s="15">
        <v>120</v>
      </c>
      <c r="C12" s="24">
        <v>0</v>
      </c>
    </row>
    <row r="13" spans="1:3">
      <c r="A13" s="9" t="s">
        <v>123</v>
      </c>
      <c r="B13" s="15">
        <v>120</v>
      </c>
      <c r="C13" s="24">
        <v>100</v>
      </c>
    </row>
    <row r="14" spans="1:3">
      <c r="A14" s="9" t="s">
        <v>124</v>
      </c>
      <c r="B14" s="15">
        <v>90</v>
      </c>
      <c r="C14" s="24">
        <v>0</v>
      </c>
    </row>
    <row r="15" spans="1:3">
      <c r="A15" s="9" t="s">
        <v>125</v>
      </c>
      <c r="B15" s="15">
        <v>90</v>
      </c>
      <c r="C15" s="24">
        <v>0</v>
      </c>
    </row>
    <row r="16" spans="1:3">
      <c r="A16" s="9" t="s">
        <v>126</v>
      </c>
      <c r="B16" s="15">
        <v>60</v>
      </c>
      <c r="C16" s="24">
        <v>100</v>
      </c>
    </row>
    <row r="17" spans="1:3">
      <c r="A17" s="9" t="s">
        <v>127</v>
      </c>
      <c r="B17" s="15">
        <v>60</v>
      </c>
      <c r="C17" s="24">
        <v>100</v>
      </c>
    </row>
    <row r="18" spans="1:3">
      <c r="A18" s="9" t="s">
        <v>128</v>
      </c>
      <c r="B18" s="15">
        <v>120</v>
      </c>
      <c r="C18" s="24">
        <v>0</v>
      </c>
    </row>
    <row r="19" spans="1:3">
      <c r="A19" s="9" t="s">
        <v>129</v>
      </c>
      <c r="B19" s="15">
        <v>120</v>
      </c>
      <c r="C19" s="24">
        <v>0</v>
      </c>
    </row>
    <row r="20" spans="1:3">
      <c r="A20" s="9" t="s">
        <v>130</v>
      </c>
      <c r="B20" s="15">
        <v>90</v>
      </c>
      <c r="C20" s="24">
        <v>0</v>
      </c>
    </row>
    <row r="21" spans="1:3">
      <c r="A21" s="9" t="s">
        <v>131</v>
      </c>
      <c r="B21" s="15">
        <v>120</v>
      </c>
      <c r="C21" s="24">
        <v>100</v>
      </c>
    </row>
    <row r="22" spans="1:3">
      <c r="A22" s="9" t="s">
        <v>132</v>
      </c>
      <c r="B22" s="15">
        <v>120</v>
      </c>
      <c r="C22" s="24">
        <v>0</v>
      </c>
    </row>
    <row r="23" spans="1:3">
      <c r="A23" s="9" t="s">
        <v>133</v>
      </c>
      <c r="B23" s="15">
        <v>120</v>
      </c>
      <c r="C23" s="24">
        <v>100</v>
      </c>
    </row>
    <row r="24" spans="1:3">
      <c r="A24" s="9" t="s">
        <v>134</v>
      </c>
      <c r="B24" s="15">
        <v>120</v>
      </c>
      <c r="C24" s="24">
        <v>100</v>
      </c>
    </row>
    <row r="25" spans="1:3">
      <c r="A25" s="9" t="s">
        <v>135</v>
      </c>
      <c r="B25" s="15">
        <v>60</v>
      </c>
      <c r="C25" s="24">
        <v>0</v>
      </c>
    </row>
    <row r="26" spans="1:3">
      <c r="A26" s="9" t="s">
        <v>136</v>
      </c>
      <c r="B26" s="15">
        <v>60</v>
      </c>
      <c r="C26" s="24">
        <v>0</v>
      </c>
    </row>
    <row r="27" spans="1:3">
      <c r="A27" s="9" t="s">
        <v>137</v>
      </c>
      <c r="B27" s="15">
        <v>75</v>
      </c>
      <c r="C27" s="24">
        <v>0</v>
      </c>
    </row>
    <row r="28" spans="1:3">
      <c r="A28" s="9" t="s">
        <v>138</v>
      </c>
      <c r="B28" s="15">
        <v>90</v>
      </c>
      <c r="C28" s="24">
        <v>0</v>
      </c>
    </row>
    <row r="29" spans="1:3">
      <c r="A29" s="9" t="s">
        <v>139</v>
      </c>
      <c r="B29" s="15">
        <v>60</v>
      </c>
      <c r="C29" s="24">
        <v>0</v>
      </c>
    </row>
    <row r="30" spans="1:3">
      <c r="A30" s="9" t="s">
        <v>140</v>
      </c>
      <c r="B30" s="15">
        <v>120</v>
      </c>
      <c r="C30" s="24">
        <v>0</v>
      </c>
    </row>
    <row r="31" spans="1:3">
      <c r="A31" s="9" t="s">
        <v>142</v>
      </c>
      <c r="B31" s="15">
        <v>180</v>
      </c>
      <c r="C31" s="24">
        <v>100</v>
      </c>
    </row>
    <row r="32" spans="1:3">
      <c r="A32" s="9" t="s">
        <v>143</v>
      </c>
      <c r="B32" s="15">
        <v>90</v>
      </c>
      <c r="C32" s="24">
        <v>100</v>
      </c>
    </row>
    <row r="33" spans="1:3">
      <c r="A33" s="9" t="s">
        <v>144</v>
      </c>
      <c r="B33" s="15">
        <v>67.5</v>
      </c>
      <c r="C33" s="24">
        <v>100</v>
      </c>
    </row>
    <row r="34" spans="1:3">
      <c r="A34" s="11" t="s">
        <v>145</v>
      </c>
      <c r="B34" s="16">
        <v>100</v>
      </c>
      <c r="C34" s="25">
        <v>100</v>
      </c>
    </row>
    <row r="35" spans="1:3" ht="30" customHeight="1">
      <c r="A35" t="s">
        <v>94</v>
      </c>
    </row>
    <row r="36" spans="1:3">
      <c r="A36" t="s">
        <v>321</v>
      </c>
    </row>
    <row r="37" spans="1:3">
      <c r="A37" t="s">
        <v>322</v>
      </c>
    </row>
    <row r="38" spans="1:3">
      <c r="A38" t="s">
        <v>323</v>
      </c>
    </row>
    <row r="39" spans="1:3">
      <c r="A3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61"/>
  <sheetViews>
    <sheetView zoomScale="70" workbookViewId="0"/>
  </sheetViews>
  <sheetFormatPr defaultColWidth="10.90625" defaultRowHeight="15"/>
  <cols>
    <col min="1" max="1" width="77.6796875" customWidth="1"/>
    <col min="2" max="7" width="15.90625" customWidth="1"/>
  </cols>
  <sheetData>
    <row r="1" spans="1:7" ht="39.9" customHeight="1">
      <c r="A1" s="10" t="s">
        <v>324</v>
      </c>
      <c r="B1" s="12"/>
      <c r="C1" s="12"/>
      <c r="D1" s="12"/>
      <c r="E1" s="12"/>
      <c r="F1" s="12"/>
      <c r="G1" s="12"/>
    </row>
    <row r="2" spans="1:7" ht="60">
      <c r="A2" s="7" t="s">
        <v>2</v>
      </c>
      <c r="B2" s="6" t="s">
        <v>325</v>
      </c>
      <c r="C2" s="6" t="s">
        <v>326</v>
      </c>
      <c r="D2" s="6" t="s">
        <v>327</v>
      </c>
      <c r="E2" s="6" t="s">
        <v>328</v>
      </c>
      <c r="F2" s="6" t="s">
        <v>329</v>
      </c>
      <c r="G2" s="8" t="s">
        <v>330</v>
      </c>
    </row>
    <row r="3" spans="1:7">
      <c r="A3" s="39" t="s">
        <v>331</v>
      </c>
      <c r="B3" s="15"/>
      <c r="C3" s="15"/>
      <c r="D3" s="15"/>
      <c r="E3" s="15"/>
      <c r="F3" s="15"/>
      <c r="G3" s="24"/>
    </row>
    <row r="4" spans="1:7">
      <c r="A4" s="9" t="s">
        <v>332</v>
      </c>
      <c r="B4" s="15">
        <v>25.592507039249</v>
      </c>
      <c r="C4" s="15">
        <v>13.956889833458501</v>
      </c>
      <c r="D4" s="15">
        <v>22.232686984923099</v>
      </c>
      <c r="E4" s="15">
        <v>20.545721148355099</v>
      </c>
      <c r="F4" s="15">
        <v>21.1932422934138</v>
      </c>
      <c r="G4" s="24">
        <v>20.2262244207366</v>
      </c>
    </row>
    <row r="5" spans="1:7">
      <c r="A5" s="9" t="s">
        <v>333</v>
      </c>
      <c r="B5" s="15">
        <v>70.918648802923698</v>
      </c>
      <c r="C5" s="15">
        <v>47.165660750803902</v>
      </c>
      <c r="D5" s="15">
        <v>59.734659436897601</v>
      </c>
      <c r="E5" s="15">
        <v>59.178855303594901</v>
      </c>
      <c r="F5" s="15">
        <v>64.309156916743305</v>
      </c>
      <c r="G5" s="24">
        <v>64.5959647327619</v>
      </c>
    </row>
    <row r="6" spans="1:7">
      <c r="A6" s="9" t="s">
        <v>334</v>
      </c>
      <c r="B6" s="15">
        <v>50.912837424742399</v>
      </c>
      <c r="C6" s="15">
        <v>33.538081056680397</v>
      </c>
      <c r="D6" s="15">
        <v>40.077426375048901</v>
      </c>
      <c r="E6" s="15">
        <v>41.329629508028397</v>
      </c>
      <c r="F6" s="15">
        <v>47.656700842251396</v>
      </c>
      <c r="G6" s="24">
        <v>49.0090816749466</v>
      </c>
    </row>
    <row r="7" spans="1:7">
      <c r="A7" s="9" t="s">
        <v>175</v>
      </c>
      <c r="B7" s="15">
        <v>29.810224431807001</v>
      </c>
      <c r="C7" s="15">
        <v>2.93007812728119</v>
      </c>
      <c r="D7" s="15">
        <v>7.9108149730759996</v>
      </c>
      <c r="E7" s="15">
        <v>6.1176225631275498</v>
      </c>
      <c r="F7" s="15">
        <v>12.9657513343193</v>
      </c>
      <c r="G7" s="24">
        <v>26.5014977639281</v>
      </c>
    </row>
    <row r="8" spans="1:7">
      <c r="A8" s="9" t="s">
        <v>335</v>
      </c>
      <c r="B8" s="15">
        <v>62.227436770894897</v>
      </c>
      <c r="C8" s="15">
        <v>43.690773182929597</v>
      </c>
      <c r="D8" s="15">
        <v>55.736012768048603</v>
      </c>
      <c r="E8" s="15">
        <v>54.206269411015299</v>
      </c>
      <c r="F8" s="15">
        <v>53.851080351979597</v>
      </c>
      <c r="G8" s="24">
        <v>53.443874729260898</v>
      </c>
    </row>
    <row r="9" spans="1:7">
      <c r="A9" s="9" t="s">
        <v>336</v>
      </c>
      <c r="B9" s="15">
        <v>4.3993495805512604</v>
      </c>
      <c r="C9" s="15">
        <v>1.80393439372594</v>
      </c>
      <c r="D9" s="15">
        <v>3.6186211334300502</v>
      </c>
      <c r="E9" s="15">
        <v>3.5364518647365402</v>
      </c>
      <c r="F9" s="15">
        <v>3.7173446503951402</v>
      </c>
      <c r="G9" s="24">
        <v>3.1903411894654399</v>
      </c>
    </row>
    <row r="10" spans="1:7">
      <c r="A10" s="9" t="s">
        <v>337</v>
      </c>
      <c r="B10" s="15">
        <v>56.208284666711002</v>
      </c>
      <c r="C10" s="15">
        <v>38.479872902140897</v>
      </c>
      <c r="D10" s="15">
        <v>52.830117748225099</v>
      </c>
      <c r="E10" s="15">
        <v>50.942531932137399</v>
      </c>
      <c r="F10" s="15">
        <v>49.447658238078297</v>
      </c>
      <c r="G10" s="24">
        <v>49.478461680960599</v>
      </c>
    </row>
    <row r="11" spans="1:7">
      <c r="A11" s="9" t="s">
        <v>338</v>
      </c>
      <c r="B11" s="15">
        <v>2.20386170545612</v>
      </c>
      <c r="C11" s="15">
        <v>0.45692497472110799</v>
      </c>
      <c r="D11" s="15">
        <v>1.39430834878263</v>
      </c>
      <c r="E11" s="15">
        <v>1.0676653661992901</v>
      </c>
      <c r="F11" s="15">
        <v>1.7734259624178199</v>
      </c>
      <c r="G11" s="24">
        <v>1.3726564487711399</v>
      </c>
    </row>
    <row r="12" spans="1:7">
      <c r="A12" s="9" t="s">
        <v>339</v>
      </c>
      <c r="B12" s="15">
        <v>80.358759272204296</v>
      </c>
      <c r="C12" s="15">
        <v>38.933009720038001</v>
      </c>
      <c r="D12" s="15">
        <v>51.178554690565903</v>
      </c>
      <c r="E12" s="15">
        <v>59.736686119145901</v>
      </c>
      <c r="F12" s="15">
        <v>68.240781930932599</v>
      </c>
      <c r="G12" s="24">
        <v>66.954390281393401</v>
      </c>
    </row>
    <row r="13" spans="1:7">
      <c r="A13" s="9" t="s">
        <v>340</v>
      </c>
      <c r="B13" s="15">
        <v>1.6297483125774801</v>
      </c>
      <c r="C13" s="15">
        <v>0.66368206315445</v>
      </c>
      <c r="D13" s="15">
        <v>0.85149753445389798</v>
      </c>
      <c r="E13" s="15">
        <v>0.85149753445389798</v>
      </c>
      <c r="F13" s="15">
        <v>1.3181156371918801</v>
      </c>
      <c r="G13" s="24">
        <v>1.6297483125774801</v>
      </c>
    </row>
    <row r="14" spans="1:7">
      <c r="A14" s="9" t="s">
        <v>341</v>
      </c>
      <c r="B14" s="15">
        <v>49.726269542072401</v>
      </c>
      <c r="C14" s="15">
        <v>29.8347299153506</v>
      </c>
      <c r="D14" s="15">
        <v>45.764624256929501</v>
      </c>
      <c r="E14" s="15">
        <v>41.692302730650098</v>
      </c>
      <c r="F14" s="15">
        <v>39.478394356482397</v>
      </c>
      <c r="G14" s="24">
        <v>38.691924389291501</v>
      </c>
    </row>
    <row r="15" spans="1:7">
      <c r="A15" s="39" t="s">
        <v>342</v>
      </c>
      <c r="B15" s="15"/>
      <c r="C15" s="15"/>
      <c r="D15" s="15"/>
      <c r="E15" s="15"/>
      <c r="F15" s="15"/>
      <c r="G15" s="24"/>
    </row>
    <row r="16" spans="1:7">
      <c r="A16" s="9" t="s">
        <v>162</v>
      </c>
      <c r="B16" s="15">
        <v>90.136152902939102</v>
      </c>
      <c r="C16" s="15">
        <v>72.438042439320796</v>
      </c>
      <c r="D16" s="15">
        <v>82.646043057134307</v>
      </c>
      <c r="E16" s="15">
        <v>80.6419059370984</v>
      </c>
      <c r="F16" s="15">
        <v>83.915462728326702</v>
      </c>
      <c r="G16" s="24">
        <v>83.237148893326506</v>
      </c>
    </row>
    <row r="17" spans="1:7">
      <c r="A17" s="9" t="s">
        <v>163</v>
      </c>
      <c r="B17" s="15">
        <v>12.060609208693201</v>
      </c>
      <c r="C17" s="15">
        <v>4.7172137315768197</v>
      </c>
      <c r="D17" s="15">
        <v>9.4610597406451298</v>
      </c>
      <c r="E17" s="15">
        <v>7.13459842692005</v>
      </c>
      <c r="F17" s="15">
        <v>8.2852169696882498</v>
      </c>
      <c r="G17" s="24">
        <v>8.9789731874516292</v>
      </c>
    </row>
    <row r="18" spans="1:7">
      <c r="A18" s="9" t="s">
        <v>343</v>
      </c>
      <c r="B18" s="15">
        <v>80.508850981658199</v>
      </c>
      <c r="C18" s="15">
        <v>53.230740156884501</v>
      </c>
      <c r="D18" s="15">
        <v>68.734246682034197</v>
      </c>
      <c r="E18" s="15">
        <v>68.3312657613901</v>
      </c>
      <c r="F18" s="15">
        <v>71.785674659306295</v>
      </c>
      <c r="G18" s="24">
        <v>72.453094855731905</v>
      </c>
    </row>
    <row r="19" spans="1:7">
      <c r="A19" s="9" t="s">
        <v>164</v>
      </c>
      <c r="B19" s="15">
        <v>38.487253676681803</v>
      </c>
      <c r="C19" s="15">
        <v>18.767500495055302</v>
      </c>
      <c r="D19" s="15">
        <v>27.947777604333002</v>
      </c>
      <c r="E19" s="15">
        <v>26.863358347101901</v>
      </c>
      <c r="F19" s="15">
        <v>32.628938266697702</v>
      </c>
      <c r="G19" s="24">
        <v>32.716374704432198</v>
      </c>
    </row>
    <row r="20" spans="1:7">
      <c r="A20" s="9" t="s">
        <v>344</v>
      </c>
      <c r="B20" s="15">
        <v>5.3796785137651497</v>
      </c>
      <c r="C20" s="15">
        <v>1.92896083313315</v>
      </c>
      <c r="D20" s="15">
        <v>2.4335604587378299</v>
      </c>
      <c r="E20" s="15">
        <v>2.87204110983147</v>
      </c>
      <c r="F20" s="15">
        <v>4.2233494206955804</v>
      </c>
      <c r="G20" s="24">
        <v>3.8775739382787102</v>
      </c>
    </row>
    <row r="21" spans="1:7">
      <c r="A21" s="9" t="s">
        <v>173</v>
      </c>
      <c r="B21" s="15">
        <v>72.140847795772501</v>
      </c>
      <c r="C21" s="15">
        <v>41.691808361164199</v>
      </c>
      <c r="D21" s="15">
        <v>55.145328027520101</v>
      </c>
      <c r="E21" s="15">
        <v>55.181821003688597</v>
      </c>
      <c r="F21" s="15">
        <v>64.238874468808504</v>
      </c>
      <c r="G21" s="24">
        <v>65.314073342322502</v>
      </c>
    </row>
    <row r="22" spans="1:7">
      <c r="A22" s="9" t="s">
        <v>175</v>
      </c>
      <c r="B22" s="15">
        <v>29.810224431807001</v>
      </c>
      <c r="C22" s="15">
        <v>2.93007812728119</v>
      </c>
      <c r="D22" s="15">
        <v>7.9108149730759996</v>
      </c>
      <c r="E22" s="15">
        <v>6.1176225631275498</v>
      </c>
      <c r="F22" s="15">
        <v>12.9657513343193</v>
      </c>
      <c r="G22" s="24">
        <v>26.5014977639281</v>
      </c>
    </row>
    <row r="23" spans="1:7">
      <c r="A23" s="9" t="s">
        <v>177</v>
      </c>
      <c r="B23" s="15">
        <v>56.858003279900501</v>
      </c>
      <c r="C23" s="15">
        <v>37.327711891604203</v>
      </c>
      <c r="D23" s="15">
        <v>47.160944306061502</v>
      </c>
      <c r="E23" s="15">
        <v>48.1813025517664</v>
      </c>
      <c r="F23" s="15">
        <v>52.743092377865203</v>
      </c>
      <c r="G23" s="24">
        <v>52.697543429187</v>
      </c>
    </row>
    <row r="24" spans="1:7">
      <c r="A24" s="9" t="s">
        <v>182</v>
      </c>
      <c r="B24" s="15">
        <v>91.445049197328601</v>
      </c>
      <c r="C24" s="15">
        <v>63.0468209725748</v>
      </c>
      <c r="D24" s="15">
        <v>80.609331759065498</v>
      </c>
      <c r="E24" s="15">
        <v>80.200048952621501</v>
      </c>
      <c r="F24" s="15">
        <v>83.878537325385494</v>
      </c>
      <c r="G24" s="24">
        <v>83.274779389012494</v>
      </c>
    </row>
    <row r="25" spans="1:7">
      <c r="A25" s="9" t="s">
        <v>184</v>
      </c>
      <c r="B25" s="15">
        <v>10.760786508590501</v>
      </c>
      <c r="C25" s="15">
        <v>3.58850082737173</v>
      </c>
      <c r="D25" s="15">
        <v>7.1503425358448798</v>
      </c>
      <c r="E25" s="15">
        <v>5.98726468235055</v>
      </c>
      <c r="F25" s="15">
        <v>7.46980560051834</v>
      </c>
      <c r="G25" s="24">
        <v>7.8310796750865297</v>
      </c>
    </row>
    <row r="26" spans="1:7">
      <c r="A26" s="9" t="s">
        <v>345</v>
      </c>
      <c r="B26" s="15">
        <v>63.329027506632102</v>
      </c>
      <c r="C26" s="15">
        <v>33.6967813800945</v>
      </c>
      <c r="D26" s="15">
        <v>48.9847752623484</v>
      </c>
      <c r="E26" s="15">
        <v>49.093839796717802</v>
      </c>
      <c r="F26" s="15">
        <v>53.372221268675297</v>
      </c>
      <c r="G26" s="24">
        <v>53.8711114950205</v>
      </c>
    </row>
    <row r="27" spans="1:7">
      <c r="A27" s="9" t="s">
        <v>190</v>
      </c>
      <c r="B27" s="15">
        <v>2.9601793311977498</v>
      </c>
      <c r="C27" s="15">
        <v>0.90725690440514795</v>
      </c>
      <c r="D27" s="15">
        <v>1.32735857758817</v>
      </c>
      <c r="E27" s="15">
        <v>1.5269125158438299</v>
      </c>
      <c r="F27" s="15">
        <v>2.1820167925586298</v>
      </c>
      <c r="G27" s="24">
        <v>2.69019459120479</v>
      </c>
    </row>
    <row r="28" spans="1:7">
      <c r="A28" s="9" t="s">
        <v>346</v>
      </c>
      <c r="B28" s="15">
        <v>56.124744334891602</v>
      </c>
      <c r="C28" s="15">
        <v>40.355480735023903</v>
      </c>
      <c r="D28" s="15">
        <v>52.686254938774098</v>
      </c>
      <c r="E28" s="15">
        <v>52.615633291046201</v>
      </c>
      <c r="F28" s="15">
        <v>51.032109365297501</v>
      </c>
      <c r="G28" s="24">
        <v>50.683170614372898</v>
      </c>
    </row>
    <row r="29" spans="1:7">
      <c r="A29" s="9" t="s">
        <v>194</v>
      </c>
      <c r="B29" s="15">
        <v>76.307717557619</v>
      </c>
      <c r="C29" s="15">
        <v>41.988805324476999</v>
      </c>
      <c r="D29" s="15">
        <v>56.930338086330003</v>
      </c>
      <c r="E29" s="15">
        <v>59.701519873518897</v>
      </c>
      <c r="F29" s="15">
        <v>68.982273396763304</v>
      </c>
      <c r="G29" s="24">
        <v>70.989476875063801</v>
      </c>
    </row>
    <row r="30" spans="1:7">
      <c r="A30" s="9" t="s">
        <v>347</v>
      </c>
      <c r="B30" s="15">
        <v>12.439012110036099</v>
      </c>
      <c r="C30" s="15">
        <v>5.1169552063429098</v>
      </c>
      <c r="D30" s="15">
        <v>8.0470586918426008</v>
      </c>
      <c r="E30" s="15">
        <v>8.4493869240912591</v>
      </c>
      <c r="F30" s="15">
        <v>11.197628041812999</v>
      </c>
      <c r="G30" s="24">
        <v>11.6500481224171</v>
      </c>
    </row>
    <row r="31" spans="1:7">
      <c r="A31" s="9" t="s">
        <v>348</v>
      </c>
      <c r="B31" s="15">
        <v>55.720587217110896</v>
      </c>
      <c r="C31" s="15">
        <v>27.931235186272801</v>
      </c>
      <c r="D31" s="15">
        <v>38.669330192959599</v>
      </c>
      <c r="E31" s="15">
        <v>43.584929060773099</v>
      </c>
      <c r="F31" s="15">
        <v>51.602124478338297</v>
      </c>
      <c r="G31" s="24">
        <v>52.180995125882603</v>
      </c>
    </row>
    <row r="32" spans="1:7">
      <c r="A32" s="9" t="s">
        <v>206</v>
      </c>
      <c r="B32" s="15">
        <v>4.1253475875738896</v>
      </c>
      <c r="C32" s="15">
        <v>2.9839221363703001</v>
      </c>
      <c r="D32" s="15">
        <v>3.23042994245082</v>
      </c>
      <c r="E32" s="15">
        <v>3.23042994245082</v>
      </c>
      <c r="F32" s="15">
        <v>3.7310655252556701</v>
      </c>
      <c r="G32" s="24">
        <v>4.1253475875738896</v>
      </c>
    </row>
    <row r="33" spans="1:7">
      <c r="A33" s="9" t="s">
        <v>349</v>
      </c>
      <c r="B33" s="15">
        <v>5.3935465557361004</v>
      </c>
      <c r="C33" s="15">
        <v>2.7474603234128399</v>
      </c>
      <c r="D33" s="15">
        <v>4.0484726960663799</v>
      </c>
      <c r="E33" s="15">
        <v>4.0101682249461001</v>
      </c>
      <c r="F33" s="15">
        <v>4.4736986615552903</v>
      </c>
      <c r="G33" s="24">
        <v>4.8654699962189802</v>
      </c>
    </row>
    <row r="34" spans="1:7">
      <c r="A34" s="9" t="s">
        <v>350</v>
      </c>
      <c r="B34" s="15">
        <v>59.057733921474103</v>
      </c>
      <c r="C34" s="15">
        <v>36.7662155900789</v>
      </c>
      <c r="D34" s="15">
        <v>49.986437032836598</v>
      </c>
      <c r="E34" s="15">
        <v>48.682607056151603</v>
      </c>
      <c r="F34" s="15">
        <v>52.199830218873501</v>
      </c>
      <c r="G34" s="24">
        <v>51.029743718688501</v>
      </c>
    </row>
    <row r="35" spans="1:7">
      <c r="A35" s="9" t="s">
        <v>213</v>
      </c>
      <c r="B35" s="15">
        <v>2.68543749502357</v>
      </c>
      <c r="C35" s="15">
        <v>1.2737453871631499</v>
      </c>
      <c r="D35" s="15">
        <v>1.6463083213530301</v>
      </c>
      <c r="E35" s="15">
        <v>1.8538938422629501</v>
      </c>
      <c r="F35" s="15">
        <v>2.38394423846393</v>
      </c>
      <c r="G35" s="24">
        <v>2.29390813752959</v>
      </c>
    </row>
    <row r="36" spans="1:7">
      <c r="A36" s="9" t="s">
        <v>214</v>
      </c>
      <c r="B36" s="15">
        <v>4.2973120516551901</v>
      </c>
      <c r="C36" s="15">
        <v>0.75437669770152604</v>
      </c>
      <c r="D36" s="15">
        <v>2.2175730627781198</v>
      </c>
      <c r="E36" s="15">
        <v>2.3335767362277799</v>
      </c>
      <c r="F36" s="15">
        <v>3.46690182675998</v>
      </c>
      <c r="G36" s="24">
        <v>3.7468316568130602</v>
      </c>
    </row>
    <row r="37" spans="1:7">
      <c r="A37" s="9" t="s">
        <v>351</v>
      </c>
      <c r="B37" s="15">
        <v>1.3261106646480501</v>
      </c>
      <c r="C37" s="15">
        <v>0.223030872168095</v>
      </c>
      <c r="D37" s="15">
        <v>0.79775925708546902</v>
      </c>
      <c r="E37" s="15">
        <v>0.79775925708546902</v>
      </c>
      <c r="F37" s="15">
        <v>1.2322029289983301</v>
      </c>
      <c r="G37" s="24">
        <v>1.24394139595454</v>
      </c>
    </row>
    <row r="38" spans="1:7">
      <c r="A38" s="39" t="s">
        <v>352</v>
      </c>
      <c r="B38" s="15"/>
      <c r="C38" s="15"/>
      <c r="D38" s="15"/>
      <c r="E38" s="15"/>
      <c r="F38" s="15"/>
      <c r="G38" s="24"/>
    </row>
    <row r="39" spans="1:7">
      <c r="A39" s="9" t="s">
        <v>176</v>
      </c>
      <c r="B39" s="15">
        <v>83.309226168519601</v>
      </c>
      <c r="C39" s="15">
        <v>64.830571333413502</v>
      </c>
      <c r="D39" s="15">
        <v>78.188809388159498</v>
      </c>
      <c r="E39" s="15">
        <v>75.408597961941197</v>
      </c>
      <c r="F39" s="15">
        <v>74.733136916286</v>
      </c>
      <c r="G39" s="24">
        <v>74.744750346773799</v>
      </c>
    </row>
    <row r="40" spans="1:7">
      <c r="A40" s="9" t="s">
        <v>185</v>
      </c>
      <c r="B40" s="15">
        <v>80.856545933178893</v>
      </c>
      <c r="C40" s="15">
        <v>64.114773741682697</v>
      </c>
      <c r="D40" s="15">
        <v>76.104858901892499</v>
      </c>
      <c r="E40" s="15">
        <v>73.831893985080498</v>
      </c>
      <c r="F40" s="15">
        <v>73.754027654365004</v>
      </c>
      <c r="G40" s="24">
        <v>73.185630265558999</v>
      </c>
    </row>
    <row r="41" spans="1:7">
      <c r="A41" s="9" t="s">
        <v>353</v>
      </c>
      <c r="B41" s="15">
        <v>3.2043180813122101</v>
      </c>
      <c r="C41" s="15">
        <v>1.4175128366244401</v>
      </c>
      <c r="D41" s="15">
        <v>2.6399449463383799</v>
      </c>
      <c r="E41" s="15">
        <v>2.4563769466349301</v>
      </c>
      <c r="F41" s="15">
        <v>2.7968954573735698</v>
      </c>
      <c r="G41" s="24">
        <v>2.8848309905367899</v>
      </c>
    </row>
    <row r="42" spans="1:7">
      <c r="A42" s="39" t="s">
        <v>354</v>
      </c>
      <c r="B42" s="15"/>
      <c r="C42" s="15"/>
      <c r="D42" s="15"/>
      <c r="E42" s="15"/>
      <c r="F42" s="15"/>
      <c r="G42" s="24"/>
    </row>
    <row r="43" spans="1:7">
      <c r="A43" s="9" t="s">
        <v>355</v>
      </c>
      <c r="B43" s="15">
        <v>23.312177424714299</v>
      </c>
      <c r="C43" s="15">
        <v>2.8240148179487901</v>
      </c>
      <c r="D43" s="15">
        <v>3.8134409910474498</v>
      </c>
      <c r="E43" s="15">
        <v>5.0519482424117701</v>
      </c>
      <c r="F43" s="15">
        <v>13.6310472241911</v>
      </c>
      <c r="G43" s="24">
        <v>21.6873137759491</v>
      </c>
    </row>
    <row r="44" spans="1:7">
      <c r="A44" s="9" t="s">
        <v>356</v>
      </c>
      <c r="B44" s="15">
        <v>17.481965176904101</v>
      </c>
      <c r="C44" s="15">
        <v>1.6480522179202599</v>
      </c>
      <c r="D44" s="15">
        <v>2.6308856100049498</v>
      </c>
      <c r="E44" s="15">
        <v>4.2282688981417804</v>
      </c>
      <c r="F44" s="15">
        <v>10.345905722752301</v>
      </c>
      <c r="G44" s="24">
        <v>16.458652811695099</v>
      </c>
    </row>
    <row r="45" spans="1:7">
      <c r="A45" s="9" t="s">
        <v>172</v>
      </c>
      <c r="B45" s="15">
        <v>29.460946340959499</v>
      </c>
      <c r="C45" s="15">
        <v>4.9357008135191798</v>
      </c>
      <c r="D45" s="15">
        <v>6.2892979148566299</v>
      </c>
      <c r="E45" s="15">
        <v>8.2513509548725299</v>
      </c>
      <c r="F45" s="15">
        <v>18.976661151297598</v>
      </c>
      <c r="G45" s="24">
        <v>27.8967501915401</v>
      </c>
    </row>
    <row r="46" spans="1:7">
      <c r="A46" s="9" t="s">
        <v>193</v>
      </c>
      <c r="B46" s="15">
        <v>3.85867962998958</v>
      </c>
      <c r="C46" s="15">
        <v>0.529535287135945</v>
      </c>
      <c r="D46" s="15">
        <v>0.529535287135945</v>
      </c>
      <c r="E46" s="15">
        <v>0.70884393420396496</v>
      </c>
      <c r="F46" s="15">
        <v>2.0776769024725601</v>
      </c>
      <c r="G46" s="24">
        <v>3.4739478111877902</v>
      </c>
    </row>
    <row r="47" spans="1:7">
      <c r="A47" s="9" t="s">
        <v>357</v>
      </c>
      <c r="B47" s="15">
        <v>39.414318173864302</v>
      </c>
      <c r="C47" s="15">
        <v>17.730520739782602</v>
      </c>
      <c r="D47" s="15">
        <v>21.718477330806898</v>
      </c>
      <c r="E47" s="15">
        <v>23.881955896817001</v>
      </c>
      <c r="F47" s="15">
        <v>32.0718264859348</v>
      </c>
      <c r="G47" s="24">
        <v>37.206839434202202</v>
      </c>
    </row>
    <row r="48" spans="1:7">
      <c r="A48" s="9" t="s">
        <v>358</v>
      </c>
      <c r="B48" s="15">
        <v>1.9387367931025801</v>
      </c>
      <c r="C48" s="15">
        <v>0.150643659271433</v>
      </c>
      <c r="D48" s="15">
        <v>0.150643659271433</v>
      </c>
      <c r="E48" s="15">
        <v>0.150643659271433</v>
      </c>
      <c r="F48" s="15">
        <v>0.56060189504163005</v>
      </c>
      <c r="G48" s="24">
        <v>1.9387367931025801</v>
      </c>
    </row>
    <row r="49" spans="1:7">
      <c r="A49" s="9" t="s">
        <v>191</v>
      </c>
      <c r="B49" s="15">
        <v>13.088477522956399</v>
      </c>
      <c r="C49" s="15">
        <v>3.1606436503934798</v>
      </c>
      <c r="D49" s="15">
        <v>4.2035747044415501</v>
      </c>
      <c r="E49" s="15">
        <v>6.1184005174232601</v>
      </c>
      <c r="F49" s="15">
        <v>10.152197334608701</v>
      </c>
      <c r="G49" s="24">
        <v>12.385791267465599</v>
      </c>
    </row>
    <row r="50" spans="1:7">
      <c r="A50" s="9" t="s">
        <v>195</v>
      </c>
      <c r="B50" s="15">
        <v>9.8544781957624004</v>
      </c>
      <c r="C50" s="15">
        <v>0.63348228508458604</v>
      </c>
      <c r="D50" s="15">
        <v>0.94403378588211095</v>
      </c>
      <c r="E50" s="15">
        <v>1.4905557544157799</v>
      </c>
      <c r="F50" s="15">
        <v>5.4350869458376403</v>
      </c>
      <c r="G50" s="24">
        <v>8.8655698962059297</v>
      </c>
    </row>
    <row r="51" spans="1:7">
      <c r="A51" s="9" t="s">
        <v>196</v>
      </c>
      <c r="B51" s="15">
        <v>1.70384138294877</v>
      </c>
      <c r="C51" s="15">
        <v>0.57528784986294801</v>
      </c>
      <c r="D51" s="15">
        <v>1.3496279940945399</v>
      </c>
      <c r="E51" s="15">
        <v>1.22180913168242</v>
      </c>
      <c r="F51" s="15">
        <v>1.21920058346993</v>
      </c>
      <c r="G51" s="24">
        <v>1.1977830297252501</v>
      </c>
    </row>
    <row r="52" spans="1:7">
      <c r="A52" s="9" t="s">
        <v>198</v>
      </c>
      <c r="B52" s="15">
        <v>0.38150017607700398</v>
      </c>
      <c r="C52" s="15">
        <v>0</v>
      </c>
      <c r="D52" s="15">
        <v>0.24455139492115699</v>
      </c>
      <c r="E52" s="15">
        <v>0.24455139492115699</v>
      </c>
      <c r="F52" s="15">
        <v>0.38150017607700398</v>
      </c>
      <c r="G52" s="24">
        <v>0.38150017607700398</v>
      </c>
    </row>
    <row r="53" spans="1:7">
      <c r="A53" s="9" t="s">
        <v>203</v>
      </c>
      <c r="B53" s="15">
        <v>2.2076033267970998</v>
      </c>
      <c r="C53" s="15">
        <v>0.32174070793627102</v>
      </c>
      <c r="D53" s="15">
        <v>0.708478046193741</v>
      </c>
      <c r="E53" s="15">
        <v>0.83414869243087097</v>
      </c>
      <c r="F53" s="15">
        <v>1.60517033033829</v>
      </c>
      <c r="G53" s="24">
        <v>2.2076033267970998</v>
      </c>
    </row>
    <row r="54" spans="1:7">
      <c r="A54" s="9" t="s">
        <v>204</v>
      </c>
      <c r="B54" s="15">
        <v>1.5323676213266699</v>
      </c>
      <c r="C54" s="15">
        <v>0.44084464791120498</v>
      </c>
      <c r="D54" s="15">
        <v>0.93712952608857103</v>
      </c>
      <c r="E54" s="15">
        <v>1.01929879478208</v>
      </c>
      <c r="F54" s="15">
        <v>1.2589591618048099</v>
      </c>
      <c r="G54" s="24">
        <v>1.5323676213266699</v>
      </c>
    </row>
    <row r="55" spans="1:7">
      <c r="A55" s="9" t="s">
        <v>359</v>
      </c>
      <c r="B55" s="15">
        <v>0.65288212630685505</v>
      </c>
      <c r="C55" s="15">
        <v>0.18596202914846699</v>
      </c>
      <c r="D55" s="15">
        <v>0.18596202914846699</v>
      </c>
      <c r="E55" s="15">
        <v>0.36294199248833198</v>
      </c>
      <c r="F55" s="15">
        <v>0.53549745674469995</v>
      </c>
      <c r="G55" s="24">
        <v>0.56249593074399495</v>
      </c>
    </row>
    <row r="56" spans="1:7">
      <c r="A56" s="11" t="s">
        <v>207</v>
      </c>
      <c r="B56" s="16">
        <v>3.2543429825166101</v>
      </c>
      <c r="C56" s="16">
        <v>0.47247329498767499</v>
      </c>
      <c r="D56" s="16">
        <v>0.76006573541495503</v>
      </c>
      <c r="E56" s="16">
        <v>1.27599393211554</v>
      </c>
      <c r="F56" s="16">
        <v>2.24225504682193</v>
      </c>
      <c r="G56" s="25">
        <v>2.79774407632206</v>
      </c>
    </row>
    <row r="57" spans="1:7" ht="30" customHeight="1">
      <c r="A57" t="s">
        <v>94</v>
      </c>
    </row>
    <row r="58" spans="1:7">
      <c r="A58" t="s">
        <v>321</v>
      </c>
    </row>
    <row r="59" spans="1:7">
      <c r="A59" t="s">
        <v>322</v>
      </c>
    </row>
    <row r="60" spans="1:7">
      <c r="A60" t="s">
        <v>323</v>
      </c>
    </row>
    <row r="61" spans="1:7">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61"/>
  <sheetViews>
    <sheetView zoomScale="70" workbookViewId="0"/>
  </sheetViews>
  <sheetFormatPr defaultColWidth="10.90625" defaultRowHeight="15"/>
  <cols>
    <col min="1" max="1" width="77.6796875" customWidth="1"/>
    <col min="2" max="5" width="15.90625" customWidth="1"/>
  </cols>
  <sheetData>
    <row r="1" spans="1:5" ht="39.9" customHeight="1">
      <c r="A1" s="10" t="s">
        <v>360</v>
      </c>
      <c r="B1" s="12"/>
      <c r="C1" s="12"/>
      <c r="D1" s="12"/>
      <c r="E1" s="12"/>
    </row>
    <row r="2" spans="1:5" ht="60">
      <c r="A2" s="7" t="s">
        <v>2</v>
      </c>
      <c r="B2" s="6" t="s">
        <v>325</v>
      </c>
      <c r="C2" s="6" t="s">
        <v>361</v>
      </c>
      <c r="D2" s="6" t="s">
        <v>362</v>
      </c>
      <c r="E2" s="8" t="s">
        <v>363</v>
      </c>
    </row>
    <row r="3" spans="1:5">
      <c r="A3" s="39" t="s">
        <v>331</v>
      </c>
      <c r="B3" s="15"/>
      <c r="C3" s="15"/>
      <c r="D3" s="15"/>
      <c r="E3" s="24"/>
    </row>
    <row r="4" spans="1:5">
      <c r="A4" s="9" t="s">
        <v>332</v>
      </c>
      <c r="B4" s="15">
        <v>4.8645805744066699</v>
      </c>
      <c r="C4" s="15">
        <v>4.8645805744066699</v>
      </c>
      <c r="D4" s="15">
        <v>0</v>
      </c>
      <c r="E4" s="24">
        <v>0</v>
      </c>
    </row>
    <row r="5" spans="1:5">
      <c r="A5" s="9" t="s">
        <v>333</v>
      </c>
      <c r="B5" s="15">
        <v>18.156443870616901</v>
      </c>
      <c r="C5" s="15">
        <v>17.8191173991383</v>
      </c>
      <c r="D5" s="15">
        <v>0.55302080179907498</v>
      </c>
      <c r="E5" s="24">
        <v>0.55302080179907498</v>
      </c>
    </row>
    <row r="6" spans="1:5">
      <c r="A6" s="9" t="s">
        <v>334</v>
      </c>
      <c r="B6" s="15">
        <v>17.196924165339201</v>
      </c>
      <c r="C6" s="15">
        <v>16.716388396994802</v>
      </c>
      <c r="D6" s="15">
        <v>0.480535768344444</v>
      </c>
      <c r="E6" s="24">
        <v>0.480535768344444</v>
      </c>
    </row>
    <row r="7" spans="1:5">
      <c r="A7" s="9" t="s">
        <v>175</v>
      </c>
      <c r="B7" s="15">
        <v>4.2724191096260196</v>
      </c>
      <c r="C7" s="15">
        <v>4.2724191096260196</v>
      </c>
      <c r="D7" s="15">
        <v>0</v>
      </c>
      <c r="E7" s="24">
        <v>0</v>
      </c>
    </row>
    <row r="8" spans="1:5">
      <c r="A8" s="9" t="s">
        <v>335</v>
      </c>
      <c r="B8" s="15">
        <v>16.893552416554702</v>
      </c>
      <c r="C8" s="15">
        <v>16.337107895226801</v>
      </c>
      <c r="D8" s="15">
        <v>0.98481225297280595</v>
      </c>
      <c r="E8" s="24">
        <v>0.98481225297280595</v>
      </c>
    </row>
    <row r="9" spans="1:5">
      <c r="A9" s="9" t="s">
        <v>336</v>
      </c>
      <c r="B9" s="15">
        <v>2.2731378226448098</v>
      </c>
      <c r="C9" s="15">
        <v>2.0677146509110398</v>
      </c>
      <c r="D9" s="15">
        <v>0.29101615995617602</v>
      </c>
      <c r="E9" s="24">
        <v>0.29101615995617602</v>
      </c>
    </row>
    <row r="10" spans="1:5">
      <c r="A10" s="9" t="s">
        <v>337</v>
      </c>
      <c r="B10" s="15">
        <v>5.9567802340818004</v>
      </c>
      <c r="C10" s="15">
        <v>5.9567802340818004</v>
      </c>
      <c r="D10" s="15">
        <v>0</v>
      </c>
      <c r="E10" s="24">
        <v>0</v>
      </c>
    </row>
    <row r="11" spans="1:5">
      <c r="A11" s="9" t="s">
        <v>338</v>
      </c>
      <c r="B11" s="15">
        <v>9.39077356497241E-2</v>
      </c>
      <c r="C11" s="15">
        <v>9.39077356497241E-2</v>
      </c>
      <c r="D11" s="15">
        <v>0</v>
      </c>
      <c r="E11" s="24">
        <v>0</v>
      </c>
    </row>
    <row r="12" spans="1:5">
      <c r="A12" s="9" t="s">
        <v>339</v>
      </c>
      <c r="B12" s="15">
        <v>9.3338720349800504</v>
      </c>
      <c r="C12" s="15">
        <v>8.9973693155685392</v>
      </c>
      <c r="D12" s="15">
        <v>0.57616308643424496</v>
      </c>
      <c r="E12" s="24">
        <v>0.57616308643424496</v>
      </c>
    </row>
    <row r="13" spans="1:5">
      <c r="A13" s="9" t="s">
        <v>340</v>
      </c>
      <c r="B13" s="15">
        <v>0.68583912159572802</v>
      </c>
      <c r="C13" s="15">
        <v>0.68583912159572802</v>
      </c>
      <c r="D13" s="15">
        <v>0</v>
      </c>
      <c r="E13" s="24">
        <v>0</v>
      </c>
    </row>
    <row r="14" spans="1:5">
      <c r="A14" s="9" t="s">
        <v>341</v>
      </c>
      <c r="B14" s="15">
        <v>9.3539651630907894</v>
      </c>
      <c r="C14" s="15">
        <v>9.2631464976927003</v>
      </c>
      <c r="D14" s="15">
        <v>0.17641165362049299</v>
      </c>
      <c r="E14" s="24">
        <v>0.17641165362049299</v>
      </c>
    </row>
    <row r="15" spans="1:5">
      <c r="A15" s="39" t="s">
        <v>342</v>
      </c>
      <c r="B15" s="15"/>
      <c r="C15" s="15"/>
      <c r="D15" s="15"/>
      <c r="E15" s="24"/>
    </row>
    <row r="16" spans="1:5">
      <c r="A16" s="9" t="s">
        <v>162</v>
      </c>
      <c r="B16" s="15">
        <v>21.8658415552901</v>
      </c>
      <c r="C16" s="15">
        <v>20.858289808214899</v>
      </c>
      <c r="D16" s="15">
        <v>1.31715381304535</v>
      </c>
      <c r="E16" s="24">
        <v>1.31715381304535</v>
      </c>
    </row>
    <row r="17" spans="1:5">
      <c r="A17" s="9" t="s">
        <v>163</v>
      </c>
      <c r="B17" s="15">
        <v>2.72342454966835</v>
      </c>
      <c r="C17" s="15">
        <v>2.72342454966835</v>
      </c>
      <c r="D17" s="15">
        <v>0</v>
      </c>
      <c r="E17" s="24">
        <v>0</v>
      </c>
    </row>
    <row r="18" spans="1:5">
      <c r="A18" s="9" t="s">
        <v>343</v>
      </c>
      <c r="B18" s="15">
        <v>16.2966708710665</v>
      </c>
      <c r="C18" s="15">
        <v>15.625621843402801</v>
      </c>
      <c r="D18" s="15">
        <v>0.79886789007577796</v>
      </c>
      <c r="E18" s="24">
        <v>0.79886789007577796</v>
      </c>
    </row>
    <row r="19" spans="1:5">
      <c r="A19" s="9" t="s">
        <v>164</v>
      </c>
      <c r="B19" s="15">
        <v>10.992047124749201</v>
      </c>
      <c r="C19" s="15">
        <v>10.772929074899899</v>
      </c>
      <c r="D19" s="15">
        <v>0.56263124258194097</v>
      </c>
      <c r="E19" s="24">
        <v>0.56263124258194097</v>
      </c>
    </row>
    <row r="20" spans="1:5">
      <c r="A20" s="9" t="s">
        <v>344</v>
      </c>
      <c r="B20" s="15">
        <v>1.0975436319059</v>
      </c>
      <c r="C20" s="15">
        <v>1.0975436319059</v>
      </c>
      <c r="D20" s="15">
        <v>0</v>
      </c>
      <c r="E20" s="24">
        <v>0</v>
      </c>
    </row>
    <row r="21" spans="1:5">
      <c r="A21" s="9" t="s">
        <v>173</v>
      </c>
      <c r="B21" s="15">
        <v>23.994677827394</v>
      </c>
      <c r="C21" s="15">
        <v>23.004733780753199</v>
      </c>
      <c r="D21" s="15">
        <v>0.98994404664084201</v>
      </c>
      <c r="E21" s="24">
        <v>0.86473373244120999</v>
      </c>
    </row>
    <row r="22" spans="1:5">
      <c r="A22" s="9" t="s">
        <v>175</v>
      </c>
      <c r="B22" s="15">
        <v>4.2724191096260196</v>
      </c>
      <c r="C22" s="15">
        <v>4.2724191096260196</v>
      </c>
      <c r="D22" s="15">
        <v>0</v>
      </c>
      <c r="E22" s="24">
        <v>0</v>
      </c>
    </row>
    <row r="23" spans="1:5">
      <c r="A23" s="9" t="s">
        <v>177</v>
      </c>
      <c r="B23" s="15">
        <v>13.2455903834891</v>
      </c>
      <c r="C23" s="15">
        <v>13.0264723336398</v>
      </c>
      <c r="D23" s="15">
        <v>0.21911804984935601</v>
      </c>
      <c r="E23" s="24">
        <v>0.21911804984935601</v>
      </c>
    </row>
    <row r="24" spans="1:5">
      <c r="A24" s="9" t="s">
        <v>182</v>
      </c>
      <c r="B24" s="15">
        <v>52.694585030955601</v>
      </c>
      <c r="C24" s="15">
        <v>47.861148717954102</v>
      </c>
      <c r="D24" s="15">
        <v>6.7309544800348498</v>
      </c>
      <c r="E24" s="24">
        <v>7.94395219413218</v>
      </c>
    </row>
    <row r="25" spans="1:5">
      <c r="A25" s="9" t="s">
        <v>184</v>
      </c>
      <c r="B25" s="15">
        <v>1.7609043069432599</v>
      </c>
      <c r="C25" s="15">
        <v>1.7609043069432599</v>
      </c>
      <c r="D25" s="15">
        <v>8.5592988222404798E-2</v>
      </c>
      <c r="E25" s="24">
        <v>8.5592988222404798E-2</v>
      </c>
    </row>
    <row r="26" spans="1:5">
      <c r="A26" s="9" t="s">
        <v>345</v>
      </c>
      <c r="B26" s="15">
        <v>12.6397679273222</v>
      </c>
      <c r="C26" s="15">
        <v>12.0833234059942</v>
      </c>
      <c r="D26" s="15">
        <v>0.52563104556790496</v>
      </c>
      <c r="E26" s="24">
        <v>0.77213885164843099</v>
      </c>
    </row>
    <row r="27" spans="1:5">
      <c r="A27" s="9" t="s">
        <v>190</v>
      </c>
      <c r="B27" s="15">
        <v>0.65344132722933101</v>
      </c>
      <c r="C27" s="15">
        <v>0.65344132722933101</v>
      </c>
      <c r="D27" s="15">
        <v>0</v>
      </c>
      <c r="E27" s="24">
        <v>0</v>
      </c>
    </row>
    <row r="28" spans="1:5">
      <c r="A28" s="9" t="s">
        <v>346</v>
      </c>
      <c r="B28" s="15">
        <v>23.296778989796</v>
      </c>
      <c r="C28" s="15">
        <v>22.599836285022999</v>
      </c>
      <c r="D28" s="15">
        <v>1.21559204777213</v>
      </c>
      <c r="E28" s="24">
        <v>1.34126269400926</v>
      </c>
    </row>
    <row r="29" spans="1:5">
      <c r="A29" s="9" t="s">
        <v>194</v>
      </c>
      <c r="B29" s="15">
        <v>36.785445086633601</v>
      </c>
      <c r="C29" s="15">
        <v>32.817385259364301</v>
      </c>
      <c r="D29" s="15">
        <v>1.4529573940117599</v>
      </c>
      <c r="E29" s="24">
        <v>4.5091791278488502</v>
      </c>
    </row>
    <row r="30" spans="1:5">
      <c r="A30" s="9" t="s">
        <v>347</v>
      </c>
      <c r="B30" s="15">
        <v>4.8690237541833001</v>
      </c>
      <c r="C30" s="15">
        <v>4.1797801027375101</v>
      </c>
      <c r="D30" s="15">
        <v>0.68924365144578803</v>
      </c>
      <c r="E30" s="24">
        <v>0.58066283210079395</v>
      </c>
    </row>
    <row r="31" spans="1:5">
      <c r="A31" s="9" t="s">
        <v>348</v>
      </c>
      <c r="B31" s="15">
        <v>29.044524074968699</v>
      </c>
      <c r="C31" s="15">
        <v>25.474391976963901</v>
      </c>
      <c r="D31" s="15">
        <v>4.35326238654857</v>
      </c>
      <c r="E31" s="24">
        <v>3.8261378223181</v>
      </c>
    </row>
    <row r="32" spans="1:5">
      <c r="A32" s="9" t="s">
        <v>206</v>
      </c>
      <c r="B32" s="15">
        <v>0.36976170912078898</v>
      </c>
      <c r="C32" s="15">
        <v>0.36976170912078898</v>
      </c>
      <c r="D32" s="15">
        <v>0</v>
      </c>
      <c r="E32" s="24">
        <v>0</v>
      </c>
    </row>
    <row r="33" spans="1:5">
      <c r="A33" s="9" t="s">
        <v>349</v>
      </c>
      <c r="B33" s="15">
        <v>1.85798009598987</v>
      </c>
      <c r="C33" s="15">
        <v>1.85798009598987</v>
      </c>
      <c r="D33" s="15">
        <v>0</v>
      </c>
      <c r="E33" s="24">
        <v>0</v>
      </c>
    </row>
    <row r="34" spans="1:5">
      <c r="A34" s="9" t="s">
        <v>350</v>
      </c>
      <c r="B34" s="15">
        <v>11.5358429580773</v>
      </c>
      <c r="C34" s="15">
        <v>10.9136630217945</v>
      </c>
      <c r="D34" s="15">
        <v>0.52905476509680105</v>
      </c>
      <c r="E34" s="24">
        <v>0.62217993628277801</v>
      </c>
    </row>
    <row r="35" spans="1:5">
      <c r="A35" s="9" t="s">
        <v>213</v>
      </c>
      <c r="B35" s="15">
        <v>1.03759295527232</v>
      </c>
      <c r="C35" s="15">
        <v>1.03759295527232</v>
      </c>
      <c r="D35" s="15">
        <v>0</v>
      </c>
      <c r="E35" s="24">
        <v>0</v>
      </c>
    </row>
    <row r="36" spans="1:5">
      <c r="A36" s="9" t="s">
        <v>214</v>
      </c>
      <c r="B36" s="15">
        <v>0.63485542121532301</v>
      </c>
      <c r="C36" s="15">
        <v>0.63485542121532301</v>
      </c>
      <c r="D36" s="15">
        <v>0</v>
      </c>
      <c r="E36" s="24">
        <v>0</v>
      </c>
    </row>
    <row r="37" spans="1:5">
      <c r="A37" s="9" t="s">
        <v>351</v>
      </c>
      <c r="B37" s="15">
        <v>0.20175490080995401</v>
      </c>
      <c r="C37" s="15">
        <v>0.20175490080995401</v>
      </c>
      <c r="D37" s="15">
        <v>0</v>
      </c>
      <c r="E37" s="24">
        <v>0</v>
      </c>
    </row>
    <row r="38" spans="1:5">
      <c r="A38" s="39" t="s">
        <v>352</v>
      </c>
      <c r="B38" s="15"/>
      <c r="C38" s="15"/>
      <c r="D38" s="15"/>
      <c r="E38" s="24"/>
    </row>
    <row r="39" spans="1:5">
      <c r="A39" s="9" t="s">
        <v>176</v>
      </c>
      <c r="B39" s="15">
        <v>18.555006619201698</v>
      </c>
      <c r="C39" s="15">
        <v>17.926509534254301</v>
      </c>
      <c r="D39" s="15">
        <v>0.32036232734671499</v>
      </c>
      <c r="E39" s="24">
        <v>0.71409007316977702</v>
      </c>
    </row>
    <row r="40" spans="1:5">
      <c r="A40" s="9" t="s">
        <v>185</v>
      </c>
      <c r="B40" s="15">
        <v>10.9911062124322</v>
      </c>
      <c r="C40" s="15">
        <v>10.771988162582799</v>
      </c>
      <c r="D40" s="15">
        <v>0.65653897823166496</v>
      </c>
      <c r="E40" s="24">
        <v>0.65653897823166496</v>
      </c>
    </row>
    <row r="41" spans="1:5">
      <c r="A41" s="9" t="s">
        <v>353</v>
      </c>
      <c r="B41" s="15">
        <v>0.31840591618734598</v>
      </c>
      <c r="C41" s="15">
        <v>0.31840591618734598</v>
      </c>
      <c r="D41" s="15">
        <v>0</v>
      </c>
      <c r="E41" s="24">
        <v>0</v>
      </c>
    </row>
    <row r="42" spans="1:5">
      <c r="A42" s="39" t="s">
        <v>354</v>
      </c>
      <c r="B42" s="15"/>
      <c r="C42" s="15"/>
      <c r="D42" s="15"/>
      <c r="E42" s="24"/>
    </row>
    <row r="43" spans="1:5">
      <c r="A43" s="9" t="s">
        <v>355</v>
      </c>
      <c r="B43" s="15">
        <v>1.9097943127938699</v>
      </c>
      <c r="C43" s="15">
        <v>1.9097943127938699</v>
      </c>
      <c r="D43" s="15">
        <v>0</v>
      </c>
      <c r="E43" s="24">
        <v>0</v>
      </c>
    </row>
    <row r="44" spans="1:5">
      <c r="A44" s="9" t="s">
        <v>356</v>
      </c>
      <c r="B44" s="15">
        <v>1.87794019775673</v>
      </c>
      <c r="C44" s="15">
        <v>1.87794019775673</v>
      </c>
      <c r="D44" s="15">
        <v>0</v>
      </c>
      <c r="E44" s="24">
        <v>0</v>
      </c>
    </row>
    <row r="45" spans="1:5">
      <c r="A45" s="9" t="s">
        <v>172</v>
      </c>
      <c r="B45" s="15">
        <v>3.2060706864060302</v>
      </c>
      <c r="C45" s="15">
        <v>3.2060706864060302</v>
      </c>
      <c r="D45" s="15">
        <v>0</v>
      </c>
      <c r="E45" s="24">
        <v>0</v>
      </c>
    </row>
    <row r="46" spans="1:5">
      <c r="A46" s="9" t="s">
        <v>193</v>
      </c>
      <c r="B46" s="15">
        <v>0.102711585866886</v>
      </c>
      <c r="C46" s="15">
        <v>0.102711585866886</v>
      </c>
      <c r="D46" s="15">
        <v>0</v>
      </c>
      <c r="E46" s="24">
        <v>0</v>
      </c>
    </row>
    <row r="47" spans="1:5">
      <c r="A47" s="9" t="s">
        <v>357</v>
      </c>
      <c r="B47" s="15">
        <v>2.7767164966948199</v>
      </c>
      <c r="C47" s="15">
        <v>2.7767164966948199</v>
      </c>
      <c r="D47" s="15">
        <v>0</v>
      </c>
      <c r="E47" s="24">
        <v>0</v>
      </c>
    </row>
    <row r="48" spans="1:5">
      <c r="A48" s="9" t="s">
        <v>358</v>
      </c>
      <c r="B48" s="15">
        <v>0</v>
      </c>
      <c r="C48" s="15">
        <v>0</v>
      </c>
      <c r="D48" s="15">
        <v>0</v>
      </c>
      <c r="E48" s="24">
        <v>0</v>
      </c>
    </row>
    <row r="49" spans="1:5">
      <c r="A49" s="9" t="s">
        <v>191</v>
      </c>
      <c r="B49" s="15">
        <v>0.33294560821265801</v>
      </c>
      <c r="C49" s="15">
        <v>0.33294560821265801</v>
      </c>
      <c r="D49" s="15">
        <v>0</v>
      </c>
      <c r="E49" s="24">
        <v>0</v>
      </c>
    </row>
    <row r="50" spans="1:5">
      <c r="A50" s="9" t="s">
        <v>195</v>
      </c>
      <c r="B50" s="15">
        <v>0.3329613013503</v>
      </c>
      <c r="C50" s="15">
        <v>0.3329613013503</v>
      </c>
      <c r="D50" s="15">
        <v>0</v>
      </c>
      <c r="E50" s="24">
        <v>0</v>
      </c>
    </row>
    <row r="51" spans="1:5">
      <c r="A51" s="9" t="s">
        <v>196</v>
      </c>
      <c r="B51" s="15">
        <v>1.0376843150297601</v>
      </c>
      <c r="C51" s="15">
        <v>1.0376843150297601</v>
      </c>
      <c r="D51" s="15">
        <v>0</v>
      </c>
      <c r="E51" s="24">
        <v>0</v>
      </c>
    </row>
    <row r="52" spans="1:5">
      <c r="A52" s="9" t="s">
        <v>198</v>
      </c>
      <c r="B52" s="15">
        <v>0.13694878115584799</v>
      </c>
      <c r="C52" s="15">
        <v>0.13694878115584799</v>
      </c>
      <c r="D52" s="15">
        <v>0</v>
      </c>
      <c r="E52" s="24">
        <v>0</v>
      </c>
    </row>
    <row r="53" spans="1:5">
      <c r="A53" s="9" t="s">
        <v>203</v>
      </c>
      <c r="B53" s="15">
        <v>0.32174070793627102</v>
      </c>
      <c r="C53" s="15">
        <v>0.32174070793627102</v>
      </c>
      <c r="D53" s="15">
        <v>0</v>
      </c>
      <c r="E53" s="24">
        <v>0</v>
      </c>
    </row>
    <row r="54" spans="1:5">
      <c r="A54" s="9" t="s">
        <v>204</v>
      </c>
      <c r="B54" s="15">
        <v>0.28367961810854198</v>
      </c>
      <c r="C54" s="15">
        <v>0.28367961810854198</v>
      </c>
      <c r="D54" s="15">
        <v>0</v>
      </c>
      <c r="E54" s="24">
        <v>0</v>
      </c>
    </row>
    <row r="55" spans="1:5">
      <c r="A55" s="9" t="s">
        <v>359</v>
      </c>
      <c r="B55" s="15">
        <v>0.103792760454958</v>
      </c>
      <c r="C55" s="15">
        <v>0.103792760454958</v>
      </c>
      <c r="D55" s="15">
        <v>0</v>
      </c>
      <c r="E55" s="24">
        <v>0</v>
      </c>
    </row>
    <row r="56" spans="1:5">
      <c r="A56" s="11" t="s">
        <v>207</v>
      </c>
      <c r="B56" s="16">
        <v>0.16433853738701701</v>
      </c>
      <c r="C56" s="16">
        <v>0.16433853738701701</v>
      </c>
      <c r="D56" s="16">
        <v>0</v>
      </c>
      <c r="E56" s="25">
        <v>0</v>
      </c>
    </row>
    <row r="57" spans="1:5" ht="30" customHeight="1">
      <c r="A57" t="s">
        <v>94</v>
      </c>
    </row>
    <row r="58" spans="1:5">
      <c r="A58" t="s">
        <v>321</v>
      </c>
    </row>
    <row r="59" spans="1:5">
      <c r="A59" t="s">
        <v>322</v>
      </c>
    </row>
    <row r="60" spans="1:5">
      <c r="A60" t="s">
        <v>323</v>
      </c>
    </row>
    <row r="61" spans="1:5">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9"/>
  <sheetViews>
    <sheetView zoomScale="70" workbookViewId="0"/>
  </sheetViews>
  <sheetFormatPr defaultColWidth="10.90625" defaultRowHeight="15"/>
  <cols>
    <col min="1" max="1" width="77.6796875" customWidth="1"/>
    <col min="2" max="4" width="15.90625" customWidth="1"/>
  </cols>
  <sheetData>
    <row r="1" spans="1:4" ht="39.9" customHeight="1">
      <c r="A1" s="10" t="s">
        <v>364</v>
      </c>
      <c r="B1" s="12"/>
      <c r="C1" s="12"/>
      <c r="D1" s="12"/>
    </row>
    <row r="2" spans="1:4" ht="45">
      <c r="A2" s="7" t="s">
        <v>2</v>
      </c>
      <c r="B2" s="6" t="s">
        <v>18</v>
      </c>
      <c r="C2" s="6" t="s">
        <v>19</v>
      </c>
      <c r="D2" s="8" t="s">
        <v>20</v>
      </c>
    </row>
    <row r="3" spans="1:4" ht="30">
      <c r="A3" s="39" t="s">
        <v>365</v>
      </c>
      <c r="B3" s="15"/>
      <c r="C3" s="15"/>
      <c r="D3" s="24"/>
    </row>
    <row r="4" spans="1:4">
      <c r="A4" s="9" t="s">
        <v>366</v>
      </c>
      <c r="B4" s="15">
        <v>88.335344666604698</v>
      </c>
      <c r="C4" s="15">
        <v>91.367254153756704</v>
      </c>
      <c r="D4" s="24">
        <v>97.089947089947103</v>
      </c>
    </row>
    <row r="5" spans="1:4">
      <c r="A5" s="9" t="s">
        <v>367</v>
      </c>
      <c r="B5" s="15">
        <v>80.719861870541905</v>
      </c>
      <c r="C5" s="15">
        <v>80.044753725843293</v>
      </c>
      <c r="D5" s="24">
        <v>82.928727046374107</v>
      </c>
    </row>
    <row r="6" spans="1:4">
      <c r="A6" s="9" t="s">
        <v>368</v>
      </c>
      <c r="B6" s="15">
        <v>81.295196094189706</v>
      </c>
      <c r="C6" s="15">
        <v>82.367846850893898</v>
      </c>
      <c r="D6" s="24">
        <v>88.515406162464998</v>
      </c>
    </row>
    <row r="7" spans="1:4">
      <c r="A7" s="9" t="s">
        <v>369</v>
      </c>
      <c r="B7" s="15">
        <v>39.696574060618403</v>
      </c>
      <c r="C7" s="15">
        <v>41.649285785658499</v>
      </c>
      <c r="D7" s="24">
        <v>39.534702769996898</v>
      </c>
    </row>
    <row r="8" spans="1:4">
      <c r="A8" s="9" t="s">
        <v>370</v>
      </c>
      <c r="B8" s="15">
        <v>44.2844552035682</v>
      </c>
      <c r="C8" s="15">
        <v>45.394316259067097</v>
      </c>
      <c r="D8" s="24">
        <v>43.261749144102097</v>
      </c>
    </row>
    <row r="9" spans="1:4">
      <c r="A9" s="9" t="s">
        <v>371</v>
      </c>
      <c r="B9" s="15">
        <v>48.423746917308101</v>
      </c>
      <c r="C9" s="15">
        <v>55.100711293285897</v>
      </c>
      <c r="D9" s="24">
        <v>48.031434796140701</v>
      </c>
    </row>
    <row r="10" spans="1:4">
      <c r="A10" s="9" t="s">
        <v>372</v>
      </c>
      <c r="B10" s="15">
        <v>21.173253857017102</v>
      </c>
      <c r="C10" s="15">
        <v>24.385954237771902</v>
      </c>
      <c r="D10" s="24">
        <v>25.350140056022401</v>
      </c>
    </row>
    <row r="11" spans="1:4">
      <c r="A11" s="9" t="s">
        <v>373</v>
      </c>
      <c r="B11" s="15">
        <v>48.605864411448998</v>
      </c>
      <c r="C11" s="15">
        <v>50.596771972733201</v>
      </c>
      <c r="D11" s="24">
        <v>45.144724556489301</v>
      </c>
    </row>
    <row r="12" spans="1:4">
      <c r="A12" s="9" t="s">
        <v>374</v>
      </c>
      <c r="B12" s="15">
        <v>44.593076910937803</v>
      </c>
      <c r="C12" s="15">
        <v>37.437561051862502</v>
      </c>
      <c r="D12" s="24">
        <v>43.2384064737006</v>
      </c>
    </row>
    <row r="13" spans="1:4">
      <c r="A13" s="9" t="s">
        <v>375</v>
      </c>
      <c r="B13" s="15">
        <v>28.649250258479899</v>
      </c>
      <c r="C13" s="15">
        <v>33.316138667307101</v>
      </c>
      <c r="D13" s="24">
        <v>31.092436974789901</v>
      </c>
    </row>
    <row r="14" spans="1:4">
      <c r="A14" s="11" t="s">
        <v>247</v>
      </c>
      <c r="B14" s="16">
        <v>2.7598461419949101</v>
      </c>
      <c r="C14" s="16">
        <v>2.8843212005101599</v>
      </c>
      <c r="D14" s="25">
        <v>8.5745409274821007</v>
      </c>
    </row>
    <row r="15" spans="1:4" ht="30" customHeight="1">
      <c r="A15" t="s">
        <v>94</v>
      </c>
    </row>
    <row r="16" spans="1:4">
      <c r="A16" t="s">
        <v>321</v>
      </c>
    </row>
    <row r="17" spans="1:1">
      <c r="A17" t="s">
        <v>322</v>
      </c>
    </row>
    <row r="18" spans="1:1">
      <c r="A18" t="s">
        <v>323</v>
      </c>
    </row>
    <row r="19" spans="1:1">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5"/>
  <sheetViews>
    <sheetView zoomScale="70" workbookViewId="0"/>
  </sheetViews>
  <sheetFormatPr defaultColWidth="10.90625" defaultRowHeight="15"/>
  <cols>
    <col min="1" max="1" width="77.6796875" customWidth="1"/>
    <col min="2" max="4" width="15.90625" customWidth="1"/>
  </cols>
  <sheetData>
    <row r="1" spans="1:4" ht="39.9" customHeight="1">
      <c r="A1" s="10" t="s">
        <v>376</v>
      </c>
      <c r="B1" s="12"/>
      <c r="C1" s="12"/>
      <c r="D1" s="12"/>
    </row>
    <row r="2" spans="1:4" ht="45">
      <c r="A2" s="7" t="s">
        <v>2</v>
      </c>
      <c r="B2" s="6" t="s">
        <v>18</v>
      </c>
      <c r="C2" s="6" t="s">
        <v>19</v>
      </c>
      <c r="D2" s="8" t="s">
        <v>20</v>
      </c>
    </row>
    <row r="3" spans="1:4" ht="30">
      <c r="A3" s="39" t="s">
        <v>377</v>
      </c>
      <c r="B3" s="15"/>
      <c r="C3" s="15"/>
      <c r="D3" s="24"/>
    </row>
    <row r="4" spans="1:4">
      <c r="A4" s="9" t="s">
        <v>378</v>
      </c>
      <c r="B4" s="15">
        <v>92.796035634838901</v>
      </c>
      <c r="C4" s="15">
        <v>93.421787075661996</v>
      </c>
      <c r="D4" s="24">
        <v>97.167755991285404</v>
      </c>
    </row>
    <row r="5" spans="1:4">
      <c r="A5" s="9" t="s">
        <v>379</v>
      </c>
      <c r="B5" s="15">
        <v>5.1898693165648604</v>
      </c>
      <c r="C5" s="15">
        <v>3.2931316781062101</v>
      </c>
      <c r="D5" s="24">
        <v>0</v>
      </c>
    </row>
    <row r="6" spans="1:4">
      <c r="A6" s="9" t="s">
        <v>380</v>
      </c>
      <c r="B6" s="15">
        <v>0</v>
      </c>
      <c r="C6" s="15">
        <v>0</v>
      </c>
      <c r="D6" s="24">
        <v>0</v>
      </c>
    </row>
    <row r="7" spans="1:4">
      <c r="A7" s="9" t="s">
        <v>381</v>
      </c>
      <c r="B7" s="15">
        <v>0.100971854095671</v>
      </c>
      <c r="C7" s="15">
        <v>0.45274476513865303</v>
      </c>
      <c r="D7" s="24">
        <v>0</v>
      </c>
    </row>
    <row r="8" spans="1:4">
      <c r="A8" s="9" t="s">
        <v>247</v>
      </c>
      <c r="B8" s="15">
        <v>1.91312319450057</v>
      </c>
      <c r="C8" s="15">
        <v>2.8323364810931002</v>
      </c>
      <c r="D8" s="24">
        <v>2.8322440087145999</v>
      </c>
    </row>
    <row r="9" spans="1:4" ht="30">
      <c r="A9" s="39" t="s">
        <v>382</v>
      </c>
      <c r="B9" s="15"/>
      <c r="C9" s="15"/>
      <c r="D9" s="24"/>
    </row>
    <row r="10" spans="1:4">
      <c r="A10" s="9" t="s">
        <v>383</v>
      </c>
      <c r="B10" s="15">
        <v>88.569732526594905</v>
      </c>
      <c r="C10" s="15">
        <v>85.593701571056002</v>
      </c>
      <c r="D10" s="24">
        <v>85.838779956427004</v>
      </c>
    </row>
    <row r="11" spans="1:4">
      <c r="A11" s="9" t="s">
        <v>384</v>
      </c>
      <c r="B11" s="15">
        <v>11.430267473405101</v>
      </c>
      <c r="C11" s="15">
        <v>14.406298428944</v>
      </c>
      <c r="D11" s="24">
        <v>14.161220043573</v>
      </c>
    </row>
    <row r="12" spans="1:4" ht="30">
      <c r="A12" s="39" t="s">
        <v>385</v>
      </c>
      <c r="B12" s="15"/>
      <c r="C12" s="15"/>
      <c r="D12" s="24"/>
    </row>
    <row r="13" spans="1:4">
      <c r="A13" s="9" t="s">
        <v>383</v>
      </c>
      <c r="B13" s="15">
        <v>82.100654897111198</v>
      </c>
      <c r="C13" s="15">
        <v>80.597961762447895</v>
      </c>
      <c r="D13" s="24">
        <v>79.442888266417697</v>
      </c>
    </row>
    <row r="14" spans="1:4">
      <c r="A14" s="9" t="s">
        <v>384</v>
      </c>
      <c r="B14" s="15">
        <v>17.899345102888802</v>
      </c>
      <c r="C14" s="15">
        <v>19.402038237552102</v>
      </c>
      <c r="D14" s="24">
        <v>20.5571117335823</v>
      </c>
    </row>
    <row r="15" spans="1:4" ht="30">
      <c r="A15" s="39" t="s">
        <v>386</v>
      </c>
      <c r="B15" s="15"/>
      <c r="C15" s="15"/>
      <c r="D15" s="24"/>
    </row>
    <row r="16" spans="1:4">
      <c r="A16" s="9" t="s">
        <v>383</v>
      </c>
      <c r="B16" s="15">
        <v>57.8040347875842</v>
      </c>
      <c r="C16" s="15">
        <v>64.204682176943194</v>
      </c>
      <c r="D16" s="24">
        <v>65.2038593215064</v>
      </c>
    </row>
    <row r="17" spans="1:4">
      <c r="A17" s="9" t="s">
        <v>384</v>
      </c>
      <c r="B17" s="15">
        <v>42.1959652124158</v>
      </c>
      <c r="C17" s="15">
        <v>35.795317823056799</v>
      </c>
      <c r="D17" s="24">
        <v>34.7961406784936</v>
      </c>
    </row>
    <row r="18" spans="1:4" ht="30">
      <c r="A18" s="39" t="s">
        <v>387</v>
      </c>
      <c r="B18" s="15"/>
      <c r="C18" s="15"/>
      <c r="D18" s="24"/>
    </row>
    <row r="19" spans="1:4">
      <c r="A19" s="9" t="s">
        <v>383</v>
      </c>
      <c r="B19" s="15">
        <v>72.848701991406401</v>
      </c>
      <c r="C19" s="15">
        <v>70.681045644842698</v>
      </c>
      <c r="D19" s="24">
        <v>63.243075007780902</v>
      </c>
    </row>
    <row r="20" spans="1:4">
      <c r="A20" s="11" t="s">
        <v>384</v>
      </c>
      <c r="B20" s="16">
        <v>27.151298008593599</v>
      </c>
      <c r="C20" s="16">
        <v>29.318954355157299</v>
      </c>
      <c r="D20" s="25">
        <v>36.756924992219098</v>
      </c>
    </row>
    <row r="21" spans="1:4" ht="30" customHeight="1">
      <c r="A21" t="s">
        <v>94</v>
      </c>
    </row>
    <row r="22" spans="1:4">
      <c r="A22" t="s">
        <v>321</v>
      </c>
    </row>
    <row r="23" spans="1:4">
      <c r="A23" t="s">
        <v>322</v>
      </c>
    </row>
    <row r="24" spans="1:4">
      <c r="A24" t="s">
        <v>323</v>
      </c>
    </row>
    <row r="25" spans="1:4">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2"/>
  <sheetViews>
    <sheetView zoomScale="70" workbookViewId="0"/>
  </sheetViews>
  <sheetFormatPr defaultColWidth="10.90625" defaultRowHeight="15"/>
  <cols>
    <col min="1" max="1" width="77.6796875" customWidth="1"/>
    <col min="2" max="7" width="15.90625" customWidth="1"/>
  </cols>
  <sheetData>
    <row r="1" spans="1:7" ht="39.9" customHeight="1">
      <c r="A1" s="10" t="s">
        <v>388</v>
      </c>
      <c r="B1" s="12"/>
      <c r="C1" s="12"/>
      <c r="D1" s="12"/>
      <c r="E1" s="12"/>
      <c r="F1" s="12"/>
      <c r="G1" s="12"/>
    </row>
    <row r="2" spans="1:7" ht="30">
      <c r="A2" s="7" t="s">
        <v>2</v>
      </c>
      <c r="B2" s="6" t="s">
        <v>389</v>
      </c>
      <c r="C2" s="6" t="s">
        <v>390</v>
      </c>
      <c r="D2" s="6" t="s">
        <v>391</v>
      </c>
      <c r="E2" s="6" t="s">
        <v>392</v>
      </c>
      <c r="F2" s="6" t="s">
        <v>393</v>
      </c>
      <c r="G2" s="8" t="s">
        <v>394</v>
      </c>
    </row>
    <row r="3" spans="1:7">
      <c r="A3" s="39" t="s">
        <v>395</v>
      </c>
      <c r="B3" s="15"/>
      <c r="C3" s="15"/>
      <c r="D3" s="15"/>
      <c r="E3" s="15"/>
      <c r="F3" s="15"/>
      <c r="G3" s="24"/>
    </row>
    <row r="4" spans="1:7">
      <c r="A4" s="9" t="s">
        <v>396</v>
      </c>
      <c r="B4" s="15">
        <v>23.567096274293799</v>
      </c>
      <c r="C4" s="15">
        <v>47.062151963428001</v>
      </c>
      <c r="D4" s="15">
        <v>14.5067501344038</v>
      </c>
      <c r="E4" s="15">
        <v>9.5251112522813006</v>
      </c>
      <c r="F4" s="15">
        <v>2.3868493368558199</v>
      </c>
      <c r="G4" s="24">
        <v>2.9520410387372502</v>
      </c>
    </row>
    <row r="5" spans="1:7">
      <c r="A5" s="9" t="s">
        <v>397</v>
      </c>
      <c r="B5" s="15">
        <v>20.617107015883001</v>
      </c>
      <c r="C5" s="15">
        <v>39.782838064813497</v>
      </c>
      <c r="D5" s="15">
        <v>17.5151511554024</v>
      </c>
      <c r="E5" s="15">
        <v>14.639883947331199</v>
      </c>
      <c r="F5" s="15">
        <v>5.13389392519161</v>
      </c>
      <c r="G5" s="24">
        <v>2.3111258913783002</v>
      </c>
    </row>
    <row r="6" spans="1:7">
      <c r="A6" s="9" t="s">
        <v>398</v>
      </c>
      <c r="B6" s="15">
        <v>39.008905881449401</v>
      </c>
      <c r="C6" s="15">
        <v>48.277900846921099</v>
      </c>
      <c r="D6" s="15">
        <v>6.8283623056595504</v>
      </c>
      <c r="E6" s="15">
        <v>4.6124512460488098</v>
      </c>
      <c r="F6" s="15">
        <v>0.79727015429562698</v>
      </c>
      <c r="G6" s="24">
        <v>0.475109565625502</v>
      </c>
    </row>
    <row r="7" spans="1:7">
      <c r="A7" s="9" t="s">
        <v>399</v>
      </c>
      <c r="B7" s="15">
        <v>33.387182787722402</v>
      </c>
      <c r="C7" s="15">
        <v>50.743503526211597</v>
      </c>
      <c r="D7" s="15">
        <v>8.6141892847623804</v>
      </c>
      <c r="E7" s="15">
        <v>5.8505268581211496</v>
      </c>
      <c r="F7" s="15">
        <v>0.92948797755699997</v>
      </c>
      <c r="G7" s="24">
        <v>0.475109565625502</v>
      </c>
    </row>
    <row r="8" spans="1:7">
      <c r="A8" s="9" t="s">
        <v>398</v>
      </c>
      <c r="B8" s="15">
        <v>39.008905881449401</v>
      </c>
      <c r="C8" s="15">
        <v>48.277900846921099</v>
      </c>
      <c r="D8" s="15">
        <v>6.8283623056595504</v>
      </c>
      <c r="E8" s="15">
        <v>4.6124512460488098</v>
      </c>
      <c r="F8" s="15">
        <v>0.79727015429562698</v>
      </c>
      <c r="G8" s="24">
        <v>0.475109565625502</v>
      </c>
    </row>
    <row r="9" spans="1:7">
      <c r="A9" s="39" t="s">
        <v>400</v>
      </c>
      <c r="B9" s="15"/>
      <c r="C9" s="15"/>
      <c r="D9" s="15"/>
      <c r="E9" s="15"/>
      <c r="F9" s="15"/>
      <c r="G9" s="24"/>
    </row>
    <row r="10" spans="1:7">
      <c r="A10" s="9" t="s">
        <v>401</v>
      </c>
      <c r="B10" s="15">
        <v>18.531145731463202</v>
      </c>
      <c r="C10" s="15">
        <v>34.180114091251099</v>
      </c>
      <c r="D10" s="15">
        <v>28.434486951369799</v>
      </c>
      <c r="E10" s="15">
        <v>12.6531986838602</v>
      </c>
      <c r="F10" s="15">
        <v>5.5117179544793</v>
      </c>
      <c r="G10" s="24">
        <v>0.68933658757643501</v>
      </c>
    </row>
    <row r="11" spans="1:7">
      <c r="A11" s="9" t="s">
        <v>402</v>
      </c>
      <c r="B11" s="15">
        <v>25.481789404373501</v>
      </c>
      <c r="C11" s="15">
        <v>42.973104244187098</v>
      </c>
      <c r="D11" s="15">
        <v>18.109995671619401</v>
      </c>
      <c r="E11" s="15">
        <v>7.1834376081547902</v>
      </c>
      <c r="F11" s="15">
        <v>3.9928056314847198</v>
      </c>
      <c r="G11" s="24">
        <v>2.2588674401804201</v>
      </c>
    </row>
    <row r="12" spans="1:7">
      <c r="A12" s="9" t="s">
        <v>403</v>
      </c>
      <c r="B12" s="15">
        <v>30.750436420510301</v>
      </c>
      <c r="C12" s="15">
        <v>40.556988240543099</v>
      </c>
      <c r="D12" s="15">
        <v>15.3618041450598</v>
      </c>
      <c r="E12" s="15">
        <v>8.8305103469721793</v>
      </c>
      <c r="F12" s="15">
        <v>3.6988218999063802</v>
      </c>
      <c r="G12" s="24">
        <v>0.80143894700829399</v>
      </c>
    </row>
    <row r="13" spans="1:7">
      <c r="A13" s="9" t="s">
        <v>404</v>
      </c>
      <c r="B13" s="15">
        <v>15.622440249997901</v>
      </c>
      <c r="C13" s="15">
        <v>30.498325426227002</v>
      </c>
      <c r="D13" s="15">
        <v>15.834472671715799</v>
      </c>
      <c r="E13" s="15">
        <v>22.7186051323878</v>
      </c>
      <c r="F13" s="15">
        <v>14.1934920149316</v>
      </c>
      <c r="G13" s="24">
        <v>1.13266450473993</v>
      </c>
    </row>
    <row r="14" spans="1:7">
      <c r="A14" s="9" t="s">
        <v>405</v>
      </c>
      <c r="B14" s="15">
        <v>6.5760586705227997</v>
      </c>
      <c r="C14" s="15">
        <v>13.276516232492099</v>
      </c>
      <c r="D14" s="15">
        <v>25.115395302813699</v>
      </c>
      <c r="E14" s="15">
        <v>25.1037786239241</v>
      </c>
      <c r="F14" s="15">
        <v>23.667382282779201</v>
      </c>
      <c r="G14" s="24">
        <v>6.26086888746807</v>
      </c>
    </row>
    <row r="15" spans="1:7">
      <c r="A15" s="39" t="s">
        <v>406</v>
      </c>
      <c r="B15" s="15"/>
      <c r="C15" s="15"/>
      <c r="D15" s="15"/>
      <c r="E15" s="15"/>
      <c r="F15" s="15"/>
      <c r="G15" s="24"/>
    </row>
    <row r="16" spans="1:7">
      <c r="A16" s="9" t="s">
        <v>407</v>
      </c>
      <c r="B16" s="15">
        <v>9.0201863530431208</v>
      </c>
      <c r="C16" s="15">
        <v>28.825118973064999</v>
      </c>
      <c r="D16" s="15">
        <v>26.0438654508539</v>
      </c>
      <c r="E16" s="15">
        <v>24.806173023128501</v>
      </c>
      <c r="F16" s="15">
        <v>9.1234582827559993</v>
      </c>
      <c r="G16" s="24">
        <v>2.1811979171534599</v>
      </c>
    </row>
    <row r="17" spans="1:7">
      <c r="A17" s="9" t="s">
        <v>408</v>
      </c>
      <c r="B17" s="15">
        <v>12.824468206673</v>
      </c>
      <c r="C17" s="15">
        <v>27.2561482362871</v>
      </c>
      <c r="D17" s="15">
        <v>26.043902366083501</v>
      </c>
      <c r="E17" s="15">
        <v>21.9649831443602</v>
      </c>
      <c r="F17" s="15">
        <v>9.0732184741618909</v>
      </c>
      <c r="G17" s="24">
        <v>2.8372795724344102</v>
      </c>
    </row>
    <row r="18" spans="1:7">
      <c r="A18" s="9" t="s">
        <v>409</v>
      </c>
      <c r="B18" s="15">
        <v>13.436807417908501</v>
      </c>
      <c r="C18" s="15">
        <v>46.197098769744201</v>
      </c>
      <c r="D18" s="15">
        <v>22.205363678858401</v>
      </c>
      <c r="E18" s="15">
        <v>13.481096473421999</v>
      </c>
      <c r="F18" s="15">
        <v>2.9403525808620299</v>
      </c>
      <c r="G18" s="24">
        <v>1.73928107920491</v>
      </c>
    </row>
    <row r="19" spans="1:7">
      <c r="A19" s="9" t="s">
        <v>410</v>
      </c>
      <c r="B19" s="15">
        <v>12.183421828892</v>
      </c>
      <c r="C19" s="15">
        <v>38.868085514994199</v>
      </c>
      <c r="D19" s="15">
        <v>26.101569152554799</v>
      </c>
      <c r="E19" s="15">
        <v>16.997589753112599</v>
      </c>
      <c r="F19" s="15">
        <v>2.6972128687380401</v>
      </c>
      <c r="G19" s="24">
        <v>3.15212088170831</v>
      </c>
    </row>
    <row r="20" spans="1:7">
      <c r="A20" s="9" t="s">
        <v>411</v>
      </c>
      <c r="B20" s="15">
        <v>8.5783795971958501</v>
      </c>
      <c r="C20" s="15">
        <v>30.132539392806098</v>
      </c>
      <c r="D20" s="15">
        <v>25.023231958951001</v>
      </c>
      <c r="E20" s="15">
        <v>22.9433568072204</v>
      </c>
      <c r="F20" s="15">
        <v>9.5522829762611394</v>
      </c>
      <c r="G20" s="24">
        <v>3.7702092675654799</v>
      </c>
    </row>
    <row r="21" spans="1:7">
      <c r="A21" s="9" t="s">
        <v>412</v>
      </c>
      <c r="B21" s="15">
        <v>31.7069640144895</v>
      </c>
      <c r="C21" s="15">
        <v>49.490026972060399</v>
      </c>
      <c r="D21" s="15">
        <v>12.3062927053638</v>
      </c>
      <c r="E21" s="15">
        <v>4.34122505815193</v>
      </c>
      <c r="F21" s="15">
        <v>1.1544983646704401</v>
      </c>
      <c r="G21" s="24">
        <v>1.00099288526396</v>
      </c>
    </row>
    <row r="22" spans="1:7">
      <c r="A22" s="39" t="s">
        <v>413</v>
      </c>
      <c r="B22" s="15"/>
      <c r="C22" s="15"/>
      <c r="D22" s="15"/>
      <c r="E22" s="15"/>
      <c r="F22" s="15"/>
      <c r="G22" s="24"/>
    </row>
    <row r="23" spans="1:7">
      <c r="A23" s="9" t="s">
        <v>414</v>
      </c>
      <c r="B23" s="15">
        <v>5.8924591979247296</v>
      </c>
      <c r="C23" s="15">
        <v>11.207360142180599</v>
      </c>
      <c r="D23" s="15">
        <v>34.742115518732803</v>
      </c>
      <c r="E23" s="15">
        <v>12.550857480396701</v>
      </c>
      <c r="F23" s="15">
        <v>22.828264789998801</v>
      </c>
      <c r="G23" s="24">
        <v>12.7789428707664</v>
      </c>
    </row>
    <row r="24" spans="1:7">
      <c r="A24" s="9" t="s">
        <v>415</v>
      </c>
      <c r="B24" s="15">
        <v>8.4065066093527694</v>
      </c>
      <c r="C24" s="15">
        <v>30.751336620324299</v>
      </c>
      <c r="D24" s="15">
        <v>21.066226936591601</v>
      </c>
      <c r="E24" s="15">
        <v>27.032853443735402</v>
      </c>
      <c r="F24" s="15">
        <v>11.015908624541201</v>
      </c>
      <c r="G24" s="24">
        <v>1.7271677654547</v>
      </c>
    </row>
    <row r="25" spans="1:7">
      <c r="A25" s="9" t="s">
        <v>416</v>
      </c>
      <c r="B25" s="15">
        <v>16.4437156868998</v>
      </c>
      <c r="C25" s="15">
        <v>38.654833891789202</v>
      </c>
      <c r="D25" s="15">
        <v>18.644843922391001</v>
      </c>
      <c r="E25" s="15">
        <v>19.030806776420999</v>
      </c>
      <c r="F25" s="15">
        <v>6.4528265578594901</v>
      </c>
      <c r="G25" s="24">
        <v>0.77297316463947097</v>
      </c>
    </row>
    <row r="26" spans="1:7">
      <c r="A26" s="9" t="s">
        <v>417</v>
      </c>
      <c r="B26" s="15">
        <v>13.046724450600999</v>
      </c>
      <c r="C26" s="15">
        <v>45.288390201044002</v>
      </c>
      <c r="D26" s="15">
        <v>15.5083263712913</v>
      </c>
      <c r="E26" s="15">
        <v>21.506716179056699</v>
      </c>
      <c r="F26" s="15">
        <v>4.0885095589826799</v>
      </c>
      <c r="G26" s="24">
        <v>0.561333239024283</v>
      </c>
    </row>
    <row r="27" spans="1:7">
      <c r="A27" s="11" t="s">
        <v>418</v>
      </c>
      <c r="B27" s="16">
        <v>15.8344530034069</v>
      </c>
      <c r="C27" s="16">
        <v>46.060197481684497</v>
      </c>
      <c r="D27" s="16">
        <v>24.404976209275301</v>
      </c>
      <c r="E27" s="16">
        <v>10.0622699173003</v>
      </c>
      <c r="F27" s="16">
        <v>2.5389325820714501</v>
      </c>
      <c r="G27" s="25">
        <v>1.09917080626153</v>
      </c>
    </row>
    <row r="28" spans="1:7" ht="30" customHeight="1">
      <c r="A28" t="s">
        <v>94</v>
      </c>
    </row>
    <row r="29" spans="1:7">
      <c r="A29" t="s">
        <v>321</v>
      </c>
    </row>
    <row r="30" spans="1:7">
      <c r="A30" t="s">
        <v>322</v>
      </c>
    </row>
    <row r="31" spans="1:7">
      <c r="A31" t="s">
        <v>323</v>
      </c>
    </row>
    <row r="32" spans="1:7">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2"/>
  <sheetViews>
    <sheetView zoomScale="70" workbookViewId="0"/>
  </sheetViews>
  <sheetFormatPr defaultColWidth="10.90625" defaultRowHeight="15"/>
  <cols>
    <col min="1" max="1" width="77.6796875" customWidth="1"/>
    <col min="2" max="5" width="15.90625" customWidth="1"/>
  </cols>
  <sheetData>
    <row r="1" spans="1:5" ht="39.9" customHeight="1">
      <c r="A1" s="10" t="s">
        <v>419</v>
      </c>
      <c r="B1" s="12"/>
      <c r="C1" s="12"/>
      <c r="D1" s="12"/>
      <c r="E1" s="12"/>
    </row>
    <row r="2" spans="1:5" ht="60">
      <c r="A2" s="7" t="s">
        <v>2</v>
      </c>
      <c r="B2" s="6" t="s">
        <v>420</v>
      </c>
      <c r="C2" s="6" t="s">
        <v>421</v>
      </c>
      <c r="D2" s="6" t="s">
        <v>422</v>
      </c>
      <c r="E2" s="8" t="s">
        <v>423</v>
      </c>
    </row>
    <row r="3" spans="1:5">
      <c r="A3" s="39" t="s">
        <v>424</v>
      </c>
      <c r="B3" s="15"/>
      <c r="C3" s="15"/>
      <c r="D3" s="15"/>
      <c r="E3" s="24"/>
    </row>
    <row r="4" spans="1:5">
      <c r="A4" s="9" t="s">
        <v>425</v>
      </c>
      <c r="B4" s="15">
        <v>19.285835192056702</v>
      </c>
      <c r="C4" s="15">
        <v>7.1912139884823096</v>
      </c>
      <c r="D4" s="15">
        <v>6.6399209460739703</v>
      </c>
      <c r="E4" s="24">
        <v>4.0147468108042101</v>
      </c>
    </row>
    <row r="5" spans="1:5">
      <c r="A5" s="9" t="s">
        <v>426</v>
      </c>
      <c r="B5" s="15">
        <v>73.550799398421205</v>
      </c>
      <c r="C5" s="15">
        <v>76.135122919817803</v>
      </c>
      <c r="D5" s="15">
        <v>69.847878343306206</v>
      </c>
      <c r="E5" s="24">
        <v>28.372013919123201</v>
      </c>
    </row>
    <row r="6" spans="1:5">
      <c r="A6" s="9" t="s">
        <v>427</v>
      </c>
      <c r="B6" s="15">
        <v>2.2632932826755598</v>
      </c>
      <c r="C6" s="15">
        <v>0.96885508517293495</v>
      </c>
      <c r="D6" s="15">
        <v>0.76147550227979399</v>
      </c>
      <c r="E6" s="24">
        <v>0.29343290315304399</v>
      </c>
    </row>
    <row r="7" spans="1:5">
      <c r="A7" s="9" t="s">
        <v>428</v>
      </c>
      <c r="B7" s="15">
        <v>5.0630131440872503</v>
      </c>
      <c r="C7" s="15">
        <v>2.8544345794995101</v>
      </c>
      <c r="D7" s="15">
        <v>2.6249711728074199</v>
      </c>
      <c r="E7" s="24">
        <v>1.2071337677876599</v>
      </c>
    </row>
    <row r="8" spans="1:5">
      <c r="A8" s="9" t="s">
        <v>429</v>
      </c>
      <c r="B8" s="15">
        <v>1.6619336565926499</v>
      </c>
      <c r="C8" s="15">
        <v>0</v>
      </c>
      <c r="D8" s="15">
        <v>0</v>
      </c>
      <c r="E8" s="24">
        <v>0</v>
      </c>
    </row>
    <row r="9" spans="1:5">
      <c r="A9" s="9" t="s">
        <v>430</v>
      </c>
      <c r="B9" s="15">
        <v>0.29586956456307301</v>
      </c>
      <c r="C9" s="15">
        <v>0</v>
      </c>
      <c r="D9" s="15">
        <v>0</v>
      </c>
      <c r="E9" s="24">
        <v>0</v>
      </c>
    </row>
    <row r="10" spans="1:5">
      <c r="A10" s="9" t="s">
        <v>431</v>
      </c>
      <c r="B10" s="15">
        <v>52.244742953068098</v>
      </c>
      <c r="C10" s="15">
        <v>0.29209733454424902</v>
      </c>
      <c r="D10" s="15">
        <v>0</v>
      </c>
      <c r="E10" s="24">
        <v>0.29209733454424902</v>
      </c>
    </row>
    <row r="11" spans="1:5">
      <c r="A11" s="9" t="s">
        <v>432</v>
      </c>
      <c r="B11" s="15">
        <v>25.413806939655899</v>
      </c>
      <c r="C11" s="15">
        <v>0.64488829895567801</v>
      </c>
      <c r="D11" s="15">
        <v>0.64488829895567801</v>
      </c>
      <c r="E11" s="24">
        <v>0.64488829895567801</v>
      </c>
    </row>
    <row r="12" spans="1:5">
      <c r="A12" s="9" t="s">
        <v>433</v>
      </c>
      <c r="B12" s="15">
        <v>29.1896318966355</v>
      </c>
      <c r="C12" s="15">
        <v>11.3975315907725</v>
      </c>
      <c r="D12" s="15">
        <v>6.1952722794805197</v>
      </c>
      <c r="E12" s="24">
        <v>4.0460410292109596</v>
      </c>
    </row>
    <row r="13" spans="1:5">
      <c r="A13" s="9" t="s">
        <v>247</v>
      </c>
      <c r="B13" s="15">
        <v>0.82131038925394395</v>
      </c>
      <c r="C13" s="15">
        <v>0.537719607152639</v>
      </c>
      <c r="D13" s="15">
        <v>0.537719607152639</v>
      </c>
      <c r="E13" s="24">
        <v>0.19241303752396599</v>
      </c>
    </row>
    <row r="14" spans="1:5">
      <c r="A14" s="39" t="s">
        <v>434</v>
      </c>
      <c r="B14" s="15"/>
      <c r="C14" s="15"/>
      <c r="D14" s="15"/>
      <c r="E14" s="24"/>
    </row>
    <row r="15" spans="1:5">
      <c r="A15" s="9" t="s">
        <v>435</v>
      </c>
      <c r="B15" s="15">
        <v>11.559754052914</v>
      </c>
      <c r="C15" s="15">
        <v>1.57671038047974</v>
      </c>
      <c r="D15" s="15">
        <v>0.69968377281442196</v>
      </c>
      <c r="E15" s="24">
        <v>1.44758724396137</v>
      </c>
    </row>
    <row r="16" spans="1:5">
      <c r="A16" s="9" t="s">
        <v>436</v>
      </c>
      <c r="B16" s="15">
        <v>5.1694381385915902</v>
      </c>
      <c r="C16" s="15">
        <v>0.96055575556505401</v>
      </c>
      <c r="D16" s="15">
        <v>1.0857880034482901</v>
      </c>
      <c r="E16" s="24">
        <v>0.728875486692379</v>
      </c>
    </row>
    <row r="17" spans="1:5">
      <c r="A17" s="9" t="s">
        <v>437</v>
      </c>
      <c r="B17" s="15">
        <v>2.4214889806476698</v>
      </c>
      <c r="C17" s="15">
        <v>0.69968377281442196</v>
      </c>
      <c r="D17" s="15">
        <v>1.8801548079755901</v>
      </c>
      <c r="E17" s="24">
        <v>0.45317596673389599</v>
      </c>
    </row>
    <row r="18" spans="1:5">
      <c r="A18" s="9" t="s">
        <v>438</v>
      </c>
      <c r="B18" s="15">
        <v>2.40494896668022</v>
      </c>
      <c r="C18" s="15">
        <v>1.0857880034482901</v>
      </c>
      <c r="D18" s="15">
        <v>11.457765042498</v>
      </c>
      <c r="E18" s="24">
        <v>0.42973812800646799</v>
      </c>
    </row>
    <row r="19" spans="1:5">
      <c r="A19" s="9" t="s">
        <v>439</v>
      </c>
      <c r="B19" s="15">
        <v>3.6513750356569199</v>
      </c>
      <c r="C19" s="15">
        <v>1.9740625436253201</v>
      </c>
      <c r="D19" s="15">
        <v>15.027416903312099</v>
      </c>
      <c r="E19" s="24">
        <v>1.41217236587647</v>
      </c>
    </row>
    <row r="20" spans="1:5">
      <c r="A20" s="9" t="s">
        <v>440</v>
      </c>
      <c r="B20" s="15">
        <v>15.7790247734847</v>
      </c>
      <c r="C20" s="15">
        <v>11.6677531736036</v>
      </c>
      <c r="D20" s="15">
        <v>60.661369478481802</v>
      </c>
      <c r="E20" s="24">
        <v>4.41531805439908</v>
      </c>
    </row>
    <row r="21" spans="1:5">
      <c r="A21" s="9" t="s">
        <v>441</v>
      </c>
      <c r="B21" s="15">
        <v>31.711802221531499</v>
      </c>
      <c r="C21" s="15">
        <v>16.0984558581839</v>
      </c>
      <c r="D21" s="15">
        <v>2.0005397188415901</v>
      </c>
      <c r="E21" s="24">
        <v>6.9522397973729904</v>
      </c>
    </row>
    <row r="22" spans="1:5">
      <c r="A22" s="9" t="s">
        <v>442</v>
      </c>
      <c r="B22" s="15">
        <v>74.099685448485701</v>
      </c>
      <c r="C22" s="15">
        <v>65.226992311445997</v>
      </c>
      <c r="D22" s="15">
        <v>2.9737992133404401</v>
      </c>
      <c r="E22" s="24">
        <v>28.566234683622302</v>
      </c>
    </row>
    <row r="23" spans="1:5">
      <c r="A23" s="9" t="s">
        <v>443</v>
      </c>
      <c r="B23" s="15">
        <v>8.0181269884767303</v>
      </c>
      <c r="C23" s="15">
        <v>2.70264023485288</v>
      </c>
      <c r="D23" s="15">
        <v>0.87329930181203796</v>
      </c>
      <c r="E23" s="24">
        <v>1.31493530601498</v>
      </c>
    </row>
    <row r="24" spans="1:5">
      <c r="A24" s="9" t="s">
        <v>444</v>
      </c>
      <c r="B24" s="15">
        <v>8.6422185179979198</v>
      </c>
      <c r="C24" s="15">
        <v>3.24637996044871</v>
      </c>
      <c r="D24" s="15">
        <v>0.72667335403572098</v>
      </c>
      <c r="E24" s="24">
        <v>1.5009739858693401</v>
      </c>
    </row>
    <row r="25" spans="1:5">
      <c r="A25" s="9" t="s">
        <v>445</v>
      </c>
      <c r="B25" s="15">
        <v>7.6097634253951796</v>
      </c>
      <c r="C25" s="15">
        <v>0.87329930181203796</v>
      </c>
      <c r="D25" s="15">
        <v>6.5355387265199498</v>
      </c>
      <c r="E25" s="24">
        <v>0.32068839587327702</v>
      </c>
    </row>
    <row r="26" spans="1:5">
      <c r="A26" s="9" t="s">
        <v>446</v>
      </c>
      <c r="B26" s="15">
        <v>1.90352006788277</v>
      </c>
      <c r="C26" s="15">
        <v>0.84992725707598304</v>
      </c>
      <c r="D26" s="15">
        <v>1.75783298977419</v>
      </c>
      <c r="E26" s="24">
        <v>0.33699182220135399</v>
      </c>
    </row>
    <row r="27" spans="1:5">
      <c r="A27" s="11" t="s">
        <v>247</v>
      </c>
      <c r="B27" s="16">
        <v>8.8791161434359793</v>
      </c>
      <c r="C27" s="16">
        <v>6.72257163335565</v>
      </c>
      <c r="D27" s="16">
        <v>1.4851540825488301</v>
      </c>
      <c r="E27" s="25">
        <v>2.0248279346713298</v>
      </c>
    </row>
    <row r="28" spans="1:5" ht="30" customHeight="1">
      <c r="A28" t="s">
        <v>94</v>
      </c>
    </row>
    <row r="29" spans="1:5">
      <c r="A29" t="s">
        <v>321</v>
      </c>
    </row>
    <row r="30" spans="1:5">
      <c r="A30" t="s">
        <v>322</v>
      </c>
    </row>
    <row r="31" spans="1:5">
      <c r="A31" t="s">
        <v>323</v>
      </c>
    </row>
    <row r="32" spans="1:5">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8"/>
  <sheetViews>
    <sheetView zoomScale="70" workbookViewId="0"/>
  </sheetViews>
  <sheetFormatPr defaultColWidth="10.90625" defaultRowHeight="15"/>
  <cols>
    <col min="1" max="1" width="77.6796875" customWidth="1"/>
    <col min="2" max="2" width="15.90625" customWidth="1"/>
  </cols>
  <sheetData>
    <row r="1" spans="1:2" ht="39.9" customHeight="1">
      <c r="A1" s="10" t="s">
        <v>447</v>
      </c>
      <c r="B1" s="12"/>
    </row>
    <row r="2" spans="1:2">
      <c r="A2" s="7" t="s">
        <v>2</v>
      </c>
      <c r="B2" s="8" t="s">
        <v>448</v>
      </c>
    </row>
    <row r="3" spans="1:2">
      <c r="A3" s="39" t="s">
        <v>449</v>
      </c>
      <c r="B3" s="24"/>
    </row>
    <row r="4" spans="1:2">
      <c r="A4" s="9" t="s">
        <v>450</v>
      </c>
      <c r="B4" s="24">
        <v>39.503579209461599</v>
      </c>
    </row>
    <row r="5" spans="1:2">
      <c r="A5" s="9" t="s">
        <v>451</v>
      </c>
      <c r="B5" s="24">
        <v>57.656395891690003</v>
      </c>
    </row>
    <row r="6" spans="1:2">
      <c r="A6" s="9" t="s">
        <v>452</v>
      </c>
      <c r="B6" s="24">
        <v>22.727980080921299</v>
      </c>
    </row>
    <row r="7" spans="1:2">
      <c r="A7" s="9" t="s">
        <v>453</v>
      </c>
      <c r="B7" s="24">
        <v>5.6100217864923696</v>
      </c>
    </row>
    <row r="8" spans="1:2">
      <c r="A8" s="9" t="s">
        <v>454</v>
      </c>
      <c r="B8" s="24">
        <v>94.335511982570793</v>
      </c>
    </row>
    <row r="9" spans="1:2">
      <c r="A9" s="9" t="s">
        <v>247</v>
      </c>
      <c r="B9" s="24">
        <v>2.7777777777777799</v>
      </c>
    </row>
    <row r="10" spans="1:2">
      <c r="A10" s="9" t="s">
        <v>455</v>
      </c>
      <c r="B10" s="24">
        <v>0</v>
      </c>
    </row>
    <row r="11" spans="1:2" ht="30">
      <c r="A11" s="39" t="s">
        <v>456</v>
      </c>
      <c r="B11" s="24"/>
    </row>
    <row r="12" spans="1:2">
      <c r="A12" s="9" t="s">
        <v>457</v>
      </c>
      <c r="B12" s="24">
        <v>0</v>
      </c>
    </row>
    <row r="13" spans="1:2">
      <c r="A13" s="9" t="s">
        <v>458</v>
      </c>
      <c r="B13" s="24">
        <v>2.9100529100529098</v>
      </c>
    </row>
    <row r="14" spans="1:2">
      <c r="A14" s="9" t="s">
        <v>459</v>
      </c>
      <c r="B14" s="24">
        <v>28.369125427949001</v>
      </c>
    </row>
    <row r="15" spans="1:2">
      <c r="A15" s="9" t="s">
        <v>460</v>
      </c>
      <c r="B15" s="24">
        <v>43.339558045440398</v>
      </c>
    </row>
    <row r="16" spans="1:2">
      <c r="A16" s="9" t="s">
        <v>461</v>
      </c>
      <c r="B16" s="24">
        <v>8.4422657952069695</v>
      </c>
    </row>
    <row r="17" spans="1:2">
      <c r="A17" s="9" t="s">
        <v>462</v>
      </c>
      <c r="B17" s="24">
        <v>16.938997821350799</v>
      </c>
    </row>
    <row r="18" spans="1:2">
      <c r="A18" s="39" t="s">
        <v>463</v>
      </c>
      <c r="B18" s="24"/>
    </row>
    <row r="19" spans="1:2">
      <c r="A19" s="9" t="s">
        <v>464</v>
      </c>
      <c r="B19" s="24">
        <v>0</v>
      </c>
    </row>
    <row r="20" spans="1:2">
      <c r="A20" s="9" t="s">
        <v>465</v>
      </c>
      <c r="B20" s="24">
        <v>100</v>
      </c>
    </row>
    <row r="21" spans="1:2">
      <c r="A21" s="9" t="s">
        <v>466</v>
      </c>
      <c r="B21" s="24">
        <v>0</v>
      </c>
    </row>
    <row r="22" spans="1:2">
      <c r="A22" s="9" t="s">
        <v>467</v>
      </c>
      <c r="B22" s="24">
        <v>0</v>
      </c>
    </row>
    <row r="23" spans="1:2">
      <c r="A23" s="11" t="s">
        <v>247</v>
      </c>
      <c r="B23" s="25">
        <v>0</v>
      </c>
    </row>
    <row r="24" spans="1:2" ht="30" customHeight="1">
      <c r="A24" t="s">
        <v>94</v>
      </c>
    </row>
    <row r="25" spans="1:2">
      <c r="A25" t="s">
        <v>321</v>
      </c>
    </row>
    <row r="26" spans="1:2">
      <c r="A26" t="s">
        <v>322</v>
      </c>
    </row>
    <row r="27" spans="1:2">
      <c r="A27" t="s">
        <v>323</v>
      </c>
    </row>
    <row r="28" spans="1: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7"/>
  <sheetViews>
    <sheetView zoomScale="70" workbookViewId="0"/>
  </sheetViews>
  <sheetFormatPr defaultColWidth="10.90625" defaultRowHeight="15"/>
  <cols>
    <col min="1" max="1" width="77.6796875" customWidth="1"/>
    <col min="2" max="6" width="15.90625" customWidth="1"/>
  </cols>
  <sheetData>
    <row r="1" spans="1:6" ht="39.9" customHeight="1">
      <c r="A1" s="10" t="s">
        <v>468</v>
      </c>
      <c r="B1" s="12"/>
      <c r="C1" s="12"/>
      <c r="D1" s="12"/>
      <c r="E1" s="12"/>
      <c r="F1" s="12"/>
    </row>
    <row r="2" spans="1:6">
      <c r="A2" s="7" t="s">
        <v>2</v>
      </c>
      <c r="B2" s="6" t="s">
        <v>448</v>
      </c>
      <c r="C2" s="6" t="s">
        <v>469</v>
      </c>
      <c r="D2" s="6" t="s">
        <v>470</v>
      </c>
      <c r="E2" s="6" t="s">
        <v>471</v>
      </c>
      <c r="F2" s="8" t="s">
        <v>472</v>
      </c>
    </row>
    <row r="3" spans="1:6">
      <c r="A3" s="39" t="s">
        <v>473</v>
      </c>
      <c r="B3" s="15"/>
      <c r="C3" s="15"/>
      <c r="D3" s="15"/>
      <c r="E3" s="15"/>
      <c r="F3" s="24"/>
    </row>
    <row r="4" spans="1:6">
      <c r="A4" s="9" t="s">
        <v>474</v>
      </c>
      <c r="B4" s="15">
        <v>73.459383753501399</v>
      </c>
      <c r="C4" s="15">
        <v>3.0023094688221699</v>
      </c>
      <c r="D4" s="15">
        <v>3.0023094688221699</v>
      </c>
      <c r="E4" s="15">
        <v>58.279948750800799</v>
      </c>
      <c r="F4" s="24">
        <v>62.776311448366897</v>
      </c>
    </row>
    <row r="5" spans="1:6">
      <c r="A5" s="9" t="s">
        <v>475</v>
      </c>
      <c r="B5" s="15">
        <v>62.239340180516699</v>
      </c>
      <c r="C5" s="15">
        <v>3.0023094688221699</v>
      </c>
      <c r="D5" s="15">
        <v>3.0023094688221699</v>
      </c>
      <c r="E5" s="15">
        <v>43.818065342729</v>
      </c>
      <c r="F5" s="24">
        <v>47.7977565160013</v>
      </c>
    </row>
    <row r="6" spans="1:6">
      <c r="A6" s="9" t="s">
        <v>476</v>
      </c>
      <c r="B6" s="15">
        <v>70.627139744786803</v>
      </c>
      <c r="C6" s="15">
        <v>0</v>
      </c>
      <c r="D6" s="15">
        <v>0</v>
      </c>
      <c r="E6" s="15">
        <v>52.370275464445903</v>
      </c>
      <c r="F6" s="24">
        <v>62.776311448366897</v>
      </c>
    </row>
    <row r="7" spans="1:6" ht="30">
      <c r="A7" s="39" t="s">
        <v>477</v>
      </c>
      <c r="B7" s="15"/>
      <c r="C7" s="20" t="s">
        <v>485</v>
      </c>
      <c r="D7" s="20" t="s">
        <v>485</v>
      </c>
      <c r="E7" s="20" t="s">
        <v>485</v>
      </c>
      <c r="F7" s="26" t="s">
        <v>485</v>
      </c>
    </row>
    <row r="8" spans="1:6">
      <c r="A8" s="9" t="s">
        <v>383</v>
      </c>
      <c r="B8" s="15">
        <v>88.327507679271307</v>
      </c>
      <c r="C8" s="20" t="s">
        <v>485</v>
      </c>
      <c r="D8" s="20" t="s">
        <v>485</v>
      </c>
      <c r="E8" s="20" t="s">
        <v>485</v>
      </c>
      <c r="F8" s="26" t="s">
        <v>485</v>
      </c>
    </row>
    <row r="9" spans="1:6">
      <c r="A9" s="9" t="s">
        <v>384</v>
      </c>
      <c r="B9" s="15">
        <v>0</v>
      </c>
      <c r="C9" s="20" t="s">
        <v>485</v>
      </c>
      <c r="D9" s="20" t="s">
        <v>485</v>
      </c>
      <c r="E9" s="20" t="s">
        <v>485</v>
      </c>
      <c r="F9" s="26" t="s">
        <v>485</v>
      </c>
    </row>
    <row r="10" spans="1:6">
      <c r="A10" s="9" t="s">
        <v>394</v>
      </c>
      <c r="B10" s="15">
        <v>11.672492320728701</v>
      </c>
      <c r="C10" s="20" t="s">
        <v>485</v>
      </c>
      <c r="D10" s="20" t="s">
        <v>485</v>
      </c>
      <c r="E10" s="20" t="s">
        <v>485</v>
      </c>
      <c r="F10" s="26" t="s">
        <v>485</v>
      </c>
    </row>
    <row r="11" spans="1:6">
      <c r="A11" s="39" t="s">
        <v>478</v>
      </c>
      <c r="B11" s="15"/>
      <c r="C11" s="20" t="s">
        <v>485</v>
      </c>
      <c r="D11" s="20" t="s">
        <v>485</v>
      </c>
      <c r="E11" s="20" t="s">
        <v>485</v>
      </c>
      <c r="F11" s="26" t="s">
        <v>485</v>
      </c>
    </row>
    <row r="12" spans="1:6">
      <c r="A12" s="9" t="s">
        <v>383</v>
      </c>
      <c r="B12" s="15">
        <v>88.401652367333995</v>
      </c>
      <c r="C12" s="20" t="s">
        <v>485</v>
      </c>
      <c r="D12" s="20" t="s">
        <v>485</v>
      </c>
      <c r="E12" s="20" t="s">
        <v>485</v>
      </c>
      <c r="F12" s="26" t="s">
        <v>485</v>
      </c>
    </row>
    <row r="13" spans="1:6">
      <c r="A13" s="9" t="s">
        <v>384</v>
      </c>
      <c r="B13" s="15">
        <v>3.7813790911979699</v>
      </c>
      <c r="C13" s="20" t="s">
        <v>485</v>
      </c>
      <c r="D13" s="20" t="s">
        <v>485</v>
      </c>
      <c r="E13" s="20" t="s">
        <v>485</v>
      </c>
      <c r="F13" s="26" t="s">
        <v>485</v>
      </c>
    </row>
    <row r="14" spans="1:6">
      <c r="A14" s="9" t="s">
        <v>394</v>
      </c>
      <c r="B14" s="15">
        <v>7.8169685414680599</v>
      </c>
      <c r="C14" s="20" t="s">
        <v>485</v>
      </c>
      <c r="D14" s="20" t="s">
        <v>485</v>
      </c>
      <c r="E14" s="20" t="s">
        <v>485</v>
      </c>
      <c r="F14" s="26" t="s">
        <v>485</v>
      </c>
    </row>
    <row r="15" spans="1:6" ht="30">
      <c r="A15" s="39" t="s">
        <v>479</v>
      </c>
      <c r="B15" s="15"/>
      <c r="C15" s="20" t="s">
        <v>485</v>
      </c>
      <c r="D15" s="20" t="s">
        <v>485</v>
      </c>
      <c r="E15" s="20" t="s">
        <v>485</v>
      </c>
      <c r="F15" s="26" t="s">
        <v>485</v>
      </c>
    </row>
    <row r="16" spans="1:6">
      <c r="A16" s="9" t="s">
        <v>480</v>
      </c>
      <c r="B16" s="15">
        <v>84.652049571020001</v>
      </c>
      <c r="C16" s="20" t="s">
        <v>485</v>
      </c>
      <c r="D16" s="20" t="s">
        <v>485</v>
      </c>
      <c r="E16" s="20" t="s">
        <v>485</v>
      </c>
      <c r="F16" s="26" t="s">
        <v>485</v>
      </c>
    </row>
    <row r="17" spans="1:6">
      <c r="A17" s="9" t="s">
        <v>481</v>
      </c>
      <c r="B17" s="15">
        <v>15.347950428980001</v>
      </c>
      <c r="C17" s="20" t="s">
        <v>485</v>
      </c>
      <c r="D17" s="20" t="s">
        <v>485</v>
      </c>
      <c r="E17" s="20" t="s">
        <v>485</v>
      </c>
      <c r="F17" s="26" t="s">
        <v>485</v>
      </c>
    </row>
    <row r="18" spans="1:6">
      <c r="A18" s="9" t="s">
        <v>482</v>
      </c>
      <c r="B18" s="15">
        <v>0</v>
      </c>
      <c r="C18" s="20" t="s">
        <v>485</v>
      </c>
      <c r="D18" s="20" t="s">
        <v>485</v>
      </c>
      <c r="E18" s="20" t="s">
        <v>485</v>
      </c>
      <c r="F18" s="26" t="s">
        <v>485</v>
      </c>
    </row>
    <row r="19" spans="1:6">
      <c r="A19" s="9" t="s">
        <v>483</v>
      </c>
      <c r="B19" s="15">
        <v>19.203474208240699</v>
      </c>
      <c r="C19" s="20" t="s">
        <v>485</v>
      </c>
      <c r="D19" s="20" t="s">
        <v>485</v>
      </c>
      <c r="E19" s="20" t="s">
        <v>485</v>
      </c>
      <c r="F19" s="26" t="s">
        <v>485</v>
      </c>
    </row>
    <row r="20" spans="1:6">
      <c r="A20" s="9" t="s">
        <v>484</v>
      </c>
      <c r="B20" s="15">
        <v>0</v>
      </c>
      <c r="C20" s="20" t="s">
        <v>485</v>
      </c>
      <c r="D20" s="20" t="s">
        <v>485</v>
      </c>
      <c r="E20" s="20" t="s">
        <v>485</v>
      </c>
      <c r="F20" s="26" t="s">
        <v>485</v>
      </c>
    </row>
    <row r="21" spans="1:6">
      <c r="A21" s="11" t="s">
        <v>247</v>
      </c>
      <c r="B21" s="16">
        <v>0</v>
      </c>
      <c r="C21" s="28" t="s">
        <v>485</v>
      </c>
      <c r="D21" s="28" t="s">
        <v>485</v>
      </c>
      <c r="E21" s="28" t="s">
        <v>485</v>
      </c>
      <c r="F21" s="29" t="s">
        <v>485</v>
      </c>
    </row>
    <row r="22" spans="1:6" ht="30" customHeight="1">
      <c r="A22" t="s">
        <v>486</v>
      </c>
    </row>
    <row r="23" spans="1:6">
      <c r="A23" t="s">
        <v>94</v>
      </c>
    </row>
    <row r="24" spans="1:6">
      <c r="A24" t="s">
        <v>321</v>
      </c>
    </row>
    <row r="25" spans="1:6">
      <c r="A25" t="s">
        <v>322</v>
      </c>
    </row>
    <row r="26" spans="1:6">
      <c r="A26" t="s">
        <v>323</v>
      </c>
    </row>
    <row r="27" spans="1:6">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7"/>
  <sheetViews>
    <sheetView zoomScale="70" workbookViewId="0"/>
  </sheetViews>
  <sheetFormatPr defaultColWidth="10.90625" defaultRowHeight="15"/>
  <cols>
    <col min="1" max="1" width="51.6796875" customWidth="1"/>
    <col min="2" max="3" width="15.90625" customWidth="1"/>
  </cols>
  <sheetData>
    <row r="1" spans="1:3" ht="39.9" customHeight="1">
      <c r="A1" s="10" t="s">
        <v>487</v>
      </c>
      <c r="B1" s="12"/>
      <c r="C1" s="12"/>
    </row>
    <row r="2" spans="1:3" ht="150">
      <c r="A2" s="7" t="s">
        <v>2</v>
      </c>
      <c r="B2" s="6" t="s">
        <v>319</v>
      </c>
      <c r="C2" s="8" t="s">
        <v>320</v>
      </c>
    </row>
    <row r="3" spans="1:3" ht="21.9" customHeight="1">
      <c r="A3" s="22" t="s">
        <v>18</v>
      </c>
      <c r="B3" s="15">
        <v>92.880453063051505</v>
      </c>
      <c r="C3" s="24">
        <v>80.312646544741398</v>
      </c>
    </row>
    <row r="4" spans="1:3" ht="21.9" customHeight="1">
      <c r="A4" s="22" t="s">
        <v>19</v>
      </c>
      <c r="B4" s="15">
        <v>86.259349593495898</v>
      </c>
      <c r="C4" s="24">
        <v>82.113821138211406</v>
      </c>
    </row>
    <row r="5" spans="1:3" ht="21.9" customHeight="1">
      <c r="A5" s="22" t="s">
        <v>20</v>
      </c>
      <c r="B5" s="15">
        <v>84.857142857142904</v>
      </c>
      <c r="C5" s="24">
        <v>100</v>
      </c>
    </row>
    <row r="6" spans="1:3">
      <c r="A6" s="9" t="s">
        <v>147</v>
      </c>
      <c r="B6" s="15">
        <v>78</v>
      </c>
      <c r="C6" s="24">
        <v>100</v>
      </c>
    </row>
    <row r="7" spans="1:3">
      <c r="A7" s="9" t="s">
        <v>148</v>
      </c>
      <c r="B7" s="15">
        <v>72</v>
      </c>
      <c r="C7" s="24">
        <v>100</v>
      </c>
    </row>
    <row r="8" spans="1:3">
      <c r="A8" s="9" t="s">
        <v>149</v>
      </c>
      <c r="B8" s="15">
        <v>54</v>
      </c>
      <c r="C8" s="24">
        <v>100</v>
      </c>
    </row>
    <row r="9" spans="1:3">
      <c r="A9" s="9" t="s">
        <v>151</v>
      </c>
      <c r="B9" s="15">
        <v>114</v>
      </c>
      <c r="C9" s="24">
        <v>100</v>
      </c>
    </row>
    <row r="10" spans="1:3">
      <c r="A10" s="9" t="s">
        <v>152</v>
      </c>
      <c r="B10" s="15">
        <v>102</v>
      </c>
      <c r="C10" s="24">
        <v>100</v>
      </c>
    </row>
    <row r="11" spans="1:3">
      <c r="A11" s="9" t="s">
        <v>153</v>
      </c>
      <c r="B11" s="15">
        <v>78</v>
      </c>
      <c r="C11" s="24">
        <v>100</v>
      </c>
    </row>
    <row r="12" spans="1:3">
      <c r="A12" s="11" t="s">
        <v>154</v>
      </c>
      <c r="B12" s="16">
        <v>96</v>
      </c>
      <c r="C12" s="25">
        <v>100</v>
      </c>
    </row>
    <row r="13" spans="1:3" ht="30" customHeight="1">
      <c r="A13" t="s">
        <v>94</v>
      </c>
    </row>
    <row r="14" spans="1:3">
      <c r="A14" t="s">
        <v>488</v>
      </c>
    </row>
    <row r="15" spans="1:3">
      <c r="A15" t="s">
        <v>489</v>
      </c>
    </row>
    <row r="16" spans="1:3">
      <c r="A16" t="s">
        <v>490</v>
      </c>
    </row>
    <row r="17" spans="1:1">
      <c r="A1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61"/>
  <sheetViews>
    <sheetView zoomScale="70" workbookViewId="0"/>
  </sheetViews>
  <sheetFormatPr defaultColWidth="10.90625" defaultRowHeight="15"/>
  <cols>
    <col min="1" max="1" width="77.6796875" customWidth="1"/>
    <col min="2" max="8" width="15.90625" customWidth="1"/>
  </cols>
  <sheetData>
    <row r="1" spans="1:8" ht="39.9" customHeight="1">
      <c r="A1" s="10" t="s">
        <v>491</v>
      </c>
      <c r="B1" s="12"/>
      <c r="C1" s="12"/>
      <c r="D1" s="12"/>
      <c r="E1" s="12"/>
      <c r="F1" s="12"/>
      <c r="G1" s="12"/>
      <c r="H1" s="12"/>
    </row>
    <row r="2" spans="1:8" ht="60">
      <c r="A2" s="7" t="s">
        <v>2</v>
      </c>
      <c r="B2" s="6" t="s">
        <v>492</v>
      </c>
      <c r="C2" s="6" t="s">
        <v>493</v>
      </c>
      <c r="D2" s="6" t="s">
        <v>494</v>
      </c>
      <c r="E2" s="6" t="s">
        <v>495</v>
      </c>
      <c r="F2" s="6" t="s">
        <v>496</v>
      </c>
      <c r="G2" s="6" t="s">
        <v>497</v>
      </c>
      <c r="H2" s="8" t="s">
        <v>498</v>
      </c>
    </row>
    <row r="3" spans="1:8">
      <c r="A3" s="39" t="s">
        <v>331</v>
      </c>
      <c r="B3" s="15"/>
      <c r="C3" s="15"/>
      <c r="D3" s="15"/>
      <c r="E3" s="15"/>
      <c r="F3" s="15"/>
      <c r="G3" s="15"/>
      <c r="H3" s="24"/>
    </row>
    <row r="4" spans="1:8">
      <c r="A4" s="9" t="s">
        <v>332</v>
      </c>
      <c r="B4" s="15">
        <v>54.061763319189097</v>
      </c>
      <c r="C4" s="15">
        <v>1.98019801980198</v>
      </c>
      <c r="D4" s="15">
        <v>36.301272984441297</v>
      </c>
      <c r="E4" s="15">
        <v>36.004243281470998</v>
      </c>
      <c r="F4" s="15">
        <v>42.398632720414902</v>
      </c>
      <c r="G4" s="15">
        <v>49.081801037246599</v>
      </c>
      <c r="H4" s="24">
        <v>44.585101367279599</v>
      </c>
    </row>
    <row r="5" spans="1:8">
      <c r="A5" s="9" t="s">
        <v>333</v>
      </c>
      <c r="B5" s="15">
        <v>96.212871287128706</v>
      </c>
      <c r="C5" s="15">
        <v>63.268505421970801</v>
      </c>
      <c r="D5" s="15">
        <v>92.128712871287107</v>
      </c>
      <c r="E5" s="15">
        <v>93.242574257425701</v>
      </c>
      <c r="F5" s="15">
        <v>92.004950495049499</v>
      </c>
      <c r="G5" s="15">
        <v>88.828382838283801</v>
      </c>
      <c r="H5" s="24">
        <v>83.229608675153202</v>
      </c>
    </row>
    <row r="6" spans="1:8">
      <c r="A6" s="9" t="s">
        <v>334</v>
      </c>
      <c r="B6" s="15">
        <v>82.9903347477605</v>
      </c>
      <c r="C6" s="15">
        <v>33.684582743988699</v>
      </c>
      <c r="D6" s="15">
        <v>82.000235737859498</v>
      </c>
      <c r="E6" s="15">
        <v>80.515087223007995</v>
      </c>
      <c r="F6" s="15">
        <v>75.988920320603498</v>
      </c>
      <c r="G6" s="15">
        <v>55.838048090523301</v>
      </c>
      <c r="H6" s="24">
        <v>50.392503536067899</v>
      </c>
    </row>
    <row r="7" spans="1:8">
      <c r="A7" s="9" t="s">
        <v>175</v>
      </c>
      <c r="B7" s="15">
        <v>13.358085808580899</v>
      </c>
      <c r="C7" s="15">
        <v>2.6402640264026398</v>
      </c>
      <c r="D7" s="15">
        <v>7.8712871287128703</v>
      </c>
      <c r="E7" s="15">
        <v>6.7161716171617201</v>
      </c>
      <c r="F7" s="15">
        <v>7.7062706270627102</v>
      </c>
      <c r="G7" s="15">
        <v>10.5528052805281</v>
      </c>
      <c r="H7" s="24">
        <v>8.8201320132013201</v>
      </c>
    </row>
    <row r="8" spans="1:8">
      <c r="A8" s="9" t="s">
        <v>335</v>
      </c>
      <c r="B8" s="15">
        <v>8.5985384252710997</v>
      </c>
      <c r="C8" s="15">
        <v>2.4752475247524801</v>
      </c>
      <c r="D8" s="15">
        <v>7.4846770391324799</v>
      </c>
      <c r="E8" s="15">
        <v>5.25695426685526</v>
      </c>
      <c r="F8" s="15">
        <v>5.25695426685526</v>
      </c>
      <c r="G8" s="15">
        <v>4.6499292786421504</v>
      </c>
      <c r="H8" s="24">
        <v>5.1449787835926504</v>
      </c>
    </row>
    <row r="9" spans="1:8">
      <c r="A9" s="9" t="s">
        <v>336</v>
      </c>
      <c r="B9" s="15">
        <v>8.2920792079207892</v>
      </c>
      <c r="C9" s="15">
        <v>0</v>
      </c>
      <c r="D9" s="15">
        <v>4.6204620462046204</v>
      </c>
      <c r="E9" s="15">
        <v>3.1353135313531402</v>
      </c>
      <c r="F9" s="15">
        <v>1.6501650165016499</v>
      </c>
      <c r="G9" s="15">
        <v>3.6716171617161701</v>
      </c>
      <c r="H9" s="24">
        <v>2.4339933993399301</v>
      </c>
    </row>
    <row r="10" spans="1:8">
      <c r="A10" s="9" t="s">
        <v>337</v>
      </c>
      <c r="B10" s="15">
        <v>26.3790664780764</v>
      </c>
      <c r="C10" s="15">
        <v>9.2821782178217802</v>
      </c>
      <c r="D10" s="15">
        <v>23.037482319660501</v>
      </c>
      <c r="E10" s="15">
        <v>23.037482319660501</v>
      </c>
      <c r="F10" s="15">
        <v>23.037482319660501</v>
      </c>
      <c r="G10" s="15">
        <v>18.4700612918435</v>
      </c>
      <c r="H10" s="24">
        <v>17.727487034417699</v>
      </c>
    </row>
    <row r="11" spans="1:8">
      <c r="A11" s="9" t="s">
        <v>338</v>
      </c>
      <c r="B11" s="15">
        <v>25.542197076850499</v>
      </c>
      <c r="C11" s="15">
        <v>0.56577086280056599</v>
      </c>
      <c r="D11" s="15">
        <v>14.6923620933522</v>
      </c>
      <c r="E11" s="15">
        <v>15.6824611032532</v>
      </c>
      <c r="F11" s="15">
        <v>17.8276756247053</v>
      </c>
      <c r="G11" s="15">
        <v>22.006129184346999</v>
      </c>
      <c r="H11" s="24">
        <v>21.511079679396499</v>
      </c>
    </row>
    <row r="12" spans="1:8">
      <c r="A12" s="9" t="s">
        <v>339</v>
      </c>
      <c r="B12" s="15">
        <v>29.646393210749601</v>
      </c>
      <c r="C12" s="15">
        <v>9.8361621876473393</v>
      </c>
      <c r="D12" s="15">
        <v>27.542432814710001</v>
      </c>
      <c r="E12" s="15">
        <v>25.3972182932579</v>
      </c>
      <c r="F12" s="15">
        <v>24.2090994813767</v>
      </c>
      <c r="G12" s="15">
        <v>19.1100895803866</v>
      </c>
      <c r="H12" s="24">
        <v>17.872465818010401</v>
      </c>
    </row>
    <row r="13" spans="1:8">
      <c r="A13" s="9" t="s">
        <v>340</v>
      </c>
      <c r="B13" s="15">
        <v>74.040546911833999</v>
      </c>
      <c r="C13" s="15">
        <v>17.562470532767598</v>
      </c>
      <c r="D13" s="15">
        <v>29.184347006129201</v>
      </c>
      <c r="E13" s="15">
        <v>33.639792550683602</v>
      </c>
      <c r="F13" s="15">
        <v>47.934936350777903</v>
      </c>
      <c r="G13" s="15">
        <v>71.936586515794403</v>
      </c>
      <c r="H13" s="24">
        <v>71.070249882131094</v>
      </c>
    </row>
    <row r="14" spans="1:8">
      <c r="A14" s="9" t="s">
        <v>341</v>
      </c>
      <c r="B14" s="15">
        <v>51.247053276756198</v>
      </c>
      <c r="C14" s="15">
        <v>3.1353135313531402</v>
      </c>
      <c r="D14" s="15">
        <v>29.649929278642201</v>
      </c>
      <c r="E14" s="15">
        <v>25.607024988213102</v>
      </c>
      <c r="F14" s="15">
        <v>30.351249410655399</v>
      </c>
      <c r="G14" s="15">
        <v>43.420556341348401</v>
      </c>
      <c r="H14" s="24">
        <v>40.499764262140502</v>
      </c>
    </row>
    <row r="15" spans="1:8">
      <c r="A15" s="39" t="s">
        <v>342</v>
      </c>
      <c r="B15" s="15"/>
      <c r="C15" s="15"/>
      <c r="D15" s="15"/>
      <c r="E15" s="15"/>
      <c r="F15" s="15"/>
      <c r="G15" s="15"/>
      <c r="H15" s="24"/>
    </row>
    <row r="16" spans="1:8">
      <c r="A16" s="9" t="s">
        <v>162</v>
      </c>
      <c r="B16" s="15">
        <v>97.450495049504994</v>
      </c>
      <c r="C16" s="15">
        <v>45.4926921263555</v>
      </c>
      <c r="D16" s="15">
        <v>96.955445544554493</v>
      </c>
      <c r="E16" s="15">
        <v>95.965346534653506</v>
      </c>
      <c r="F16" s="15">
        <v>93.242574257425701</v>
      </c>
      <c r="G16" s="15">
        <v>76.298915605846304</v>
      </c>
      <c r="H16" s="24">
        <v>60.632956152758098</v>
      </c>
    </row>
    <row r="17" spans="1:8">
      <c r="A17" s="9" t="s">
        <v>163</v>
      </c>
      <c r="B17" s="15">
        <v>90.7378595002357</v>
      </c>
      <c r="C17" s="15">
        <v>47.439886845827402</v>
      </c>
      <c r="D17" s="15">
        <v>67.408062234794897</v>
      </c>
      <c r="E17" s="15">
        <v>69.586280056577095</v>
      </c>
      <c r="F17" s="15">
        <v>82.115747289014607</v>
      </c>
      <c r="G17" s="15">
        <v>89.128948609146605</v>
      </c>
      <c r="H17" s="24">
        <v>87.396275341819901</v>
      </c>
    </row>
    <row r="18" spans="1:8">
      <c r="A18" s="9" t="s">
        <v>343</v>
      </c>
      <c r="B18" s="15">
        <v>96.4191419141914</v>
      </c>
      <c r="C18" s="15">
        <v>67.210042432814703</v>
      </c>
      <c r="D18" s="15">
        <v>93.820132013201302</v>
      </c>
      <c r="E18" s="15">
        <v>94.315181518151803</v>
      </c>
      <c r="F18" s="15">
        <v>95.305280528052805</v>
      </c>
      <c r="G18" s="15">
        <v>93.118811881188094</v>
      </c>
      <c r="H18" s="24">
        <v>85.188590287600206</v>
      </c>
    </row>
    <row r="19" spans="1:8">
      <c r="A19" s="9" t="s">
        <v>164</v>
      </c>
      <c r="B19" s="15">
        <v>94.034653465346494</v>
      </c>
      <c r="C19" s="15">
        <v>40.8309759547383</v>
      </c>
      <c r="D19" s="15">
        <v>81.010136727958496</v>
      </c>
      <c r="E19" s="15">
        <v>84.970532767562503</v>
      </c>
      <c r="F19" s="15">
        <v>89.590994813767097</v>
      </c>
      <c r="G19" s="15">
        <v>90.869872701555906</v>
      </c>
      <c r="H19" s="24">
        <v>85.927628477133396</v>
      </c>
    </row>
    <row r="20" spans="1:8">
      <c r="A20" s="9" t="s">
        <v>344</v>
      </c>
      <c r="B20" s="15">
        <v>4.4943422913719902</v>
      </c>
      <c r="C20" s="15">
        <v>0</v>
      </c>
      <c r="D20" s="15">
        <v>2.1923620933521901</v>
      </c>
      <c r="E20" s="15">
        <v>3.0091937765205099</v>
      </c>
      <c r="F20" s="15">
        <v>2.1216407355021198</v>
      </c>
      <c r="G20" s="15">
        <v>0.49504950495049499</v>
      </c>
      <c r="H20" s="24">
        <v>0.99009900990098998</v>
      </c>
    </row>
    <row r="21" spans="1:8">
      <c r="A21" s="9" t="s">
        <v>173</v>
      </c>
      <c r="B21" s="15">
        <v>84.528524280999505</v>
      </c>
      <c r="C21" s="15">
        <v>16.019566242338499</v>
      </c>
      <c r="D21" s="15">
        <v>82.548326261197502</v>
      </c>
      <c r="E21" s="15">
        <v>81.805752003771801</v>
      </c>
      <c r="F21" s="15">
        <v>80.815652993870799</v>
      </c>
      <c r="G21" s="15">
        <v>65.1214049976426</v>
      </c>
      <c r="H21" s="24">
        <v>52.629655822725098</v>
      </c>
    </row>
    <row r="22" spans="1:8">
      <c r="A22" s="9" t="s">
        <v>175</v>
      </c>
      <c r="B22" s="15">
        <v>13.358085808580899</v>
      </c>
      <c r="C22" s="15">
        <v>2.6402640264026398</v>
      </c>
      <c r="D22" s="15">
        <v>7.8712871287128703</v>
      </c>
      <c r="E22" s="15">
        <v>6.7161716171617201</v>
      </c>
      <c r="F22" s="15">
        <v>7.7062706270627102</v>
      </c>
      <c r="G22" s="15">
        <v>10.5528052805281</v>
      </c>
      <c r="H22" s="24">
        <v>8.8201320132013201</v>
      </c>
    </row>
    <row r="23" spans="1:8">
      <c r="A23" s="9" t="s">
        <v>177</v>
      </c>
      <c r="B23" s="15">
        <v>79.416548797736894</v>
      </c>
      <c r="C23" s="15">
        <v>46.184582743988699</v>
      </c>
      <c r="D23" s="15">
        <v>68.710513908533699</v>
      </c>
      <c r="E23" s="15">
        <v>67.225365393682196</v>
      </c>
      <c r="F23" s="15">
        <v>72.959688826025499</v>
      </c>
      <c r="G23" s="15">
        <v>74.507307873644507</v>
      </c>
      <c r="H23" s="24">
        <v>73.322725129655794</v>
      </c>
    </row>
    <row r="24" spans="1:8">
      <c r="A24" s="9" t="s">
        <v>182</v>
      </c>
      <c r="B24" s="15">
        <v>98.069306930693102</v>
      </c>
      <c r="C24" s="15">
        <v>64.148986327204099</v>
      </c>
      <c r="D24" s="15">
        <v>95.965346534653506</v>
      </c>
      <c r="E24" s="15">
        <v>96.460396039603907</v>
      </c>
      <c r="F24" s="15">
        <v>96.460396039603907</v>
      </c>
      <c r="G24" s="15">
        <v>97.079207920792101</v>
      </c>
      <c r="H24" s="24">
        <v>93.501885902875998</v>
      </c>
    </row>
    <row r="25" spans="1:8">
      <c r="A25" s="9" t="s">
        <v>184</v>
      </c>
      <c r="B25" s="15">
        <v>2.4752475247524801</v>
      </c>
      <c r="C25" s="15">
        <v>0</v>
      </c>
      <c r="D25" s="15">
        <v>2.4752475247524801</v>
      </c>
      <c r="E25" s="15">
        <v>1.98019801980198</v>
      </c>
      <c r="F25" s="15">
        <v>2.4752475247524801</v>
      </c>
      <c r="G25" s="15">
        <v>0.99009900990098998</v>
      </c>
      <c r="H25" s="24">
        <v>1.48514851485149</v>
      </c>
    </row>
    <row r="26" spans="1:8">
      <c r="A26" s="9" t="s">
        <v>345</v>
      </c>
      <c r="B26" s="15">
        <v>71.289486091466301</v>
      </c>
      <c r="C26" s="15">
        <v>14.8844884488449</v>
      </c>
      <c r="D26" s="15">
        <v>69.804337576614799</v>
      </c>
      <c r="E26" s="15">
        <v>69.804337576614799</v>
      </c>
      <c r="F26" s="15">
        <v>69.114804337576601</v>
      </c>
      <c r="G26" s="15">
        <v>51.481612446958998</v>
      </c>
      <c r="H26" s="24">
        <v>48.263790664780799</v>
      </c>
    </row>
    <row r="27" spans="1:8">
      <c r="A27" s="9" t="s">
        <v>190</v>
      </c>
      <c r="B27" s="15">
        <v>4.7241867043847199</v>
      </c>
      <c r="C27" s="15">
        <v>0.69306930693069302</v>
      </c>
      <c r="D27" s="15">
        <v>2.6732673267326699</v>
      </c>
      <c r="E27" s="15">
        <v>2.6732673267326699</v>
      </c>
      <c r="F27" s="15">
        <v>2.24893917963225</v>
      </c>
      <c r="G27" s="15">
        <v>2.7439886845827401</v>
      </c>
      <c r="H27" s="24">
        <v>3.2390381895332401</v>
      </c>
    </row>
    <row r="28" spans="1:8">
      <c r="A28" s="9" t="s">
        <v>346</v>
      </c>
      <c r="B28" s="15">
        <v>38.870815652993898</v>
      </c>
      <c r="C28" s="15">
        <v>8.9851485148514794</v>
      </c>
      <c r="D28" s="15">
        <v>37.314945780292298</v>
      </c>
      <c r="E28" s="15">
        <v>29.270391324846798</v>
      </c>
      <c r="F28" s="15">
        <v>26.535832154644002</v>
      </c>
      <c r="G28" s="15">
        <v>17.017916077321999</v>
      </c>
      <c r="H28" s="24">
        <v>16.522866572371498</v>
      </c>
    </row>
    <row r="29" spans="1:8">
      <c r="A29" s="9" t="s">
        <v>194</v>
      </c>
      <c r="B29" s="15">
        <v>93.708156529938705</v>
      </c>
      <c r="C29" s="15">
        <v>9.1053748231966107</v>
      </c>
      <c r="D29" s="15">
        <v>92.594295143800096</v>
      </c>
      <c r="E29" s="15">
        <v>91.604196133899094</v>
      </c>
      <c r="F29" s="15">
        <v>92.099245638849595</v>
      </c>
      <c r="G29" s="15">
        <v>87.520037718057495</v>
      </c>
      <c r="H29" s="24">
        <v>84.178453559641696</v>
      </c>
    </row>
    <row r="30" spans="1:8">
      <c r="A30" s="9" t="s">
        <v>347</v>
      </c>
      <c r="B30" s="15">
        <v>11.696133899104201</v>
      </c>
      <c r="C30" s="15">
        <v>0.49504950495049499</v>
      </c>
      <c r="D30" s="15">
        <v>9.0558698727015496</v>
      </c>
      <c r="E30" s="15">
        <v>9.5509193776520505</v>
      </c>
      <c r="F30" s="15">
        <v>9.5509193776520505</v>
      </c>
      <c r="G30" s="15">
        <v>9.7159358793022204</v>
      </c>
      <c r="H30" s="24">
        <v>8.2307873644507303</v>
      </c>
    </row>
    <row r="31" spans="1:8">
      <c r="A31" s="9" t="s">
        <v>348</v>
      </c>
      <c r="B31" s="15">
        <v>93.881423856671404</v>
      </c>
      <c r="C31" s="15">
        <v>42.4611032531825</v>
      </c>
      <c r="D31" s="15">
        <v>92.231258840169701</v>
      </c>
      <c r="E31" s="15">
        <v>92.396275341819901</v>
      </c>
      <c r="F31" s="15">
        <v>91.4061763319189</v>
      </c>
      <c r="G31" s="15">
        <v>83.909712399811397</v>
      </c>
      <c r="H31" s="24">
        <v>80.621169259783102</v>
      </c>
    </row>
    <row r="32" spans="1:8">
      <c r="A32" s="9" t="s">
        <v>206</v>
      </c>
      <c r="B32" s="15">
        <v>5.3630363036303601</v>
      </c>
      <c r="C32" s="15">
        <v>0.49504950495049499</v>
      </c>
      <c r="D32" s="15">
        <v>1.73267326732673</v>
      </c>
      <c r="E32" s="15">
        <v>2.2277227722772301</v>
      </c>
      <c r="F32" s="15">
        <v>1.73267326732673</v>
      </c>
      <c r="G32" s="15">
        <v>4.7442244224422403</v>
      </c>
      <c r="H32" s="24">
        <v>4.2491749174917501</v>
      </c>
    </row>
    <row r="33" spans="1:8">
      <c r="A33" s="9" t="s">
        <v>349</v>
      </c>
      <c r="B33" s="15">
        <v>47.946723243752899</v>
      </c>
      <c r="C33" s="15">
        <v>7.3762376237623801</v>
      </c>
      <c r="D33" s="15">
        <v>19.121876473361599</v>
      </c>
      <c r="E33" s="15">
        <v>18.131777463460601</v>
      </c>
      <c r="F33" s="15">
        <v>27.537718057519999</v>
      </c>
      <c r="G33" s="15">
        <v>43.903818953323899</v>
      </c>
      <c r="H33" s="24">
        <v>43.656294200848698</v>
      </c>
    </row>
    <row r="34" spans="1:8">
      <c r="A34" s="9" t="s">
        <v>350</v>
      </c>
      <c r="B34" s="15">
        <v>68.480669495520999</v>
      </c>
      <c r="C34" s="15">
        <v>33.8495992456388</v>
      </c>
      <c r="D34" s="15">
        <v>61.013672795851001</v>
      </c>
      <c r="E34" s="15">
        <v>62.045025931164503</v>
      </c>
      <c r="F34" s="15">
        <v>62.870108439415397</v>
      </c>
      <c r="G34" s="15">
        <v>58.809523809523803</v>
      </c>
      <c r="H34" s="24">
        <v>56.086751532296098</v>
      </c>
    </row>
    <row r="35" spans="1:8">
      <c r="A35" s="9" t="s">
        <v>213</v>
      </c>
      <c r="B35" s="15">
        <v>3.71287128712871</v>
      </c>
      <c r="C35" s="15">
        <v>0</v>
      </c>
      <c r="D35" s="15">
        <v>3.2178217821782198</v>
      </c>
      <c r="E35" s="15">
        <v>1.2376237623762401</v>
      </c>
      <c r="F35" s="15">
        <v>0.99009900990098998</v>
      </c>
      <c r="G35" s="15">
        <v>0.49504950495049499</v>
      </c>
      <c r="H35" s="24">
        <v>0.99009900990098998</v>
      </c>
    </row>
    <row r="36" spans="1:8">
      <c r="A36" s="9" t="s">
        <v>214</v>
      </c>
      <c r="B36" s="15">
        <v>53.629184347006102</v>
      </c>
      <c r="C36" s="15">
        <v>6.5181518151815201</v>
      </c>
      <c r="D36" s="15">
        <v>18.945073078736399</v>
      </c>
      <c r="E36" s="15">
        <v>20.760254596888299</v>
      </c>
      <c r="F36" s="15">
        <v>31.6395568128241</v>
      </c>
      <c r="G36" s="15">
        <v>47.708628005657701</v>
      </c>
      <c r="H36" s="24">
        <v>45.480905233380497</v>
      </c>
    </row>
    <row r="37" spans="1:8">
      <c r="A37" s="9" t="s">
        <v>351</v>
      </c>
      <c r="B37" s="15">
        <v>10.3677510608204</v>
      </c>
      <c r="C37" s="15">
        <v>1.11386138613861</v>
      </c>
      <c r="D37" s="15">
        <v>7.8512494106553499</v>
      </c>
      <c r="E37" s="15">
        <v>7.3231966053748199</v>
      </c>
      <c r="F37" s="15">
        <v>9.6746817538896792</v>
      </c>
      <c r="G37" s="15">
        <v>4.2079207920792099</v>
      </c>
      <c r="H37" s="24">
        <v>4.7029702970297</v>
      </c>
    </row>
    <row r="38" spans="1:8">
      <c r="A38" s="39" t="s">
        <v>352</v>
      </c>
      <c r="B38" s="15"/>
      <c r="C38" s="15"/>
      <c r="D38" s="15"/>
      <c r="E38" s="15"/>
      <c r="F38" s="15"/>
      <c r="G38" s="15"/>
      <c r="H38" s="24"/>
    </row>
    <row r="39" spans="1:8">
      <c r="A39" s="9" t="s">
        <v>176</v>
      </c>
      <c r="B39" s="15">
        <v>70.952380952380906</v>
      </c>
      <c r="C39" s="15">
        <v>3.66336633663366</v>
      </c>
      <c r="D39" s="15">
        <v>65.259311645450296</v>
      </c>
      <c r="E39" s="15">
        <v>62.495285242809999</v>
      </c>
      <c r="F39" s="15">
        <v>61.805752003771801</v>
      </c>
      <c r="G39" s="15">
        <v>48.681046676096202</v>
      </c>
      <c r="H39" s="24">
        <v>41.923620933521903</v>
      </c>
    </row>
    <row r="40" spans="1:8">
      <c r="A40" s="9" t="s">
        <v>185</v>
      </c>
      <c r="B40" s="15">
        <v>86.146864686468604</v>
      </c>
      <c r="C40" s="15">
        <v>12.1086751532296</v>
      </c>
      <c r="D40" s="15">
        <v>83.972182932579003</v>
      </c>
      <c r="E40" s="15">
        <v>82.227722772277204</v>
      </c>
      <c r="F40" s="15">
        <v>69.268033946251805</v>
      </c>
      <c r="G40" s="15">
        <v>28.0622347949081</v>
      </c>
      <c r="H40" s="24">
        <v>26.082036775106101</v>
      </c>
    </row>
    <row r="41" spans="1:8">
      <c r="A41" s="9" t="s">
        <v>353</v>
      </c>
      <c r="B41" s="15">
        <v>5.3960396039603999</v>
      </c>
      <c r="C41" s="15">
        <v>0</v>
      </c>
      <c r="D41" s="15">
        <v>3.1683168316831698</v>
      </c>
      <c r="E41" s="15">
        <v>2.4752475247524801</v>
      </c>
      <c r="F41" s="15">
        <v>3.2178217821782198</v>
      </c>
      <c r="G41" s="15">
        <v>1.48514851485149</v>
      </c>
      <c r="H41" s="24">
        <v>0.99009900990098998</v>
      </c>
    </row>
    <row r="42" spans="1:8">
      <c r="A42" s="39" t="s">
        <v>354</v>
      </c>
      <c r="B42" s="15"/>
      <c r="C42" s="15"/>
      <c r="D42" s="15"/>
      <c r="E42" s="15"/>
      <c r="F42" s="15"/>
      <c r="G42" s="15"/>
      <c r="H42" s="24"/>
    </row>
    <row r="43" spans="1:8">
      <c r="A43" s="9" t="s">
        <v>355</v>
      </c>
      <c r="B43" s="15">
        <v>2.1039603960396001</v>
      </c>
      <c r="C43" s="15">
        <v>0</v>
      </c>
      <c r="D43" s="15">
        <v>2.1039603960396001</v>
      </c>
      <c r="E43" s="15">
        <v>0</v>
      </c>
      <c r="F43" s="15">
        <v>0</v>
      </c>
      <c r="G43" s="15">
        <v>0</v>
      </c>
      <c r="H43" s="24">
        <v>0</v>
      </c>
    </row>
    <row r="44" spans="1:8">
      <c r="A44" s="9" t="s">
        <v>356</v>
      </c>
      <c r="B44" s="15">
        <v>2.5990099009901</v>
      </c>
      <c r="C44" s="15">
        <v>0</v>
      </c>
      <c r="D44" s="15">
        <v>1.11386138613861</v>
      </c>
      <c r="E44" s="15">
        <v>0</v>
      </c>
      <c r="F44" s="15">
        <v>1.48514851485149</v>
      </c>
      <c r="G44" s="15">
        <v>0.49504950495049499</v>
      </c>
      <c r="H44" s="24">
        <v>0</v>
      </c>
    </row>
    <row r="45" spans="1:8">
      <c r="A45" s="9" t="s">
        <v>172</v>
      </c>
      <c r="B45" s="15">
        <v>8.6633663366336595</v>
      </c>
      <c r="C45" s="15">
        <v>0</v>
      </c>
      <c r="D45" s="15">
        <v>5.0330033003300301</v>
      </c>
      <c r="E45" s="15">
        <v>5.0330033003300301</v>
      </c>
      <c r="F45" s="15">
        <v>2.6815181518151801</v>
      </c>
      <c r="G45" s="15">
        <v>3.7541254125412502</v>
      </c>
      <c r="H45" s="24">
        <v>3.0115511551155101</v>
      </c>
    </row>
    <row r="46" spans="1:8">
      <c r="A46" s="9" t="s">
        <v>193</v>
      </c>
      <c r="B46" s="15">
        <v>9.4884488448844895</v>
      </c>
      <c r="C46" s="15">
        <v>2.1452145214521501</v>
      </c>
      <c r="D46" s="15">
        <v>6.0231023102310202</v>
      </c>
      <c r="E46" s="15">
        <v>6.7656765676567696</v>
      </c>
      <c r="F46" s="15">
        <v>6.0231023102310202</v>
      </c>
      <c r="G46" s="15">
        <v>5.52805280528053</v>
      </c>
      <c r="H46" s="24">
        <v>6.0231023102310202</v>
      </c>
    </row>
    <row r="47" spans="1:8">
      <c r="A47" s="9" t="s">
        <v>357</v>
      </c>
      <c r="B47" s="15">
        <v>50.810938236680798</v>
      </c>
      <c r="C47" s="15">
        <v>6.0938236680810904</v>
      </c>
      <c r="D47" s="15">
        <v>47.675624705327699</v>
      </c>
      <c r="E47" s="15">
        <v>45.583451202263099</v>
      </c>
      <c r="F47" s="15">
        <v>36.466289486091497</v>
      </c>
      <c r="G47" s="15">
        <v>19.4931636020745</v>
      </c>
      <c r="H47" s="24">
        <v>15.3677510608204</v>
      </c>
    </row>
    <row r="48" spans="1:8">
      <c r="A48" s="9" t="s">
        <v>358</v>
      </c>
      <c r="B48" s="15">
        <v>0.49504950495049499</v>
      </c>
      <c r="C48" s="15">
        <v>0</v>
      </c>
      <c r="D48" s="15">
        <v>0</v>
      </c>
      <c r="E48" s="15">
        <v>0</v>
      </c>
      <c r="F48" s="15">
        <v>0.49504950495049499</v>
      </c>
      <c r="G48" s="15">
        <v>0</v>
      </c>
      <c r="H48" s="24">
        <v>0</v>
      </c>
    </row>
    <row r="49" spans="1:8">
      <c r="A49" s="9" t="s">
        <v>191</v>
      </c>
      <c r="B49" s="15">
        <v>23.2355021216407</v>
      </c>
      <c r="C49" s="15">
        <v>0.99009900990098998</v>
      </c>
      <c r="D49" s="15">
        <v>12.600188590287599</v>
      </c>
      <c r="E49" s="15">
        <v>11.6925978312117</v>
      </c>
      <c r="F49" s="15">
        <v>15.438472418670401</v>
      </c>
      <c r="G49" s="15">
        <v>7.2194719471947204</v>
      </c>
      <c r="H49" s="24">
        <v>6.4768976897689798</v>
      </c>
    </row>
    <row r="50" spans="1:8">
      <c r="A50" s="9" t="s">
        <v>195</v>
      </c>
      <c r="B50" s="15">
        <v>1.6089108910891099</v>
      </c>
      <c r="C50" s="15">
        <v>0</v>
      </c>
      <c r="D50" s="15">
        <v>1.11386138613861</v>
      </c>
      <c r="E50" s="15">
        <v>0.49504950495049499</v>
      </c>
      <c r="F50" s="15">
        <v>0</v>
      </c>
      <c r="G50" s="15">
        <v>0</v>
      </c>
      <c r="H50" s="24">
        <v>0</v>
      </c>
    </row>
    <row r="51" spans="1:8">
      <c r="A51" s="9" t="s">
        <v>196</v>
      </c>
      <c r="B51" s="15">
        <v>8.1683168316831694</v>
      </c>
      <c r="C51" s="15">
        <v>0.61881188118811903</v>
      </c>
      <c r="D51" s="15">
        <v>4.8267326732673297</v>
      </c>
      <c r="E51" s="15">
        <v>6.0643564356435604</v>
      </c>
      <c r="F51" s="15">
        <v>6.9306930693069297</v>
      </c>
      <c r="G51" s="15">
        <v>1.11386138613861</v>
      </c>
      <c r="H51" s="24">
        <v>1.11386138613861</v>
      </c>
    </row>
    <row r="52" spans="1:8">
      <c r="A52" s="9" t="s">
        <v>198</v>
      </c>
      <c r="B52" s="15">
        <v>1.98019801980198</v>
      </c>
      <c r="C52" s="15">
        <v>0</v>
      </c>
      <c r="D52" s="15">
        <v>0</v>
      </c>
      <c r="E52" s="15">
        <v>0.49504950495049499</v>
      </c>
      <c r="F52" s="15">
        <v>0.49504950495049499</v>
      </c>
      <c r="G52" s="15">
        <v>1.48514851485149</v>
      </c>
      <c r="H52" s="24">
        <v>1.48514851485149</v>
      </c>
    </row>
    <row r="53" spans="1:8">
      <c r="A53" s="9" t="s">
        <v>203</v>
      </c>
      <c r="B53" s="15">
        <v>1.11386138613861</v>
      </c>
      <c r="C53" s="15">
        <v>0</v>
      </c>
      <c r="D53" s="15">
        <v>0.61881188118811903</v>
      </c>
      <c r="E53" s="15">
        <v>0.61881188118811903</v>
      </c>
      <c r="F53" s="15">
        <v>1.11386138613861</v>
      </c>
      <c r="G53" s="15">
        <v>0.61881188118811903</v>
      </c>
      <c r="H53" s="24">
        <v>0</v>
      </c>
    </row>
    <row r="54" spans="1:8">
      <c r="A54" s="9" t="s">
        <v>204</v>
      </c>
      <c r="B54" s="15">
        <v>3.53606789250354</v>
      </c>
      <c r="C54" s="15">
        <v>0</v>
      </c>
      <c r="D54" s="15">
        <v>1.98019801980198</v>
      </c>
      <c r="E54" s="15">
        <v>1.98019801980198</v>
      </c>
      <c r="F54" s="15">
        <v>1.98019801980198</v>
      </c>
      <c r="G54" s="15">
        <v>1.0608203677510599</v>
      </c>
      <c r="H54" s="24">
        <v>0</v>
      </c>
    </row>
    <row r="55" spans="1:8">
      <c r="A55" s="9" t="s">
        <v>359</v>
      </c>
      <c r="B55" s="15">
        <v>2.4752475247524801</v>
      </c>
      <c r="C55" s="15">
        <v>1.48514851485149</v>
      </c>
      <c r="D55" s="15">
        <v>1.48514851485149</v>
      </c>
      <c r="E55" s="15">
        <v>1.98019801980198</v>
      </c>
      <c r="F55" s="15">
        <v>1.98019801980198</v>
      </c>
      <c r="G55" s="15">
        <v>1.98019801980198</v>
      </c>
      <c r="H55" s="24">
        <v>2.4752475247524801</v>
      </c>
    </row>
    <row r="56" spans="1:8">
      <c r="A56" s="11" t="s">
        <v>207</v>
      </c>
      <c r="B56" s="16">
        <v>2.4752475247524801</v>
      </c>
      <c r="C56" s="16">
        <v>0</v>
      </c>
      <c r="D56" s="16">
        <v>0.99009900990098998</v>
      </c>
      <c r="E56" s="16">
        <v>0.99009900990098998</v>
      </c>
      <c r="F56" s="16">
        <v>1.98019801980198</v>
      </c>
      <c r="G56" s="16">
        <v>0.99009900990098998</v>
      </c>
      <c r="H56" s="25">
        <v>0.99009900990098998</v>
      </c>
    </row>
    <row r="57" spans="1:8" ht="30" customHeight="1">
      <c r="A57" t="s">
        <v>94</v>
      </c>
    </row>
    <row r="58" spans="1:8">
      <c r="A58" t="s">
        <v>488</v>
      </c>
    </row>
    <row r="59" spans="1:8">
      <c r="A59" t="s">
        <v>489</v>
      </c>
    </row>
    <row r="60" spans="1:8">
      <c r="A60" t="s">
        <v>490</v>
      </c>
    </row>
    <row r="61" spans="1:8">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61"/>
  <sheetViews>
    <sheetView zoomScale="70" workbookViewId="0"/>
  </sheetViews>
  <sheetFormatPr defaultColWidth="10.90625" defaultRowHeight="15"/>
  <cols>
    <col min="1" max="1" width="77.6796875" customWidth="1"/>
    <col min="2" max="5" width="15.90625" customWidth="1"/>
  </cols>
  <sheetData>
    <row r="1" spans="1:5" ht="39.9" customHeight="1">
      <c r="A1" s="10" t="s">
        <v>499</v>
      </c>
      <c r="B1" s="12"/>
      <c r="C1" s="12"/>
      <c r="D1" s="12"/>
      <c r="E1" s="12"/>
    </row>
    <row r="2" spans="1:5" ht="60">
      <c r="A2" s="7" t="s">
        <v>2</v>
      </c>
      <c r="B2" s="6" t="s">
        <v>492</v>
      </c>
      <c r="C2" s="6" t="s">
        <v>361</v>
      </c>
      <c r="D2" s="6" t="s">
        <v>362</v>
      </c>
      <c r="E2" s="8" t="s">
        <v>363</v>
      </c>
    </row>
    <row r="3" spans="1:5">
      <c r="A3" s="39" t="s">
        <v>331</v>
      </c>
      <c r="B3" s="15"/>
      <c r="C3" s="15"/>
      <c r="D3" s="15"/>
      <c r="E3" s="24"/>
    </row>
    <row r="4" spans="1:5">
      <c r="A4" s="9" t="s">
        <v>332</v>
      </c>
      <c r="B4" s="15">
        <v>6.2623762376237604</v>
      </c>
      <c r="C4" s="15">
        <v>1.6089108910891099</v>
      </c>
      <c r="D4" s="15">
        <v>0.49504950495049499</v>
      </c>
      <c r="E4" s="24">
        <v>4.6534653465346496</v>
      </c>
    </row>
    <row r="5" spans="1:5">
      <c r="A5" s="9" t="s">
        <v>333</v>
      </c>
      <c r="B5" s="15">
        <v>30.162659123055199</v>
      </c>
      <c r="C5" s="15">
        <v>25.854549740688402</v>
      </c>
      <c r="D5" s="15">
        <v>4.4024045261669</v>
      </c>
      <c r="E5" s="24">
        <v>7.4552098066949499</v>
      </c>
    </row>
    <row r="6" spans="1:5">
      <c r="A6" s="9" t="s">
        <v>334</v>
      </c>
      <c r="B6" s="15">
        <v>30.8887317303159</v>
      </c>
      <c r="C6" s="15">
        <v>28.767090994813799</v>
      </c>
      <c r="D6" s="15">
        <v>4.1018387553041</v>
      </c>
      <c r="E6" s="24">
        <v>4.1018387553041</v>
      </c>
    </row>
    <row r="7" spans="1:5">
      <c r="A7" s="9" t="s">
        <v>175</v>
      </c>
      <c r="B7" s="15">
        <v>4.5379537953795399</v>
      </c>
      <c r="C7" s="15">
        <v>4.5379537953795399</v>
      </c>
      <c r="D7" s="15">
        <v>0</v>
      </c>
      <c r="E7" s="24">
        <v>0</v>
      </c>
    </row>
    <row r="8" spans="1:5">
      <c r="A8" s="9" t="s">
        <v>335</v>
      </c>
      <c r="B8" s="15">
        <v>4.1018387553041</v>
      </c>
      <c r="C8" s="15">
        <v>3.53606789250354</v>
      </c>
      <c r="D8" s="15">
        <v>0</v>
      </c>
      <c r="E8" s="24">
        <v>0.56577086280056599</v>
      </c>
    </row>
    <row r="9" spans="1:5">
      <c r="A9" s="9" t="s">
        <v>336</v>
      </c>
      <c r="B9" s="15">
        <v>5.2392739273927402</v>
      </c>
      <c r="C9" s="15">
        <v>3.7541254125412502</v>
      </c>
      <c r="D9" s="15">
        <v>0.99009900990098998</v>
      </c>
      <c r="E9" s="24">
        <v>1.48514851485149</v>
      </c>
    </row>
    <row r="10" spans="1:5">
      <c r="A10" s="9" t="s">
        <v>337</v>
      </c>
      <c r="B10" s="15">
        <v>1.73267326732673</v>
      </c>
      <c r="C10" s="15">
        <v>1.73267326732673</v>
      </c>
      <c r="D10" s="15">
        <v>0</v>
      </c>
      <c r="E10" s="24">
        <v>0</v>
      </c>
    </row>
    <row r="11" spans="1:5">
      <c r="A11" s="9" t="s">
        <v>338</v>
      </c>
      <c r="B11" s="15">
        <v>2.6402640264026398</v>
      </c>
      <c r="C11" s="15">
        <v>0</v>
      </c>
      <c r="D11" s="15">
        <v>0</v>
      </c>
      <c r="E11" s="24">
        <v>2.6402640264026398</v>
      </c>
    </row>
    <row r="12" spans="1:5">
      <c r="A12" s="9" t="s">
        <v>339</v>
      </c>
      <c r="B12" s="15">
        <v>7.3762376237623801</v>
      </c>
      <c r="C12" s="15">
        <v>7.3762376237623801</v>
      </c>
      <c r="D12" s="15">
        <v>0</v>
      </c>
      <c r="E12" s="24">
        <v>0</v>
      </c>
    </row>
    <row r="13" spans="1:5">
      <c r="A13" s="9" t="s">
        <v>340</v>
      </c>
      <c r="B13" s="15">
        <v>43.190711928335702</v>
      </c>
      <c r="C13" s="15">
        <v>32.735737859500198</v>
      </c>
      <c r="D13" s="15">
        <v>15.1991984912777</v>
      </c>
      <c r="E13" s="24">
        <v>12.1169259783121</v>
      </c>
    </row>
    <row r="14" spans="1:5">
      <c r="A14" s="9" t="s">
        <v>341</v>
      </c>
      <c r="B14" s="15">
        <v>8.0363036303630402</v>
      </c>
      <c r="C14" s="15">
        <v>6.2293729372937303</v>
      </c>
      <c r="D14" s="15">
        <v>0.49504950495049499</v>
      </c>
      <c r="E14" s="24">
        <v>2.7970297029703</v>
      </c>
    </row>
    <row r="15" spans="1:5">
      <c r="A15" s="39" t="s">
        <v>342</v>
      </c>
      <c r="B15" s="15"/>
      <c r="C15" s="15"/>
      <c r="D15" s="15"/>
      <c r="E15" s="24"/>
    </row>
    <row r="16" spans="1:5">
      <c r="A16" s="9" t="s">
        <v>162</v>
      </c>
      <c r="B16" s="15">
        <v>80.453795379537993</v>
      </c>
      <c r="C16" s="15">
        <v>75.962989156058498</v>
      </c>
      <c r="D16" s="15">
        <v>5.7814710042432802</v>
      </c>
      <c r="E16" s="24">
        <v>7.1841112682696799</v>
      </c>
    </row>
    <row r="17" spans="1:5">
      <c r="A17" s="9" t="s">
        <v>163</v>
      </c>
      <c r="B17" s="15">
        <v>56.841112682696803</v>
      </c>
      <c r="C17" s="15">
        <v>53.664545025931197</v>
      </c>
      <c r="D17" s="15">
        <v>3.5478547854785498</v>
      </c>
      <c r="E17" s="24">
        <v>3.79537953795379</v>
      </c>
    </row>
    <row r="18" spans="1:5">
      <c r="A18" s="9" t="s">
        <v>343</v>
      </c>
      <c r="B18" s="15">
        <v>65.663602074493198</v>
      </c>
      <c r="C18" s="15">
        <v>46.606553512494102</v>
      </c>
      <c r="D18" s="15">
        <v>9.2998585572843009</v>
      </c>
      <c r="E18" s="24">
        <v>22.027345591702002</v>
      </c>
    </row>
    <row r="19" spans="1:5">
      <c r="A19" s="9" t="s">
        <v>164</v>
      </c>
      <c r="B19" s="15">
        <v>73.922677982083897</v>
      </c>
      <c r="C19" s="15">
        <v>56.036067892503503</v>
      </c>
      <c r="D19" s="15">
        <v>23.7859500235738</v>
      </c>
      <c r="E19" s="24">
        <v>8.0445544554455406</v>
      </c>
    </row>
    <row r="20" spans="1:5">
      <c r="A20" s="9" t="s">
        <v>344</v>
      </c>
      <c r="B20" s="15">
        <v>0.49504950495049499</v>
      </c>
      <c r="C20" s="15">
        <v>0.49504950495049499</v>
      </c>
      <c r="D20" s="15">
        <v>0</v>
      </c>
      <c r="E20" s="24">
        <v>0</v>
      </c>
    </row>
    <row r="21" spans="1:5">
      <c r="A21" s="9" t="s">
        <v>173</v>
      </c>
      <c r="B21" s="15">
        <v>59.923385195662398</v>
      </c>
      <c r="C21" s="15">
        <v>37.351485148514897</v>
      </c>
      <c r="D21" s="15">
        <v>22.996228194248001</v>
      </c>
      <c r="E21" s="24">
        <v>14.1383781235266</v>
      </c>
    </row>
    <row r="22" spans="1:5">
      <c r="A22" s="9" t="s">
        <v>175</v>
      </c>
      <c r="B22" s="15">
        <v>4.5379537953795399</v>
      </c>
      <c r="C22" s="15">
        <v>4.5379537953795399</v>
      </c>
      <c r="D22" s="15">
        <v>0</v>
      </c>
      <c r="E22" s="24">
        <v>0</v>
      </c>
    </row>
    <row r="23" spans="1:5">
      <c r="A23" s="9" t="s">
        <v>177</v>
      </c>
      <c r="B23" s="15">
        <v>28.7010843941537</v>
      </c>
      <c r="C23" s="15">
        <v>25.907590759075902</v>
      </c>
      <c r="D23" s="15">
        <v>2.1039603960396001</v>
      </c>
      <c r="E23" s="24">
        <v>4.2786421499292802</v>
      </c>
    </row>
    <row r="24" spans="1:5">
      <c r="A24" s="9" t="s">
        <v>182</v>
      </c>
      <c r="B24" s="15">
        <v>95.346534653465298</v>
      </c>
      <c r="C24" s="15">
        <v>44.341112682696803</v>
      </c>
      <c r="D24" s="15">
        <v>64.499057048561994</v>
      </c>
      <c r="E24" s="24">
        <v>62.395096652522398</v>
      </c>
    </row>
    <row r="25" spans="1:5">
      <c r="A25" s="9" t="s">
        <v>184</v>
      </c>
      <c r="B25" s="15">
        <v>3.4653465346534702</v>
      </c>
      <c r="C25" s="15">
        <v>3.4653465346534702</v>
      </c>
      <c r="D25" s="15">
        <v>0</v>
      </c>
      <c r="E25" s="24">
        <v>0</v>
      </c>
    </row>
    <row r="26" spans="1:5">
      <c r="A26" s="9" t="s">
        <v>345</v>
      </c>
      <c r="B26" s="15">
        <v>50.768505421970801</v>
      </c>
      <c r="C26" s="15">
        <v>35.598774163130599</v>
      </c>
      <c r="D26" s="15">
        <v>4.7442244224422403</v>
      </c>
      <c r="E26" s="24">
        <v>21.4321074964639</v>
      </c>
    </row>
    <row r="27" spans="1:5">
      <c r="A27" s="9" t="s">
        <v>190</v>
      </c>
      <c r="B27" s="15">
        <v>0.99009900990098998</v>
      </c>
      <c r="C27" s="15">
        <v>0.99009900990098998</v>
      </c>
      <c r="D27" s="15">
        <v>0</v>
      </c>
      <c r="E27" s="24">
        <v>0</v>
      </c>
    </row>
    <row r="28" spans="1:5">
      <c r="A28" s="9" t="s">
        <v>346</v>
      </c>
      <c r="B28" s="15">
        <v>6.5594059405940603</v>
      </c>
      <c r="C28" s="15">
        <v>3.9603960396039599</v>
      </c>
      <c r="D28" s="15">
        <v>0</v>
      </c>
      <c r="E28" s="24">
        <v>2.5990099009901</v>
      </c>
    </row>
    <row r="29" spans="1:5">
      <c r="A29" s="9" t="s">
        <v>194</v>
      </c>
      <c r="B29" s="15">
        <v>84.590994813767097</v>
      </c>
      <c r="C29" s="15">
        <v>19.1136256482791</v>
      </c>
      <c r="D29" s="15">
        <v>1.2376237623762401</v>
      </c>
      <c r="E29" s="24">
        <v>65.848656294200893</v>
      </c>
    </row>
    <row r="30" spans="1:5">
      <c r="A30" s="9" t="s">
        <v>347</v>
      </c>
      <c r="B30" s="15">
        <v>6.0148514851485197</v>
      </c>
      <c r="C30" s="15">
        <v>2.1782178217821802</v>
      </c>
      <c r="D30" s="15">
        <v>3.3415841584158401</v>
      </c>
      <c r="E30" s="24">
        <v>1.8564356435643601</v>
      </c>
    </row>
    <row r="31" spans="1:5">
      <c r="A31" s="9" t="s">
        <v>348</v>
      </c>
      <c r="B31" s="15">
        <v>86.579443658651599</v>
      </c>
      <c r="C31" s="15">
        <v>33.177746346063202</v>
      </c>
      <c r="D31" s="15">
        <v>63.962753418199</v>
      </c>
      <c r="E31" s="24">
        <v>40.359500235737897</v>
      </c>
    </row>
    <row r="32" spans="1:5">
      <c r="A32" s="9" t="s">
        <v>206</v>
      </c>
      <c r="B32" s="15">
        <v>0.49504950495049499</v>
      </c>
      <c r="C32" s="15">
        <v>0.49504950495049499</v>
      </c>
      <c r="D32" s="15">
        <v>0</v>
      </c>
      <c r="E32" s="24">
        <v>0</v>
      </c>
    </row>
    <row r="33" spans="1:5">
      <c r="A33" s="9" t="s">
        <v>349</v>
      </c>
      <c r="B33" s="15">
        <v>16.254125412541299</v>
      </c>
      <c r="C33" s="15">
        <v>15.5115511551155</v>
      </c>
      <c r="D33" s="15">
        <v>0.74257425742574301</v>
      </c>
      <c r="E33" s="24">
        <v>0</v>
      </c>
    </row>
    <row r="34" spans="1:5">
      <c r="A34" s="9" t="s">
        <v>350</v>
      </c>
      <c r="B34" s="15">
        <v>34.642857142857103</v>
      </c>
      <c r="C34" s="15">
        <v>30.800330033003299</v>
      </c>
      <c r="D34" s="15">
        <v>6.07024988213107</v>
      </c>
      <c r="E34" s="24">
        <v>5.5044790193304998</v>
      </c>
    </row>
    <row r="35" spans="1:5">
      <c r="A35" s="9" t="s">
        <v>213</v>
      </c>
      <c r="B35" s="15">
        <v>0.49504950495049499</v>
      </c>
      <c r="C35" s="15">
        <v>0.49504950495049499</v>
      </c>
      <c r="D35" s="15">
        <v>0</v>
      </c>
      <c r="E35" s="24">
        <v>0</v>
      </c>
    </row>
    <row r="36" spans="1:5">
      <c r="A36" s="9" t="s">
        <v>214</v>
      </c>
      <c r="B36" s="15">
        <v>6.8399339933993399</v>
      </c>
      <c r="C36" s="15">
        <v>5.52805280528053</v>
      </c>
      <c r="D36" s="15">
        <v>0</v>
      </c>
      <c r="E36" s="24">
        <v>1.3118811881188099</v>
      </c>
    </row>
    <row r="37" spans="1:5">
      <c r="A37" s="9" t="s">
        <v>351</v>
      </c>
      <c r="B37" s="15">
        <v>0.66006600660065995</v>
      </c>
      <c r="C37" s="15">
        <v>0.66006600660065995</v>
      </c>
      <c r="D37" s="15">
        <v>0</v>
      </c>
      <c r="E37" s="24">
        <v>0</v>
      </c>
    </row>
    <row r="38" spans="1:5">
      <c r="A38" s="39" t="s">
        <v>352</v>
      </c>
      <c r="B38" s="15"/>
      <c r="C38" s="15"/>
      <c r="D38" s="15"/>
      <c r="E38" s="24"/>
    </row>
    <row r="39" spans="1:5">
      <c r="A39" s="9" t="s">
        <v>176</v>
      </c>
      <c r="B39" s="15">
        <v>38.570249882131101</v>
      </c>
      <c r="C39" s="15">
        <v>21.968411126827</v>
      </c>
      <c r="D39" s="15">
        <v>0.66006600660065995</v>
      </c>
      <c r="E39" s="24">
        <v>18.3757661480434</v>
      </c>
    </row>
    <row r="40" spans="1:5">
      <c r="A40" s="9" t="s">
        <v>185</v>
      </c>
      <c r="B40" s="15">
        <v>43.748231966053702</v>
      </c>
      <c r="C40" s="15">
        <v>32.138142385667102</v>
      </c>
      <c r="D40" s="15">
        <v>6.0938236680810904</v>
      </c>
      <c r="E40" s="24">
        <v>12.8477133427628</v>
      </c>
    </row>
    <row r="41" spans="1:5">
      <c r="A41" s="9" t="s">
        <v>353</v>
      </c>
      <c r="B41" s="15">
        <v>0</v>
      </c>
      <c r="C41" s="15">
        <v>0</v>
      </c>
      <c r="D41" s="15">
        <v>0</v>
      </c>
      <c r="E41" s="24">
        <v>0</v>
      </c>
    </row>
    <row r="42" spans="1:5">
      <c r="A42" s="39" t="s">
        <v>354</v>
      </c>
      <c r="B42" s="15"/>
      <c r="C42" s="15"/>
      <c r="D42" s="15"/>
      <c r="E42" s="24"/>
    </row>
    <row r="43" spans="1:5">
      <c r="A43" s="9" t="s">
        <v>355</v>
      </c>
      <c r="B43" s="15">
        <v>0.74257425742574301</v>
      </c>
      <c r="C43" s="15">
        <v>0.74257425742574301</v>
      </c>
      <c r="D43" s="15">
        <v>0</v>
      </c>
      <c r="E43" s="24">
        <v>0</v>
      </c>
    </row>
    <row r="44" spans="1:5">
      <c r="A44" s="9" t="s">
        <v>356</v>
      </c>
      <c r="B44" s="15">
        <v>0.49504950495049499</v>
      </c>
      <c r="C44" s="15">
        <v>0.49504950495049499</v>
      </c>
      <c r="D44" s="15">
        <v>0</v>
      </c>
      <c r="E44" s="24">
        <v>0</v>
      </c>
    </row>
    <row r="45" spans="1:5">
      <c r="A45" s="9" t="s">
        <v>172</v>
      </c>
      <c r="B45" s="15">
        <v>3.83663366336634</v>
      </c>
      <c r="C45" s="15">
        <v>3.83663366336634</v>
      </c>
      <c r="D45" s="15">
        <v>0.61881188118811903</v>
      </c>
      <c r="E45" s="24">
        <v>0.61881188118811903</v>
      </c>
    </row>
    <row r="46" spans="1:5">
      <c r="A46" s="9" t="s">
        <v>193</v>
      </c>
      <c r="B46" s="15">
        <v>4.6204620462046204</v>
      </c>
      <c r="C46" s="15">
        <v>3.9603960396039599</v>
      </c>
      <c r="D46" s="15">
        <v>0.66006600660065995</v>
      </c>
      <c r="E46" s="24">
        <v>0</v>
      </c>
    </row>
    <row r="47" spans="1:5">
      <c r="A47" s="9" t="s">
        <v>357</v>
      </c>
      <c r="B47" s="15">
        <v>2.1452145214521501</v>
      </c>
      <c r="C47" s="15">
        <v>1.48514851485149</v>
      </c>
      <c r="D47" s="15">
        <v>0.66006600660065995</v>
      </c>
      <c r="E47" s="24">
        <v>0.66006600660065995</v>
      </c>
    </row>
    <row r="48" spans="1:5">
      <c r="A48" s="9" t="s">
        <v>358</v>
      </c>
      <c r="B48" s="15">
        <v>0</v>
      </c>
      <c r="C48" s="15">
        <v>0</v>
      </c>
      <c r="D48" s="15">
        <v>0</v>
      </c>
      <c r="E48" s="24">
        <v>0</v>
      </c>
    </row>
    <row r="49" spans="1:5">
      <c r="A49" s="9" t="s">
        <v>191</v>
      </c>
      <c r="B49" s="15">
        <v>1.15511551155115</v>
      </c>
      <c r="C49" s="15">
        <v>0.49504950495049499</v>
      </c>
      <c r="D49" s="15">
        <v>0.66006600660065995</v>
      </c>
      <c r="E49" s="24">
        <v>0.66006600660065995</v>
      </c>
    </row>
    <row r="50" spans="1:5">
      <c r="A50" s="9" t="s">
        <v>195</v>
      </c>
      <c r="B50" s="15">
        <v>1.73267326732673</v>
      </c>
      <c r="C50" s="15">
        <v>1.73267326732673</v>
      </c>
      <c r="D50" s="15">
        <v>0</v>
      </c>
      <c r="E50" s="24">
        <v>0</v>
      </c>
    </row>
    <row r="51" spans="1:5">
      <c r="A51" s="9" t="s">
        <v>196</v>
      </c>
      <c r="B51" s="15">
        <v>5.2805280528052796</v>
      </c>
      <c r="C51" s="15">
        <v>4.2904290429042904</v>
      </c>
      <c r="D51" s="15">
        <v>0.99009900990098998</v>
      </c>
      <c r="E51" s="24">
        <v>0</v>
      </c>
    </row>
    <row r="52" spans="1:5">
      <c r="A52" s="9" t="s">
        <v>198</v>
      </c>
      <c r="B52" s="15">
        <v>0.74257425742574301</v>
      </c>
      <c r="C52" s="15">
        <v>0.74257425742574301</v>
      </c>
      <c r="D52" s="15">
        <v>0</v>
      </c>
      <c r="E52" s="24">
        <v>0</v>
      </c>
    </row>
    <row r="53" spans="1:5">
      <c r="A53" s="9" t="s">
        <v>203</v>
      </c>
      <c r="B53" s="15">
        <v>0.61881188118811903</v>
      </c>
      <c r="C53" s="15">
        <v>0.61881188118811903</v>
      </c>
      <c r="D53" s="15">
        <v>0</v>
      </c>
      <c r="E53" s="24">
        <v>0</v>
      </c>
    </row>
    <row r="54" spans="1:5">
      <c r="A54" s="9" t="s">
        <v>204</v>
      </c>
      <c r="B54" s="15">
        <v>2.84653465346535</v>
      </c>
      <c r="C54" s="15">
        <v>2.84653465346535</v>
      </c>
      <c r="D54" s="15">
        <v>0</v>
      </c>
      <c r="E54" s="24">
        <v>0</v>
      </c>
    </row>
    <row r="55" spans="1:5">
      <c r="A55" s="9" t="s">
        <v>359</v>
      </c>
      <c r="B55" s="15">
        <v>1.98019801980198</v>
      </c>
      <c r="C55" s="15">
        <v>1.98019801980198</v>
      </c>
      <c r="D55" s="15">
        <v>0</v>
      </c>
      <c r="E55" s="24">
        <v>0</v>
      </c>
    </row>
    <row r="56" spans="1:5">
      <c r="A56" s="11" t="s">
        <v>207</v>
      </c>
      <c r="B56" s="16">
        <v>2.4752475247524801</v>
      </c>
      <c r="C56" s="16">
        <v>2.4752475247524801</v>
      </c>
      <c r="D56" s="16">
        <v>0</v>
      </c>
      <c r="E56" s="25">
        <v>0</v>
      </c>
    </row>
    <row r="57" spans="1:5" ht="30" customHeight="1">
      <c r="A57" t="s">
        <v>94</v>
      </c>
    </row>
    <row r="58" spans="1:5">
      <c r="A58" t="s">
        <v>488</v>
      </c>
    </row>
    <row r="59" spans="1:5">
      <c r="A59" t="s">
        <v>489</v>
      </c>
    </row>
    <row r="60" spans="1:5">
      <c r="A60" t="s">
        <v>490</v>
      </c>
    </row>
    <row r="61" spans="1:5">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19"/>
  <sheetViews>
    <sheetView zoomScale="70" workbookViewId="0"/>
  </sheetViews>
  <sheetFormatPr defaultColWidth="10.90625" defaultRowHeight="15"/>
  <cols>
    <col min="1" max="1" width="77.6796875" customWidth="1"/>
    <col min="2" max="4" width="15.90625" customWidth="1"/>
  </cols>
  <sheetData>
    <row r="1" spans="1:4" ht="39.9" customHeight="1">
      <c r="A1" s="10" t="s">
        <v>500</v>
      </c>
      <c r="B1" s="12"/>
      <c r="C1" s="12"/>
      <c r="D1" s="12"/>
    </row>
    <row r="2" spans="1:4" ht="45">
      <c r="A2" s="7" t="s">
        <v>2</v>
      </c>
      <c r="B2" s="6" t="s">
        <v>18</v>
      </c>
      <c r="C2" s="6" t="s">
        <v>19</v>
      </c>
      <c r="D2" s="8" t="s">
        <v>20</v>
      </c>
    </row>
    <row r="3" spans="1:4" ht="30">
      <c r="A3" s="39" t="s">
        <v>365</v>
      </c>
      <c r="B3" s="15"/>
      <c r="C3" s="15"/>
      <c r="D3" s="24"/>
    </row>
    <row r="4" spans="1:4">
      <c r="A4" s="9" t="s">
        <v>366</v>
      </c>
      <c r="B4" s="15">
        <v>96.984109221127994</v>
      </c>
      <c r="C4" s="15">
        <v>97.560975609756099</v>
      </c>
      <c r="D4" s="24">
        <v>100</v>
      </c>
    </row>
    <row r="5" spans="1:4">
      <c r="A5" s="9" t="s">
        <v>367</v>
      </c>
      <c r="B5" s="15">
        <v>81.219891716758298</v>
      </c>
      <c r="C5" s="15">
        <v>80.487804878048806</v>
      </c>
      <c r="D5" s="24">
        <v>85.714285714285694</v>
      </c>
    </row>
    <row r="6" spans="1:4">
      <c r="A6" s="9" t="s">
        <v>368</v>
      </c>
      <c r="B6" s="15">
        <v>68.1392015176706</v>
      </c>
      <c r="C6" s="15">
        <v>68.292682926829301</v>
      </c>
      <c r="D6" s="24">
        <v>85.714285714285694</v>
      </c>
    </row>
    <row r="7" spans="1:4">
      <c r="A7" s="9" t="s">
        <v>369</v>
      </c>
      <c r="B7" s="15">
        <v>25.6504987850109</v>
      </c>
      <c r="C7" s="15">
        <v>26.016260162601601</v>
      </c>
      <c r="D7" s="24">
        <v>28.571428571428601</v>
      </c>
    </row>
    <row r="8" spans="1:4">
      <c r="A8" s="9" t="s">
        <v>370</v>
      </c>
      <c r="B8" s="15">
        <v>30.849320032399699</v>
      </c>
      <c r="C8" s="15">
        <v>34.5528455284553</v>
      </c>
      <c r="D8" s="24">
        <v>28.571428571428601</v>
      </c>
    </row>
    <row r="9" spans="1:4">
      <c r="A9" s="9" t="s">
        <v>371</v>
      </c>
      <c r="B9" s="15">
        <v>78.732521209020803</v>
      </c>
      <c r="C9" s="15">
        <v>69.512195121951194</v>
      </c>
      <c r="D9" s="24">
        <v>100</v>
      </c>
    </row>
    <row r="10" spans="1:4">
      <c r="A10" s="9" t="s">
        <v>372</v>
      </c>
      <c r="B10" s="15">
        <v>22.443939975273899</v>
      </c>
      <c r="C10" s="15">
        <v>23.5772357723577</v>
      </c>
      <c r="D10" s="24">
        <v>28.571428571428601</v>
      </c>
    </row>
    <row r="11" spans="1:4">
      <c r="A11" s="9" t="s">
        <v>373</v>
      </c>
      <c r="B11" s="15">
        <v>47.822398431171898</v>
      </c>
      <c r="C11" s="15">
        <v>45.528455284552798</v>
      </c>
      <c r="D11" s="24">
        <v>71.428571428571402</v>
      </c>
    </row>
    <row r="12" spans="1:4">
      <c r="A12" s="9" t="s">
        <v>374</v>
      </c>
      <c r="B12" s="15">
        <v>57.515773543078801</v>
      </c>
      <c r="C12" s="15">
        <v>43.495934959349597</v>
      </c>
      <c r="D12" s="24">
        <v>57.142857142857103</v>
      </c>
    </row>
    <row r="13" spans="1:4">
      <c r="A13" s="9" t="s">
        <v>375</v>
      </c>
      <c r="B13" s="15">
        <v>19.102453425416702</v>
      </c>
      <c r="C13" s="15">
        <v>15.4471544715447</v>
      </c>
      <c r="D13" s="24">
        <v>42.857142857142897</v>
      </c>
    </row>
    <row r="14" spans="1:4">
      <c r="A14" s="11" t="s">
        <v>247</v>
      </c>
      <c r="B14" s="16">
        <v>4.8231871083258699</v>
      </c>
      <c r="C14" s="16">
        <v>0</v>
      </c>
      <c r="D14" s="25">
        <v>0</v>
      </c>
    </row>
    <row r="15" spans="1:4" ht="30" customHeight="1">
      <c r="A15" t="s">
        <v>94</v>
      </c>
    </row>
    <row r="16" spans="1:4">
      <c r="A16" t="s">
        <v>488</v>
      </c>
    </row>
    <row r="17" spans="1:1">
      <c r="A17" t="s">
        <v>489</v>
      </c>
    </row>
    <row r="18" spans="1:1">
      <c r="A18" t="s">
        <v>490</v>
      </c>
    </row>
    <row r="19" spans="1:1">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5"/>
  <sheetViews>
    <sheetView zoomScale="70" workbookViewId="0"/>
  </sheetViews>
  <sheetFormatPr defaultColWidth="10.90625" defaultRowHeight="15"/>
  <cols>
    <col min="1" max="1" width="77.6796875" customWidth="1"/>
    <col min="2" max="4" width="15.90625" customWidth="1"/>
  </cols>
  <sheetData>
    <row r="1" spans="1:4" ht="39.9" customHeight="1">
      <c r="A1" s="10" t="s">
        <v>501</v>
      </c>
      <c r="B1" s="12"/>
      <c r="C1" s="12"/>
      <c r="D1" s="12"/>
    </row>
    <row r="2" spans="1:4" ht="45">
      <c r="A2" s="7" t="s">
        <v>2</v>
      </c>
      <c r="B2" s="6" t="s">
        <v>18</v>
      </c>
      <c r="C2" s="6" t="s">
        <v>19</v>
      </c>
      <c r="D2" s="8" t="s">
        <v>20</v>
      </c>
    </row>
    <row r="3" spans="1:4" ht="30">
      <c r="A3" s="39" t="s">
        <v>377</v>
      </c>
      <c r="B3" s="15"/>
      <c r="C3" s="15"/>
      <c r="D3" s="24"/>
    </row>
    <row r="4" spans="1:4">
      <c r="A4" s="9" t="s">
        <v>378</v>
      </c>
      <c r="B4" s="15">
        <v>87.857835614102399</v>
      </c>
      <c r="C4" s="15">
        <v>86.991869918699194</v>
      </c>
      <c r="D4" s="24">
        <v>71.428571428571402</v>
      </c>
    </row>
    <row r="5" spans="1:4">
      <c r="A5" s="9" t="s">
        <v>379</v>
      </c>
      <c r="B5" s="15">
        <v>9.5906872149038698</v>
      </c>
      <c r="C5" s="15">
        <v>5.6910569105691096</v>
      </c>
      <c r="D5" s="24">
        <v>14.285714285714301</v>
      </c>
    </row>
    <row r="6" spans="1:4">
      <c r="A6" s="9" t="s">
        <v>380</v>
      </c>
      <c r="B6" s="15">
        <v>0.42524619516562201</v>
      </c>
      <c r="C6" s="15">
        <v>2.4390243902439002</v>
      </c>
      <c r="D6" s="24">
        <v>0</v>
      </c>
    </row>
    <row r="7" spans="1:4">
      <c r="A7" s="9" t="s">
        <v>381</v>
      </c>
      <c r="B7" s="15">
        <v>1.2757385854968699</v>
      </c>
      <c r="C7" s="15">
        <v>2.4390243902439002</v>
      </c>
      <c r="D7" s="24">
        <v>0</v>
      </c>
    </row>
    <row r="8" spans="1:4">
      <c r="A8" s="9" t="s">
        <v>247</v>
      </c>
      <c r="B8" s="15">
        <v>0.85049239033124402</v>
      </c>
      <c r="C8" s="15">
        <v>2.4390243902439002</v>
      </c>
      <c r="D8" s="24">
        <v>14.285714285714301</v>
      </c>
    </row>
    <row r="9" spans="1:4" ht="30">
      <c r="A9" s="39" t="s">
        <v>382</v>
      </c>
      <c r="B9" s="15"/>
      <c r="C9" s="15"/>
      <c r="D9" s="24"/>
    </row>
    <row r="10" spans="1:4">
      <c r="A10" s="9" t="s">
        <v>383</v>
      </c>
      <c r="B10" s="15">
        <v>77.860446774949907</v>
      </c>
      <c r="C10" s="15">
        <v>83.3333333333333</v>
      </c>
      <c r="D10" s="24">
        <v>85.714285714285694</v>
      </c>
    </row>
    <row r="11" spans="1:4">
      <c r="A11" s="9" t="s">
        <v>384</v>
      </c>
      <c r="B11" s="15">
        <v>22.139553225050101</v>
      </c>
      <c r="C11" s="15">
        <v>16.6666666666667</v>
      </c>
      <c r="D11" s="24">
        <v>14.285714285714301</v>
      </c>
    </row>
    <row r="12" spans="1:4" ht="30">
      <c r="A12" s="39" t="s">
        <v>385</v>
      </c>
      <c r="B12" s="15"/>
      <c r="C12" s="15"/>
      <c r="D12" s="24"/>
    </row>
    <row r="13" spans="1:4">
      <c r="A13" s="9" t="s">
        <v>383</v>
      </c>
      <c r="B13" s="15">
        <v>90.512959884043099</v>
      </c>
      <c r="C13" s="15">
        <v>89.430894308943095</v>
      </c>
      <c r="D13" s="24">
        <v>85.714285714285694</v>
      </c>
    </row>
    <row r="14" spans="1:4">
      <c r="A14" s="9" t="s">
        <v>384</v>
      </c>
      <c r="B14" s="15">
        <v>9.4870401159568605</v>
      </c>
      <c r="C14" s="15">
        <v>10.569105691056899</v>
      </c>
      <c r="D14" s="24">
        <v>14.285714285714301</v>
      </c>
    </row>
    <row r="15" spans="1:4" ht="30">
      <c r="A15" s="39" t="s">
        <v>386</v>
      </c>
      <c r="B15" s="15"/>
      <c r="C15" s="15"/>
      <c r="D15" s="24"/>
    </row>
    <row r="16" spans="1:4">
      <c r="A16" s="9" t="s">
        <v>383</v>
      </c>
      <c r="B16" s="15">
        <v>73.343138508760703</v>
      </c>
      <c r="C16" s="15">
        <v>77.235772357723604</v>
      </c>
      <c r="D16" s="24">
        <v>71.428571428571402</v>
      </c>
    </row>
    <row r="17" spans="1:4">
      <c r="A17" s="9" t="s">
        <v>384</v>
      </c>
      <c r="B17" s="15">
        <v>26.656861491239301</v>
      </c>
      <c r="C17" s="15">
        <v>22.764227642276399</v>
      </c>
      <c r="D17" s="24">
        <v>28.571428571428601</v>
      </c>
    </row>
    <row r="18" spans="1:4" ht="30">
      <c r="A18" s="39" t="s">
        <v>387</v>
      </c>
      <c r="B18" s="15"/>
      <c r="C18" s="15"/>
      <c r="D18" s="24"/>
    </row>
    <row r="19" spans="1:4">
      <c r="A19" s="9" t="s">
        <v>383</v>
      </c>
      <c r="B19" s="15">
        <v>86.922613718719305</v>
      </c>
      <c r="C19" s="15">
        <v>92.682926829268297</v>
      </c>
      <c r="D19" s="24">
        <v>100</v>
      </c>
    </row>
    <row r="20" spans="1:4">
      <c r="A20" s="11" t="s">
        <v>384</v>
      </c>
      <c r="B20" s="16">
        <v>13.077386281280599</v>
      </c>
      <c r="C20" s="16">
        <v>7.3170731707317103</v>
      </c>
      <c r="D20" s="25">
        <v>0</v>
      </c>
    </row>
    <row r="21" spans="1:4" ht="30" customHeight="1">
      <c r="A21" t="s">
        <v>94</v>
      </c>
    </row>
    <row r="22" spans="1:4">
      <c r="A22" t="s">
        <v>488</v>
      </c>
    </row>
    <row r="23" spans="1:4">
      <c r="A23" t="s">
        <v>489</v>
      </c>
    </row>
    <row r="24" spans="1:4">
      <c r="A24" t="s">
        <v>490</v>
      </c>
    </row>
    <row r="25" spans="1:4">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32"/>
  <sheetViews>
    <sheetView zoomScale="70" workbookViewId="0"/>
  </sheetViews>
  <sheetFormatPr defaultColWidth="10.90625" defaultRowHeight="15"/>
  <cols>
    <col min="1" max="1" width="77.6796875" customWidth="1"/>
    <col min="2" max="7" width="15.90625" customWidth="1"/>
  </cols>
  <sheetData>
    <row r="1" spans="1:7" ht="39.9" customHeight="1">
      <c r="A1" s="10" t="s">
        <v>502</v>
      </c>
      <c r="B1" s="12"/>
      <c r="C1" s="12"/>
      <c r="D1" s="12"/>
      <c r="E1" s="12"/>
      <c r="F1" s="12"/>
      <c r="G1" s="12"/>
    </row>
    <row r="2" spans="1:7" ht="30">
      <c r="A2" s="7" t="s">
        <v>2</v>
      </c>
      <c r="B2" s="6" t="s">
        <v>389</v>
      </c>
      <c r="C2" s="6" t="s">
        <v>390</v>
      </c>
      <c r="D2" s="6" t="s">
        <v>391</v>
      </c>
      <c r="E2" s="6" t="s">
        <v>392</v>
      </c>
      <c r="F2" s="6" t="s">
        <v>393</v>
      </c>
      <c r="G2" s="8" t="s">
        <v>394</v>
      </c>
    </row>
    <row r="3" spans="1:7">
      <c r="A3" s="39" t="s">
        <v>395</v>
      </c>
      <c r="B3" s="15"/>
      <c r="C3" s="15"/>
      <c r="D3" s="15"/>
      <c r="E3" s="15"/>
      <c r="F3" s="15"/>
      <c r="G3" s="24"/>
    </row>
    <row r="4" spans="1:7">
      <c r="A4" s="9" t="s">
        <v>396</v>
      </c>
      <c r="B4" s="15">
        <v>46.087930221593602</v>
      </c>
      <c r="C4" s="15">
        <v>40.182696841112701</v>
      </c>
      <c r="D4" s="15">
        <v>6.7986798679867997</v>
      </c>
      <c r="E4" s="15">
        <v>2.7227722772277199</v>
      </c>
      <c r="F4" s="15">
        <v>4.2079207920792099</v>
      </c>
      <c r="G4" s="24">
        <v>0</v>
      </c>
    </row>
    <row r="5" spans="1:7">
      <c r="A5" s="9" t="s">
        <v>397</v>
      </c>
      <c r="B5" s="15">
        <v>18.2932578972183</v>
      </c>
      <c r="C5" s="15">
        <v>28.288543140028299</v>
      </c>
      <c r="D5" s="15">
        <v>19.529702970296999</v>
      </c>
      <c r="E5" s="15">
        <v>18.446487505893401</v>
      </c>
      <c r="F5" s="15">
        <v>15.4420084865629</v>
      </c>
      <c r="G5" s="24">
        <v>0</v>
      </c>
    </row>
    <row r="6" spans="1:7">
      <c r="A6" s="9" t="s">
        <v>398</v>
      </c>
      <c r="B6" s="15">
        <v>22.9502593116454</v>
      </c>
      <c r="C6" s="15">
        <v>56.371994342291401</v>
      </c>
      <c r="D6" s="15">
        <v>12.1499292786421</v>
      </c>
      <c r="E6" s="15">
        <v>7.5377180575200402</v>
      </c>
      <c r="F6" s="15">
        <v>0.99009900990098998</v>
      </c>
      <c r="G6" s="24">
        <v>0</v>
      </c>
    </row>
    <row r="7" spans="1:7">
      <c r="A7" s="9" t="s">
        <v>399</v>
      </c>
      <c r="B7" s="15">
        <v>22.492927864215002</v>
      </c>
      <c r="C7" s="15">
        <v>50.806223479490797</v>
      </c>
      <c r="D7" s="15">
        <v>14.933993399339901</v>
      </c>
      <c r="E7" s="15">
        <v>8.6020744931636006</v>
      </c>
      <c r="F7" s="15">
        <v>3.16478076379066</v>
      </c>
      <c r="G7" s="24">
        <v>0</v>
      </c>
    </row>
    <row r="8" spans="1:7">
      <c r="A8" s="9" t="s">
        <v>398</v>
      </c>
      <c r="B8" s="15">
        <v>22.9502593116454</v>
      </c>
      <c r="C8" s="15">
        <v>56.371994342291401</v>
      </c>
      <c r="D8" s="15">
        <v>12.1499292786421</v>
      </c>
      <c r="E8" s="15">
        <v>7.5377180575200402</v>
      </c>
      <c r="F8" s="15">
        <v>0.99009900990098998</v>
      </c>
      <c r="G8" s="24">
        <v>0</v>
      </c>
    </row>
    <row r="9" spans="1:7">
      <c r="A9" s="39" t="s">
        <v>400</v>
      </c>
      <c r="B9" s="15"/>
      <c r="C9" s="15"/>
      <c r="D9" s="15"/>
      <c r="E9" s="15"/>
      <c r="F9" s="15"/>
      <c r="G9" s="24"/>
    </row>
    <row r="10" spans="1:7">
      <c r="A10" s="9" t="s">
        <v>401</v>
      </c>
      <c r="B10" s="15">
        <v>63.592644978783603</v>
      </c>
      <c r="C10" s="15">
        <v>21.225836869401199</v>
      </c>
      <c r="D10" s="15">
        <v>10.932343234323399</v>
      </c>
      <c r="E10" s="15">
        <v>1.73267326732673</v>
      </c>
      <c r="F10" s="15">
        <v>2.5165016501650199</v>
      </c>
      <c r="G10" s="24">
        <v>0</v>
      </c>
    </row>
    <row r="11" spans="1:7">
      <c r="A11" s="9" t="s">
        <v>402</v>
      </c>
      <c r="B11" s="15">
        <v>44.467232437529503</v>
      </c>
      <c r="C11" s="15">
        <v>28.148279113625598</v>
      </c>
      <c r="D11" s="15">
        <v>18.8531353135314</v>
      </c>
      <c r="E11" s="15">
        <v>4.7772277227722801</v>
      </c>
      <c r="F11" s="15">
        <v>3.7541254125412502</v>
      </c>
      <c r="G11" s="24">
        <v>0</v>
      </c>
    </row>
    <row r="12" spans="1:7">
      <c r="A12" s="9" t="s">
        <v>403</v>
      </c>
      <c r="B12" s="15">
        <v>32.042668552569502</v>
      </c>
      <c r="C12" s="15">
        <v>27.278406412069799</v>
      </c>
      <c r="D12" s="15">
        <v>7.4964639321075</v>
      </c>
      <c r="E12" s="15">
        <v>18.2355021216407</v>
      </c>
      <c r="F12" s="15">
        <v>14.946958981612401</v>
      </c>
      <c r="G12" s="24">
        <v>0</v>
      </c>
    </row>
    <row r="13" spans="1:7">
      <c r="A13" s="9" t="s">
        <v>404</v>
      </c>
      <c r="B13" s="15">
        <v>15.924092409240901</v>
      </c>
      <c r="C13" s="15">
        <v>21.923620933521899</v>
      </c>
      <c r="D13" s="15">
        <v>5.72607260726073</v>
      </c>
      <c r="E13" s="15">
        <v>29.97171145686</v>
      </c>
      <c r="F13" s="15">
        <v>26.454502593116501</v>
      </c>
      <c r="G13" s="24">
        <v>0</v>
      </c>
    </row>
    <row r="14" spans="1:7">
      <c r="A14" s="9" t="s">
        <v>405</v>
      </c>
      <c r="B14" s="15">
        <v>18.151815181518099</v>
      </c>
      <c r="C14" s="15">
        <v>30.678925035360699</v>
      </c>
      <c r="D14" s="15">
        <v>14.7194719471947</v>
      </c>
      <c r="E14" s="15">
        <v>15.297029702970301</v>
      </c>
      <c r="F14" s="15">
        <v>19.543847241866999</v>
      </c>
      <c r="G14" s="24">
        <v>1.6089108910891099</v>
      </c>
    </row>
    <row r="15" spans="1:7">
      <c r="A15" s="39" t="s">
        <v>406</v>
      </c>
      <c r="B15" s="15"/>
      <c r="C15" s="15"/>
      <c r="D15" s="15"/>
      <c r="E15" s="15"/>
      <c r="F15" s="15"/>
      <c r="G15" s="24"/>
    </row>
    <row r="16" spans="1:7">
      <c r="A16" s="9" t="s">
        <v>407</v>
      </c>
      <c r="B16" s="15">
        <v>20.772041489863302</v>
      </c>
      <c r="C16" s="15">
        <v>25.0707213578501</v>
      </c>
      <c r="D16" s="15">
        <v>18.420556341348401</v>
      </c>
      <c r="E16" s="15">
        <v>23.624469589816101</v>
      </c>
      <c r="F16" s="15">
        <v>12.1122112211221</v>
      </c>
      <c r="G16" s="24">
        <v>0</v>
      </c>
    </row>
    <row r="17" spans="1:7">
      <c r="A17" s="9" t="s">
        <v>408</v>
      </c>
      <c r="B17" s="15">
        <v>25.212164073550198</v>
      </c>
      <c r="C17" s="15">
        <v>32.6084394153701</v>
      </c>
      <c r="D17" s="15">
        <v>20.7225365393682</v>
      </c>
      <c r="E17" s="15">
        <v>9.8102310231023093</v>
      </c>
      <c r="F17" s="15">
        <v>11.6466289486091</v>
      </c>
      <c r="G17" s="24">
        <v>0</v>
      </c>
    </row>
    <row r="18" spans="1:7">
      <c r="A18" s="9" t="s">
        <v>409</v>
      </c>
      <c r="B18" s="15">
        <v>77.701555869872706</v>
      </c>
      <c r="C18" s="15">
        <v>19.006364922206501</v>
      </c>
      <c r="D18" s="15">
        <v>1.8069306930693101</v>
      </c>
      <c r="E18" s="15">
        <v>0.99009900990098998</v>
      </c>
      <c r="F18" s="15">
        <v>0.49504950495049499</v>
      </c>
      <c r="G18" s="24">
        <v>0</v>
      </c>
    </row>
    <row r="19" spans="1:7">
      <c r="A19" s="9" t="s">
        <v>410</v>
      </c>
      <c r="B19" s="15">
        <v>39.941065535124899</v>
      </c>
      <c r="C19" s="15">
        <v>39.006364922206501</v>
      </c>
      <c r="D19" s="15">
        <v>12.100424328147099</v>
      </c>
      <c r="E19" s="15">
        <v>6.5594059405940603</v>
      </c>
      <c r="F19" s="15">
        <v>2.3927392739273898</v>
      </c>
      <c r="G19" s="24">
        <v>0</v>
      </c>
    </row>
    <row r="20" spans="1:7">
      <c r="A20" s="9" t="s">
        <v>411</v>
      </c>
      <c r="B20" s="15">
        <v>16.0242809995285</v>
      </c>
      <c r="C20" s="15">
        <v>35.648279113625598</v>
      </c>
      <c r="D20" s="15">
        <v>19.852663837812401</v>
      </c>
      <c r="E20" s="15">
        <v>19.852663837812401</v>
      </c>
      <c r="F20" s="15">
        <v>8.6221122112211201</v>
      </c>
      <c r="G20" s="24">
        <v>0</v>
      </c>
    </row>
    <row r="21" spans="1:7">
      <c r="A21" s="9" t="s">
        <v>412</v>
      </c>
      <c r="B21" s="15">
        <v>70.531588873173007</v>
      </c>
      <c r="C21" s="15">
        <v>25.3842527109854</v>
      </c>
      <c r="D21" s="15">
        <v>3.5891089108910901</v>
      </c>
      <c r="E21" s="15">
        <v>0</v>
      </c>
      <c r="F21" s="15">
        <v>0.49504950495049499</v>
      </c>
      <c r="G21" s="24">
        <v>0</v>
      </c>
    </row>
    <row r="22" spans="1:7">
      <c r="A22" s="39" t="s">
        <v>413</v>
      </c>
      <c r="B22" s="15"/>
      <c r="C22" s="15"/>
      <c r="D22" s="15"/>
      <c r="E22" s="15"/>
      <c r="F22" s="15"/>
      <c r="G22" s="24"/>
    </row>
    <row r="23" spans="1:7">
      <c r="A23" s="9" t="s">
        <v>414</v>
      </c>
      <c r="B23" s="15">
        <v>16.316595945308801</v>
      </c>
      <c r="C23" s="15">
        <v>34.501414427157002</v>
      </c>
      <c r="D23" s="15">
        <v>5.2687411598302702</v>
      </c>
      <c r="E23" s="15">
        <v>20.500942951437999</v>
      </c>
      <c r="F23" s="15">
        <v>23.412305516265899</v>
      </c>
      <c r="G23" s="24">
        <v>0</v>
      </c>
    </row>
    <row r="24" spans="1:7">
      <c r="A24" s="9" t="s">
        <v>415</v>
      </c>
      <c r="B24" s="15">
        <v>30.364214992927899</v>
      </c>
      <c r="C24" s="15">
        <v>29.011079679396499</v>
      </c>
      <c r="D24" s="15">
        <v>8.2095709570957105</v>
      </c>
      <c r="E24" s="15">
        <v>20.1214049976426</v>
      </c>
      <c r="F24" s="15">
        <v>12.2937293729373</v>
      </c>
      <c r="G24" s="24">
        <v>0</v>
      </c>
    </row>
    <row r="25" spans="1:7">
      <c r="A25" s="9" t="s">
        <v>416</v>
      </c>
      <c r="B25" s="15">
        <v>29.97171145686</v>
      </c>
      <c r="C25" s="15">
        <v>32.9101838755304</v>
      </c>
      <c r="D25" s="15">
        <v>8.7340876944837298</v>
      </c>
      <c r="E25" s="15">
        <v>17.265440829797299</v>
      </c>
      <c r="F25" s="15">
        <v>11.1185761433286</v>
      </c>
      <c r="G25" s="24">
        <v>0</v>
      </c>
    </row>
    <row r="26" spans="1:7">
      <c r="A26" s="9" t="s">
        <v>417</v>
      </c>
      <c r="B26" s="15">
        <v>32.237152286657199</v>
      </c>
      <c r="C26" s="15">
        <v>38.834276284771299</v>
      </c>
      <c r="D26" s="15">
        <v>13.717586044318701</v>
      </c>
      <c r="E26" s="15">
        <v>9.6004243281470991</v>
      </c>
      <c r="F26" s="15">
        <v>5.6105610561056096</v>
      </c>
      <c r="G26" s="24">
        <v>0</v>
      </c>
    </row>
    <row r="27" spans="1:7">
      <c r="A27" s="11" t="s">
        <v>418</v>
      </c>
      <c r="B27" s="16">
        <v>58.992220650636497</v>
      </c>
      <c r="C27" s="16">
        <v>30.950023573785899</v>
      </c>
      <c r="D27" s="16">
        <v>5.7673267326732702</v>
      </c>
      <c r="E27" s="16">
        <v>3.1353135313531402</v>
      </c>
      <c r="F27" s="16">
        <v>1.15511551155115</v>
      </c>
      <c r="G27" s="25">
        <v>0</v>
      </c>
    </row>
    <row r="28" spans="1:7" ht="30" customHeight="1">
      <c r="A28" t="s">
        <v>94</v>
      </c>
    </row>
    <row r="29" spans="1:7">
      <c r="A29" t="s">
        <v>488</v>
      </c>
    </row>
    <row r="30" spans="1:7">
      <c r="A30" t="s">
        <v>489</v>
      </c>
    </row>
    <row r="31" spans="1:7">
      <c r="A31" t="s">
        <v>490</v>
      </c>
    </row>
    <row r="32" spans="1:7">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2"/>
  <sheetViews>
    <sheetView zoomScale="70" workbookViewId="0"/>
  </sheetViews>
  <sheetFormatPr defaultColWidth="10.90625" defaultRowHeight="15"/>
  <cols>
    <col min="1" max="1" width="77.6796875" customWidth="1"/>
    <col min="2" max="5" width="15.90625" customWidth="1"/>
  </cols>
  <sheetData>
    <row r="1" spans="1:5" ht="39.9" customHeight="1">
      <c r="A1" s="10" t="s">
        <v>503</v>
      </c>
      <c r="B1" s="12"/>
      <c r="C1" s="12"/>
      <c r="D1" s="12"/>
      <c r="E1" s="12"/>
    </row>
    <row r="2" spans="1:5" ht="60">
      <c r="A2" s="7" t="s">
        <v>2</v>
      </c>
      <c r="B2" s="6" t="s">
        <v>420</v>
      </c>
      <c r="C2" s="6" t="s">
        <v>421</v>
      </c>
      <c r="D2" s="6" t="s">
        <v>422</v>
      </c>
      <c r="E2" s="8" t="s">
        <v>423</v>
      </c>
    </row>
    <row r="3" spans="1:5">
      <c r="A3" s="39" t="s">
        <v>424</v>
      </c>
      <c r="B3" s="15"/>
      <c r="C3" s="15"/>
      <c r="D3" s="15"/>
      <c r="E3" s="24"/>
    </row>
    <row r="4" spans="1:5">
      <c r="A4" s="9" t="s">
        <v>425</v>
      </c>
      <c r="B4" s="15">
        <v>86.909476661951899</v>
      </c>
      <c r="C4" s="15">
        <v>60.983026874116</v>
      </c>
      <c r="D4" s="15">
        <v>60.240452616690199</v>
      </c>
      <c r="E4" s="24">
        <v>11.1386138613861</v>
      </c>
    </row>
    <row r="5" spans="1:5">
      <c r="A5" s="9" t="s">
        <v>426</v>
      </c>
      <c r="B5" s="15">
        <v>56.2022630834512</v>
      </c>
      <c r="C5" s="15">
        <v>59.048797736916498</v>
      </c>
      <c r="D5" s="15">
        <v>50.426685525695397</v>
      </c>
      <c r="E5" s="24">
        <v>25.763790664780799</v>
      </c>
    </row>
    <row r="6" spans="1:5">
      <c r="A6" s="9" t="s">
        <v>427</v>
      </c>
      <c r="B6" s="15">
        <v>27.629655822725098</v>
      </c>
      <c r="C6" s="15">
        <v>24.1136256482791</v>
      </c>
      <c r="D6" s="15">
        <v>15.6565299387082</v>
      </c>
      <c r="E6" s="24">
        <v>7.1251768033946297</v>
      </c>
    </row>
    <row r="7" spans="1:5">
      <c r="A7" s="9" t="s">
        <v>428</v>
      </c>
      <c r="B7" s="15">
        <v>65.852192362093305</v>
      </c>
      <c r="C7" s="15">
        <v>50.755539839698301</v>
      </c>
      <c r="D7" s="15">
        <v>44.823196605374797</v>
      </c>
      <c r="E7" s="24">
        <v>33.923856671381401</v>
      </c>
    </row>
    <row r="8" spans="1:5">
      <c r="A8" s="9" t="s">
        <v>429</v>
      </c>
      <c r="B8" s="15">
        <v>1.8481848184818499</v>
      </c>
      <c r="C8" s="15">
        <v>0</v>
      </c>
      <c r="D8" s="15">
        <v>0</v>
      </c>
      <c r="E8" s="24">
        <v>0</v>
      </c>
    </row>
    <row r="9" spans="1:5">
      <c r="A9" s="9" t="s">
        <v>430</v>
      </c>
      <c r="B9" s="15">
        <v>7.1287128712871297</v>
      </c>
      <c r="C9" s="15">
        <v>1.98019801980198</v>
      </c>
      <c r="D9" s="15">
        <v>1.48514851485149</v>
      </c>
      <c r="E9" s="24">
        <v>0</v>
      </c>
    </row>
    <row r="10" spans="1:5">
      <c r="A10" s="9" t="s">
        <v>431</v>
      </c>
      <c r="B10" s="15">
        <v>28.2520037718058</v>
      </c>
      <c r="C10" s="15">
        <v>9.0346534653465405</v>
      </c>
      <c r="D10" s="15">
        <v>9.0346534653465405</v>
      </c>
      <c r="E10" s="24">
        <v>0.49504950495049499</v>
      </c>
    </row>
    <row r="11" spans="1:5">
      <c r="A11" s="9" t="s">
        <v>432</v>
      </c>
      <c r="B11" s="15">
        <v>4.2373880245167399</v>
      </c>
      <c r="C11" s="15">
        <v>1.77392739273927</v>
      </c>
      <c r="D11" s="15">
        <v>1.77392739273927</v>
      </c>
      <c r="E11" s="24">
        <v>0</v>
      </c>
    </row>
    <row r="12" spans="1:5">
      <c r="A12" s="9" t="s">
        <v>433</v>
      </c>
      <c r="B12" s="15">
        <v>84.549740688354504</v>
      </c>
      <c r="C12" s="15">
        <v>68.384016973125895</v>
      </c>
      <c r="D12" s="15">
        <v>65.413719943422905</v>
      </c>
      <c r="E12" s="24">
        <v>30.829797265440799</v>
      </c>
    </row>
    <row r="13" spans="1:5">
      <c r="A13" s="9" t="s">
        <v>247</v>
      </c>
      <c r="B13" s="15">
        <v>4.4554455445544603</v>
      </c>
      <c r="C13" s="15">
        <v>4.7029702970297</v>
      </c>
      <c r="D13" s="15">
        <v>3.71287128712871</v>
      </c>
      <c r="E13" s="24">
        <v>2.2277227722772301</v>
      </c>
    </row>
    <row r="14" spans="1:5">
      <c r="A14" s="39" t="s">
        <v>434</v>
      </c>
      <c r="B14" s="15"/>
      <c r="C14" s="15"/>
      <c r="D14" s="15"/>
      <c r="E14" s="24"/>
    </row>
    <row r="15" spans="1:5">
      <c r="A15" s="9" t="s">
        <v>435</v>
      </c>
      <c r="B15" s="15">
        <v>43.3203677510608</v>
      </c>
      <c r="C15" s="15">
        <v>24.255068363979301</v>
      </c>
      <c r="D15" s="15">
        <v>14.356435643564399</v>
      </c>
      <c r="E15" s="24">
        <v>0.99009900990098998</v>
      </c>
    </row>
    <row r="16" spans="1:5">
      <c r="A16" s="9" t="s">
        <v>436</v>
      </c>
      <c r="B16" s="15">
        <v>6.1350777934936396</v>
      </c>
      <c r="C16" s="15">
        <v>5.1980198019802</v>
      </c>
      <c r="D16" s="15">
        <v>4.8679867986798699</v>
      </c>
      <c r="E16" s="24">
        <v>2.4339933993399301</v>
      </c>
    </row>
    <row r="17" spans="1:5">
      <c r="A17" s="9" t="s">
        <v>437</v>
      </c>
      <c r="B17" s="15">
        <v>25.1367279585101</v>
      </c>
      <c r="C17" s="15">
        <v>14.356435643564399</v>
      </c>
      <c r="D17" s="15">
        <v>7.0132013201320103</v>
      </c>
      <c r="E17" s="24">
        <v>0.49504950495049499</v>
      </c>
    </row>
    <row r="18" spans="1:5">
      <c r="A18" s="9" t="s">
        <v>438</v>
      </c>
      <c r="B18" s="15">
        <v>3.1353135313531402</v>
      </c>
      <c r="C18" s="15">
        <v>4.8679867986798699</v>
      </c>
      <c r="D18" s="15">
        <v>21.856435643564399</v>
      </c>
      <c r="E18" s="24">
        <v>1.48514851485149</v>
      </c>
    </row>
    <row r="19" spans="1:5">
      <c r="A19" s="9" t="s">
        <v>439</v>
      </c>
      <c r="B19" s="15">
        <v>11.4898632720415</v>
      </c>
      <c r="C19" s="15">
        <v>7.5082508250825102</v>
      </c>
      <c r="D19" s="15">
        <v>54.695898161244699</v>
      </c>
      <c r="E19" s="24">
        <v>1.8151815181518201</v>
      </c>
    </row>
    <row r="20" spans="1:5">
      <c r="A20" s="9" t="s">
        <v>440</v>
      </c>
      <c r="B20" s="15">
        <v>30.066006600660099</v>
      </c>
      <c r="C20" s="15">
        <v>22.422206506364901</v>
      </c>
      <c r="D20" s="15">
        <v>61.565299387081602</v>
      </c>
      <c r="E20" s="24">
        <v>10.912305516265899</v>
      </c>
    </row>
    <row r="21" spans="1:5">
      <c r="A21" s="9" t="s">
        <v>441</v>
      </c>
      <c r="B21" s="15">
        <v>61.915370108439397</v>
      </c>
      <c r="C21" s="15">
        <v>56.346063177746302</v>
      </c>
      <c r="D21" s="15">
        <v>25.619990570485601</v>
      </c>
      <c r="E21" s="24">
        <v>17.8547854785479</v>
      </c>
    </row>
    <row r="22" spans="1:5">
      <c r="A22" s="9" t="s">
        <v>442</v>
      </c>
      <c r="B22" s="15">
        <v>69.214992927864202</v>
      </c>
      <c r="C22" s="15">
        <v>63.174210278170698</v>
      </c>
      <c r="D22" s="15">
        <v>6.3118811881188099</v>
      </c>
      <c r="E22" s="24">
        <v>24.814945780292302</v>
      </c>
    </row>
    <row r="23" spans="1:5">
      <c r="A23" s="9" t="s">
        <v>443</v>
      </c>
      <c r="B23" s="15">
        <v>47.197076850542203</v>
      </c>
      <c r="C23" s="15">
        <v>30.364214992927899</v>
      </c>
      <c r="D23" s="15">
        <v>3.50660066006601</v>
      </c>
      <c r="E23" s="24">
        <v>10.5528052805281</v>
      </c>
    </row>
    <row r="24" spans="1:5">
      <c r="A24" s="9" t="s">
        <v>444</v>
      </c>
      <c r="B24" s="15">
        <v>17.805280528052801</v>
      </c>
      <c r="C24" s="15">
        <v>7.5</v>
      </c>
      <c r="D24" s="15">
        <v>13.4075907590759</v>
      </c>
      <c r="E24" s="24">
        <v>3.9108910891089099</v>
      </c>
    </row>
    <row r="25" spans="1:5">
      <c r="A25" s="9" t="s">
        <v>445</v>
      </c>
      <c r="B25" s="15">
        <v>12.079207920792101</v>
      </c>
      <c r="C25" s="15">
        <v>7.4587458745874597</v>
      </c>
      <c r="D25" s="15">
        <v>4.5792079207920802</v>
      </c>
      <c r="E25" s="24">
        <v>2.7970297029703</v>
      </c>
    </row>
    <row r="26" spans="1:5">
      <c r="A26" s="9" t="s">
        <v>446</v>
      </c>
      <c r="B26" s="15">
        <v>20.285242809995299</v>
      </c>
      <c r="C26" s="15">
        <v>14.3976897689769</v>
      </c>
      <c r="D26" s="15">
        <v>9.5297029702970306</v>
      </c>
      <c r="E26" s="24">
        <v>6.0231023102310202</v>
      </c>
    </row>
    <row r="27" spans="1:5">
      <c r="A27" s="11" t="s">
        <v>247</v>
      </c>
      <c r="B27" s="16">
        <v>2.7640264026402601</v>
      </c>
      <c r="C27" s="16">
        <v>5.2392739273927402</v>
      </c>
      <c r="D27" s="16">
        <v>21.267090994813799</v>
      </c>
      <c r="E27" s="25">
        <v>2.5990099009901</v>
      </c>
    </row>
    <row r="28" spans="1:5" ht="30" customHeight="1">
      <c r="A28" t="s">
        <v>94</v>
      </c>
    </row>
    <row r="29" spans="1:5">
      <c r="A29" t="s">
        <v>488</v>
      </c>
    </row>
    <row r="30" spans="1:5">
      <c r="A30" t="s">
        <v>489</v>
      </c>
    </row>
    <row r="31" spans="1:5">
      <c r="A31" t="s">
        <v>490</v>
      </c>
    </row>
    <row r="32" spans="1:5">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8"/>
  <sheetViews>
    <sheetView zoomScale="70" workbookViewId="0"/>
  </sheetViews>
  <sheetFormatPr defaultColWidth="10.90625" defaultRowHeight="15"/>
  <cols>
    <col min="1" max="1" width="77.6796875" customWidth="1"/>
    <col min="2" max="2" width="15.90625" customWidth="1"/>
  </cols>
  <sheetData>
    <row r="1" spans="1:2" ht="39.9" customHeight="1">
      <c r="A1" s="10" t="s">
        <v>504</v>
      </c>
      <c r="B1" s="12"/>
    </row>
    <row r="2" spans="1:2">
      <c r="A2" s="7" t="s">
        <v>2</v>
      </c>
      <c r="B2" s="8" t="s">
        <v>505</v>
      </c>
    </row>
    <row r="3" spans="1:2">
      <c r="A3" s="39" t="s">
        <v>449</v>
      </c>
      <c r="B3" s="24"/>
    </row>
    <row r="4" spans="1:2">
      <c r="A4" s="9" t="s">
        <v>450</v>
      </c>
      <c r="B4" s="24">
        <v>42.857142857142897</v>
      </c>
    </row>
    <row r="5" spans="1:2">
      <c r="A5" s="9" t="s">
        <v>451</v>
      </c>
      <c r="B5" s="24">
        <v>0</v>
      </c>
    </row>
    <row r="6" spans="1:2">
      <c r="A6" s="9" t="s">
        <v>452</v>
      </c>
      <c r="B6" s="24">
        <v>0</v>
      </c>
    </row>
    <row r="7" spans="1:2">
      <c r="A7" s="9" t="s">
        <v>453</v>
      </c>
      <c r="B7" s="24">
        <v>0</v>
      </c>
    </row>
    <row r="8" spans="1:2">
      <c r="A8" s="9" t="s">
        <v>454</v>
      </c>
      <c r="B8" s="24">
        <v>42.857142857142897</v>
      </c>
    </row>
    <row r="9" spans="1:2">
      <c r="A9" s="9" t="s">
        <v>247</v>
      </c>
      <c r="B9" s="24">
        <v>0</v>
      </c>
    </row>
    <row r="10" spans="1:2">
      <c r="A10" s="9" t="s">
        <v>455</v>
      </c>
      <c r="B10" s="24">
        <v>42.857142857142897</v>
      </c>
    </row>
    <row r="11" spans="1:2" ht="30">
      <c r="A11" s="39" t="s">
        <v>456</v>
      </c>
      <c r="B11" s="24"/>
    </row>
    <row r="12" spans="1:2">
      <c r="A12" s="9" t="s">
        <v>457</v>
      </c>
      <c r="B12" s="24">
        <v>0</v>
      </c>
    </row>
    <row r="13" spans="1:2">
      <c r="A13" s="9" t="s">
        <v>458</v>
      </c>
      <c r="B13" s="24">
        <v>50</v>
      </c>
    </row>
    <row r="14" spans="1:2">
      <c r="A14" s="9" t="s">
        <v>459</v>
      </c>
      <c r="B14" s="24">
        <v>50</v>
      </c>
    </row>
    <row r="15" spans="1:2">
      <c r="A15" s="9" t="s">
        <v>460</v>
      </c>
      <c r="B15" s="24">
        <v>0</v>
      </c>
    </row>
    <row r="16" spans="1:2">
      <c r="A16" s="9" t="s">
        <v>461</v>
      </c>
      <c r="B16" s="24">
        <v>0</v>
      </c>
    </row>
    <row r="17" spans="1:2">
      <c r="A17" s="9" t="s">
        <v>462</v>
      </c>
      <c r="B17" s="24">
        <v>0</v>
      </c>
    </row>
    <row r="18" spans="1:2">
      <c r="A18" s="39" t="s">
        <v>463</v>
      </c>
      <c r="B18" s="24"/>
    </row>
    <row r="19" spans="1:2">
      <c r="A19" s="9" t="s">
        <v>464</v>
      </c>
      <c r="B19" s="24">
        <v>0</v>
      </c>
    </row>
    <row r="20" spans="1:2">
      <c r="A20" s="9" t="s">
        <v>465</v>
      </c>
      <c r="B20" s="24">
        <v>75</v>
      </c>
    </row>
    <row r="21" spans="1:2">
      <c r="A21" s="9" t="s">
        <v>466</v>
      </c>
      <c r="B21" s="24">
        <v>0</v>
      </c>
    </row>
    <row r="22" spans="1:2">
      <c r="A22" s="9" t="s">
        <v>467</v>
      </c>
      <c r="B22" s="24">
        <v>25</v>
      </c>
    </row>
    <row r="23" spans="1:2">
      <c r="A23" s="11" t="s">
        <v>247</v>
      </c>
      <c r="B23" s="25">
        <v>0</v>
      </c>
    </row>
    <row r="24" spans="1:2" ht="30" customHeight="1">
      <c r="A24" t="s">
        <v>94</v>
      </c>
    </row>
    <row r="25" spans="1:2">
      <c r="A25" t="s">
        <v>488</v>
      </c>
    </row>
    <row r="26" spans="1:2">
      <c r="A26" t="s">
        <v>489</v>
      </c>
    </row>
    <row r="27" spans="1:2">
      <c r="A27" t="s">
        <v>490</v>
      </c>
    </row>
    <row r="28" spans="1: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7"/>
  <sheetViews>
    <sheetView zoomScale="70" workbookViewId="0"/>
  </sheetViews>
  <sheetFormatPr defaultColWidth="10.90625" defaultRowHeight="15"/>
  <cols>
    <col min="1" max="1" width="77.6796875" customWidth="1"/>
    <col min="2" max="7" width="15.90625" customWidth="1"/>
  </cols>
  <sheetData>
    <row r="1" spans="1:7" ht="39.9" customHeight="1">
      <c r="A1" s="10" t="s">
        <v>506</v>
      </c>
      <c r="B1" s="12"/>
      <c r="C1" s="12"/>
      <c r="D1" s="12"/>
      <c r="E1" s="12"/>
      <c r="F1" s="12"/>
      <c r="G1" s="12"/>
    </row>
    <row r="2" spans="1:7">
      <c r="A2" s="7" t="s">
        <v>2</v>
      </c>
      <c r="B2" s="6" t="s">
        <v>505</v>
      </c>
      <c r="C2" s="6" t="s">
        <v>507</v>
      </c>
      <c r="D2" s="6" t="s">
        <v>508</v>
      </c>
      <c r="E2" s="6" t="s">
        <v>509</v>
      </c>
      <c r="F2" s="6" t="s">
        <v>510</v>
      </c>
      <c r="G2" s="8" t="s">
        <v>511</v>
      </c>
    </row>
    <row r="3" spans="1:7">
      <c r="A3" s="39" t="s">
        <v>473</v>
      </c>
      <c r="B3" s="15"/>
      <c r="C3" s="15"/>
      <c r="D3" s="15"/>
      <c r="E3" s="15"/>
      <c r="F3" s="15"/>
      <c r="G3" s="24"/>
    </row>
    <row r="4" spans="1:7">
      <c r="A4" s="9" t="s">
        <v>474</v>
      </c>
      <c r="B4" s="15">
        <v>0</v>
      </c>
      <c r="C4" s="15">
        <v>0</v>
      </c>
      <c r="D4" s="15">
        <v>0</v>
      </c>
      <c r="E4" s="15">
        <v>0</v>
      </c>
      <c r="F4" s="15">
        <v>0</v>
      </c>
      <c r="G4" s="24">
        <v>0</v>
      </c>
    </row>
    <row r="5" spans="1:7">
      <c r="A5" s="9" t="s">
        <v>475</v>
      </c>
      <c r="B5" s="15">
        <v>0</v>
      </c>
      <c r="C5" s="15">
        <v>0</v>
      </c>
      <c r="D5" s="15">
        <v>0</v>
      </c>
      <c r="E5" s="15">
        <v>0</v>
      </c>
      <c r="F5" s="15">
        <v>0</v>
      </c>
      <c r="G5" s="24">
        <v>0</v>
      </c>
    </row>
    <row r="6" spans="1:7">
      <c r="A6" s="9" t="s">
        <v>476</v>
      </c>
      <c r="B6" s="15">
        <v>0</v>
      </c>
      <c r="C6" s="15">
        <v>0</v>
      </c>
      <c r="D6" s="15">
        <v>0</v>
      </c>
      <c r="E6" s="15">
        <v>0</v>
      </c>
      <c r="F6" s="15">
        <v>0</v>
      </c>
      <c r="G6" s="24">
        <v>0</v>
      </c>
    </row>
    <row r="7" spans="1:7" ht="30">
      <c r="A7" s="39" t="s">
        <v>477</v>
      </c>
      <c r="B7" s="15"/>
      <c r="C7" s="20" t="s">
        <v>485</v>
      </c>
      <c r="D7" s="20" t="s">
        <v>485</v>
      </c>
      <c r="E7" s="20" t="s">
        <v>485</v>
      </c>
      <c r="F7" s="20" t="s">
        <v>485</v>
      </c>
      <c r="G7" s="26" t="s">
        <v>485</v>
      </c>
    </row>
    <row r="8" spans="1:7">
      <c r="A8" s="9" t="s">
        <v>383</v>
      </c>
      <c r="B8" s="15">
        <v>100</v>
      </c>
      <c r="C8" s="20" t="s">
        <v>485</v>
      </c>
      <c r="D8" s="20" t="s">
        <v>485</v>
      </c>
      <c r="E8" s="20" t="s">
        <v>485</v>
      </c>
      <c r="F8" s="20" t="s">
        <v>485</v>
      </c>
      <c r="G8" s="26" t="s">
        <v>485</v>
      </c>
    </row>
    <row r="9" spans="1:7">
      <c r="A9" s="9" t="s">
        <v>384</v>
      </c>
      <c r="B9" s="15">
        <v>0</v>
      </c>
      <c r="C9" s="20" t="s">
        <v>485</v>
      </c>
      <c r="D9" s="20" t="s">
        <v>485</v>
      </c>
      <c r="E9" s="20" t="s">
        <v>485</v>
      </c>
      <c r="F9" s="20" t="s">
        <v>485</v>
      </c>
      <c r="G9" s="26" t="s">
        <v>485</v>
      </c>
    </row>
    <row r="10" spans="1:7">
      <c r="A10" s="9" t="s">
        <v>394</v>
      </c>
      <c r="B10" s="15">
        <v>0</v>
      </c>
      <c r="C10" s="20" t="s">
        <v>485</v>
      </c>
      <c r="D10" s="20" t="s">
        <v>485</v>
      </c>
      <c r="E10" s="20" t="s">
        <v>485</v>
      </c>
      <c r="F10" s="20" t="s">
        <v>485</v>
      </c>
      <c r="G10" s="26" t="s">
        <v>485</v>
      </c>
    </row>
    <row r="11" spans="1:7">
      <c r="A11" s="39" t="s">
        <v>478</v>
      </c>
      <c r="B11" s="15"/>
      <c r="C11" s="20" t="s">
        <v>485</v>
      </c>
      <c r="D11" s="20" t="s">
        <v>485</v>
      </c>
      <c r="E11" s="20" t="s">
        <v>485</v>
      </c>
      <c r="F11" s="20" t="s">
        <v>485</v>
      </c>
      <c r="G11" s="26" t="s">
        <v>485</v>
      </c>
    </row>
    <row r="12" spans="1:7">
      <c r="A12" s="9" t="s">
        <v>383</v>
      </c>
      <c r="B12" s="15">
        <v>100</v>
      </c>
      <c r="C12" s="20" t="s">
        <v>485</v>
      </c>
      <c r="D12" s="20" t="s">
        <v>485</v>
      </c>
      <c r="E12" s="20" t="s">
        <v>485</v>
      </c>
      <c r="F12" s="20" t="s">
        <v>485</v>
      </c>
      <c r="G12" s="26" t="s">
        <v>485</v>
      </c>
    </row>
    <row r="13" spans="1:7">
      <c r="A13" s="9" t="s">
        <v>384</v>
      </c>
      <c r="B13" s="15">
        <v>0</v>
      </c>
      <c r="C13" s="20" t="s">
        <v>485</v>
      </c>
      <c r="D13" s="20" t="s">
        <v>485</v>
      </c>
      <c r="E13" s="20" t="s">
        <v>485</v>
      </c>
      <c r="F13" s="20" t="s">
        <v>485</v>
      </c>
      <c r="G13" s="26" t="s">
        <v>485</v>
      </c>
    </row>
    <row r="14" spans="1:7">
      <c r="A14" s="9" t="s">
        <v>394</v>
      </c>
      <c r="B14" s="15">
        <v>0</v>
      </c>
      <c r="C14" s="20" t="s">
        <v>485</v>
      </c>
      <c r="D14" s="20" t="s">
        <v>485</v>
      </c>
      <c r="E14" s="20" t="s">
        <v>485</v>
      </c>
      <c r="F14" s="20" t="s">
        <v>485</v>
      </c>
      <c r="G14" s="26" t="s">
        <v>485</v>
      </c>
    </row>
    <row r="15" spans="1:7" ht="30">
      <c r="A15" s="39" t="s">
        <v>479</v>
      </c>
      <c r="B15" s="15"/>
      <c r="C15" s="20" t="s">
        <v>485</v>
      </c>
      <c r="D15" s="20" t="s">
        <v>485</v>
      </c>
      <c r="E15" s="20" t="s">
        <v>485</v>
      </c>
      <c r="F15" s="20" t="s">
        <v>485</v>
      </c>
      <c r="G15" s="26" t="s">
        <v>485</v>
      </c>
    </row>
    <row r="16" spans="1:7">
      <c r="A16" s="9" t="s">
        <v>480</v>
      </c>
      <c r="B16" s="15">
        <v>100</v>
      </c>
      <c r="C16" s="20" t="s">
        <v>485</v>
      </c>
      <c r="D16" s="20" t="s">
        <v>485</v>
      </c>
      <c r="E16" s="20" t="s">
        <v>485</v>
      </c>
      <c r="F16" s="20" t="s">
        <v>485</v>
      </c>
      <c r="G16" s="26" t="s">
        <v>485</v>
      </c>
    </row>
    <row r="17" spans="1:7">
      <c r="A17" s="9" t="s">
        <v>481</v>
      </c>
      <c r="B17" s="15">
        <v>100</v>
      </c>
      <c r="C17" s="20" t="s">
        <v>485</v>
      </c>
      <c r="D17" s="20" t="s">
        <v>485</v>
      </c>
      <c r="E17" s="20" t="s">
        <v>485</v>
      </c>
      <c r="F17" s="20" t="s">
        <v>485</v>
      </c>
      <c r="G17" s="26" t="s">
        <v>485</v>
      </c>
    </row>
    <row r="18" spans="1:7">
      <c r="A18" s="9" t="s">
        <v>482</v>
      </c>
      <c r="B18" s="15">
        <v>0</v>
      </c>
      <c r="C18" s="20" t="s">
        <v>485</v>
      </c>
      <c r="D18" s="20" t="s">
        <v>485</v>
      </c>
      <c r="E18" s="20" t="s">
        <v>485</v>
      </c>
      <c r="F18" s="20" t="s">
        <v>485</v>
      </c>
      <c r="G18" s="26" t="s">
        <v>485</v>
      </c>
    </row>
    <row r="19" spans="1:7">
      <c r="A19" s="9" t="s">
        <v>483</v>
      </c>
      <c r="B19" s="15">
        <v>0</v>
      </c>
      <c r="C19" s="20" t="s">
        <v>485</v>
      </c>
      <c r="D19" s="20" t="s">
        <v>485</v>
      </c>
      <c r="E19" s="20" t="s">
        <v>485</v>
      </c>
      <c r="F19" s="20" t="s">
        <v>485</v>
      </c>
      <c r="G19" s="26" t="s">
        <v>485</v>
      </c>
    </row>
    <row r="20" spans="1:7">
      <c r="A20" s="9" t="s">
        <v>484</v>
      </c>
      <c r="B20" s="15">
        <v>0</v>
      </c>
      <c r="C20" s="20" t="s">
        <v>485</v>
      </c>
      <c r="D20" s="20" t="s">
        <v>485</v>
      </c>
      <c r="E20" s="20" t="s">
        <v>485</v>
      </c>
      <c r="F20" s="20" t="s">
        <v>485</v>
      </c>
      <c r="G20" s="26" t="s">
        <v>485</v>
      </c>
    </row>
    <row r="21" spans="1:7">
      <c r="A21" s="11" t="s">
        <v>247</v>
      </c>
      <c r="B21" s="16">
        <v>0</v>
      </c>
      <c r="C21" s="28" t="s">
        <v>485</v>
      </c>
      <c r="D21" s="28" t="s">
        <v>485</v>
      </c>
      <c r="E21" s="28" t="s">
        <v>485</v>
      </c>
      <c r="F21" s="28" t="s">
        <v>485</v>
      </c>
      <c r="G21" s="29" t="s">
        <v>485</v>
      </c>
    </row>
    <row r="22" spans="1:7" ht="30" customHeight="1">
      <c r="A22" t="s">
        <v>486</v>
      </c>
    </row>
    <row r="23" spans="1:7">
      <c r="A23" t="s">
        <v>94</v>
      </c>
    </row>
    <row r="24" spans="1:7">
      <c r="A24" t="s">
        <v>488</v>
      </c>
    </row>
    <row r="25" spans="1:7">
      <c r="A25" t="s">
        <v>489</v>
      </c>
    </row>
    <row r="26" spans="1:7">
      <c r="A26" t="s">
        <v>490</v>
      </c>
    </row>
    <row r="27" spans="1:7">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5C825E154BF6418B2AF6233B31B98A" ma:contentTypeVersion="8" ma:contentTypeDescription="Create a new document." ma:contentTypeScope="" ma:versionID="dd0b1907b40496270bc72d7357db019e">
  <xsd:schema xmlns:xsd="http://www.w3.org/2001/XMLSchema" xmlns:xs="http://www.w3.org/2001/XMLSchema" xmlns:p="http://schemas.microsoft.com/office/2006/metadata/properties" xmlns:ns2="40b48965-5b74-4088-b430-b5b4d24607f5" xmlns:ns3="fc59b0ed-4470-448c-82fe-ce7472394354" targetNamespace="http://schemas.microsoft.com/office/2006/metadata/properties" ma:root="true" ma:fieldsID="2bc1bfe2217d08cc824ae521adfe65de" ns2:_="" ns3:_="">
    <xsd:import namespace="40b48965-5b74-4088-b430-b5b4d24607f5"/>
    <xsd:import namespace="fc59b0ed-4470-448c-82fe-ce7472394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b48965-5b74-4088-b430-b5b4d24607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59b0ed-4470-448c-82fe-ce747239435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b6a5190f-ebbd-42e3-bc8b-869af9a80cc9"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141B6E-78F2-4D60-B598-26674A1F6E41}"/>
</file>

<file path=customXml/itemProps2.xml><?xml version="1.0" encoding="utf-8"?>
<ds:datastoreItem xmlns:ds="http://schemas.openxmlformats.org/officeDocument/2006/customXml" ds:itemID="{9C523865-C5BA-4ED6-B635-19475C341787}"/>
</file>

<file path=customXml/itemProps3.xml><?xml version="1.0" encoding="utf-8"?>
<ds:datastoreItem xmlns:ds="http://schemas.openxmlformats.org/officeDocument/2006/customXml" ds:itemID="{ABBA29B7-B258-4739-94FC-A4D07EC48121}"/>
</file>

<file path=customXml/itemProps4.xml><?xml version="1.0" encoding="utf-8"?>
<ds:datastoreItem xmlns:ds="http://schemas.openxmlformats.org/officeDocument/2006/customXml" ds:itemID="{9E426631-6DFD-439E-9650-0CB0886A3F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Contents</vt:lpstr>
      <vt:lpstr>Technical Information</vt:lpstr>
      <vt:lpstr>Sample</vt:lpstr>
      <vt:lpstr>Table 1</vt:lpstr>
      <vt:lpstr>Table 2</vt:lpstr>
      <vt:lpstr>Table 3</vt:lpstr>
      <vt:lpstr>Table 4</vt:lpstr>
      <vt:lpstr>Table 5</vt:lpstr>
      <vt:lpstr>Table 6</vt:lpstr>
      <vt:lpstr>Table 7a</vt:lpstr>
      <vt:lpstr>Table 7b</vt:lpstr>
      <vt:lpstr>Table 7c</vt:lpstr>
      <vt:lpstr>Table 8a</vt:lpstr>
      <vt:lpstr>Table 8b</vt:lpstr>
      <vt:lpstr>Table 8c</vt:lpstr>
      <vt:lpstr>Table 9a</vt:lpstr>
      <vt:lpstr>Table 9b</vt:lpstr>
      <vt:lpstr>Table 9c</vt:lpstr>
      <vt:lpstr>Table 10a</vt:lpstr>
      <vt:lpstr>Table 10b</vt:lpstr>
      <vt:lpstr>Table 10c</vt:lpstr>
      <vt:lpstr>Table 11a</vt:lpstr>
      <vt:lpstr>Table 11b</vt:lpstr>
      <vt:lpstr>Table 11c</vt:lpstr>
      <vt:lpstr>Table 12a</vt:lpstr>
      <vt:lpstr>Table 12b</vt:lpstr>
      <vt:lpstr>Table 12c</vt:lpstr>
      <vt:lpstr>Table 13a</vt:lpstr>
      <vt:lpstr>Table 13b</vt:lpstr>
      <vt:lpstr>Table 13c</vt:lpstr>
      <vt:lpstr>Table 14a</vt:lpstr>
      <vt:lpstr>Table 14b</vt:lpstr>
      <vt:lpstr>Table 15a</vt:lpstr>
      <vt:lpstr>Table 15b</vt:lpstr>
      <vt:lpstr>Table 16a</vt:lpstr>
      <vt:lpstr>Table 16b</vt:lpstr>
      <vt:lpstr>Table P1</vt:lpstr>
      <vt:lpstr>Table P2</vt:lpstr>
      <vt:lpstr>Table P3</vt:lpstr>
      <vt:lpstr>Table P4</vt:lpstr>
      <vt:lpstr>Table P5</vt:lpstr>
      <vt:lpstr>Table P6</vt:lpstr>
      <vt:lpstr>Table P7</vt:lpstr>
      <vt:lpstr>Table P8</vt:lpstr>
      <vt:lpstr>Table P9</vt:lpstr>
      <vt:lpstr>Table S1</vt:lpstr>
      <vt:lpstr>Table S2</vt:lpstr>
      <vt:lpstr>Table S3</vt:lpstr>
      <vt:lpstr>Table S4</vt:lpstr>
      <vt:lpstr>Table S5</vt:lpstr>
      <vt:lpstr>Table S6</vt:lpstr>
      <vt:lpstr>Table S7</vt:lpstr>
      <vt:lpstr>Table S8</vt:lpstr>
      <vt:lpstr>Table S9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HRandall</dc:creator>
  <cp:lastModifiedBy>Hayley Randall</cp:lastModifiedBy>
  <dcterms:created xsi:type="dcterms:W3CDTF">2022-11-18T14:51:31Z</dcterms:created>
  <dcterms:modified xsi:type="dcterms:W3CDTF">2022-11-18T14:52:04Z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0x010100755C825E154BF6418B2AF6233B31B98A</vt:lpwstr>
  </property>
</Properties>
</file>