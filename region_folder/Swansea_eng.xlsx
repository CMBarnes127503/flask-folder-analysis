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26.xml" ContentType="application/vnd.openxmlformats-officedocument.spreadsheetml.table+xml"/>
  <Override PartName="/xl/tables/table25.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24.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dataunit-my.sharepoint.com/personal/hrandall_dataunitwales_gov_uk/Documents/Desktop/SportWales/Final/LA/English/"/>
    </mc:Choice>
  </mc:AlternateContent>
  <xr:revisionPtr revIDLastSave="0" documentId="8_{20CE8684-E1EA-4E9F-B5C2-78AEB035E53F}" xr6:coauthVersionLast="47" xr6:coauthVersionMax="47" xr10:uidLastSave="{00000000-0000-0000-0000-000000000000}"/>
  <bookViews>
    <workbookView xWindow="33375" yWindow="-9135" windowWidth="4860" windowHeight="2400" xr2:uid="{00000000-000D-0000-FFFF-FFFF00000000}"/>
  </bookViews>
  <sheets>
    <sheet name="Contents" sheetId="1" r:id="rId1"/>
    <sheet name="Technical Information" sheetId="2" r:id="rId2"/>
    <sheet name="Sample" sheetId="3" r:id="rId3"/>
    <sheet name="Table 1" sheetId="4" r:id="rId4"/>
    <sheet name="Table 2" sheetId="5" r:id="rId5"/>
    <sheet name="Table 3" sheetId="6" r:id="rId6"/>
    <sheet name="Table 4" sheetId="7" r:id="rId7"/>
    <sheet name="Table 5" sheetId="8" r:id="rId8"/>
    <sheet name="Table 6" sheetId="9" r:id="rId9"/>
    <sheet name="Table 7a" sheetId="10" r:id="rId10"/>
    <sheet name="Table 7b" sheetId="11" r:id="rId11"/>
    <sheet name="Table 7c" sheetId="12" r:id="rId12"/>
    <sheet name="Table 8a" sheetId="13" r:id="rId13"/>
    <sheet name="Table 8b" sheetId="14" r:id="rId14"/>
    <sheet name="Table 8c" sheetId="15" r:id="rId15"/>
    <sheet name="Table 9a" sheetId="16" r:id="rId16"/>
    <sheet name="Table 9b" sheetId="17" r:id="rId17"/>
    <sheet name="Table 9c" sheetId="18" r:id="rId18"/>
    <sheet name="Table 10a" sheetId="19" r:id="rId19"/>
    <sheet name="Table 10b" sheetId="20" r:id="rId20"/>
    <sheet name="Table 10c" sheetId="21" r:id="rId21"/>
    <sheet name="Table 11a" sheetId="22" r:id="rId22"/>
    <sheet name="Table 11b" sheetId="23" r:id="rId23"/>
    <sheet name="Table 11c" sheetId="24" r:id="rId24"/>
    <sheet name="Table 12a" sheetId="25" r:id="rId25"/>
    <sheet name="Table 12b" sheetId="26" r:id="rId26"/>
    <sheet name="Table 12c" sheetId="27" r:id="rId27"/>
    <sheet name="Table 13a" sheetId="28" r:id="rId28"/>
    <sheet name="Table 13b" sheetId="29" r:id="rId29"/>
    <sheet name="Table 13c" sheetId="30" r:id="rId30"/>
    <sheet name="Table 14a" sheetId="31" r:id="rId31"/>
    <sheet name="Table 14b" sheetId="32" r:id="rId32"/>
    <sheet name="Table 15a" sheetId="33" r:id="rId33"/>
    <sheet name="Table 15b" sheetId="34" r:id="rId34"/>
    <sheet name="Table 16a" sheetId="35" r:id="rId35"/>
    <sheet name="Table 16b" sheetId="36" r:id="rId36"/>
    <sheet name="Table P1" sheetId="37" r:id="rId37"/>
    <sheet name="Table P2" sheetId="38" r:id="rId38"/>
    <sheet name="Table P3" sheetId="39" r:id="rId39"/>
    <sheet name="Table P4" sheetId="40" r:id="rId40"/>
    <sheet name="Table P5" sheetId="41" r:id="rId41"/>
    <sheet name="Table P6" sheetId="42" r:id="rId42"/>
    <sheet name="Table P7" sheetId="43" r:id="rId43"/>
    <sheet name="Table P8" sheetId="44" r:id="rId44"/>
    <sheet name="Table P9" sheetId="45" r:id="rId45"/>
    <sheet name="Table S1" sheetId="46" r:id="rId46"/>
    <sheet name="Table S2" sheetId="47" r:id="rId47"/>
    <sheet name="Table S3" sheetId="48" r:id="rId48"/>
    <sheet name="Table S4" sheetId="49" r:id="rId49"/>
    <sheet name="Table S5" sheetId="50" r:id="rId50"/>
    <sheet name="Table S6" sheetId="51" r:id="rId51"/>
    <sheet name="Table S7" sheetId="52" r:id="rId52"/>
    <sheet name="Table S8" sheetId="53" r:id="rId53"/>
    <sheet name="Table S9" sheetId="54" r:id="rId5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54" l="1"/>
  <c r="A28" i="53"/>
  <c r="A32" i="52"/>
  <c r="A32" i="51"/>
  <c r="A25" i="50"/>
  <c r="A19" i="49"/>
  <c r="A61" i="48"/>
  <c r="A61" i="47"/>
  <c r="A18" i="46"/>
  <c r="A27" i="45"/>
  <c r="A28" i="44"/>
  <c r="A32" i="43"/>
  <c r="A32" i="42"/>
  <c r="A25" i="41"/>
  <c r="A19" i="40"/>
  <c r="A61" i="39"/>
  <c r="A61" i="38"/>
  <c r="A31" i="37"/>
  <c r="A14" i="36"/>
  <c r="A13" i="35"/>
  <c r="A29" i="34"/>
  <c r="A28" i="33"/>
  <c r="A44" i="32"/>
  <c r="A43" i="31"/>
  <c r="A71" i="30"/>
  <c r="A71" i="29"/>
  <c r="A70" i="28"/>
  <c r="A71" i="27"/>
  <c r="A71" i="26"/>
  <c r="A70" i="25"/>
  <c r="A70" i="24"/>
  <c r="A23" i="23"/>
  <c r="A71" i="22"/>
  <c r="A71" i="21"/>
  <c r="A70" i="20"/>
  <c r="A43" i="19"/>
  <c r="A71" i="18"/>
  <c r="A70" i="17"/>
  <c r="A43" i="16"/>
  <c r="A71" i="15"/>
  <c r="A70" i="14"/>
  <c r="A43" i="13"/>
  <c r="A71" i="12"/>
  <c r="A70" i="11"/>
  <c r="A43" i="10"/>
  <c r="A43" i="9"/>
  <c r="A43" i="8"/>
  <c r="A43" i="7"/>
  <c r="A43" i="6"/>
  <c r="A68" i="5"/>
  <c r="A68" i="4"/>
  <c r="A60" i="1"/>
  <c r="A59" i="1"/>
  <c r="A58" i="1"/>
  <c r="A57" i="1"/>
  <c r="A56" i="1"/>
  <c r="A55" i="1"/>
  <c r="A54" i="1"/>
  <c r="A53" i="1"/>
  <c r="A52" i="1"/>
  <c r="A51" i="1"/>
  <c r="A50" i="1"/>
  <c r="A49" i="1"/>
  <c r="A48" i="1"/>
  <c r="A47" i="1"/>
  <c r="A46" i="1"/>
  <c r="A45" i="1"/>
  <c r="A44" i="1"/>
  <c r="A43" i="1"/>
  <c r="A41" i="1"/>
  <c r="A40" i="1"/>
  <c r="A39" i="1"/>
  <c r="A38" i="1"/>
  <c r="A37" i="1"/>
  <c r="A36" i="1"/>
  <c r="A34" i="1"/>
  <c r="A33" i="1"/>
  <c r="A32" i="1"/>
  <c r="A31" i="1"/>
  <c r="A30" i="1"/>
  <c r="A29" i="1"/>
  <c r="A27" i="1"/>
  <c r="A26" i="1"/>
  <c r="A25" i="1"/>
  <c r="A23" i="1"/>
  <c r="A22" i="1"/>
  <c r="A21" i="1"/>
  <c r="A20" i="1"/>
  <c r="A19" i="1"/>
  <c r="A18" i="1"/>
  <c r="A17" i="1"/>
  <c r="A16" i="1"/>
  <c r="A15" i="1"/>
  <c r="A14" i="1"/>
  <c r="A13" i="1"/>
  <c r="A12" i="1"/>
  <c r="A10" i="1"/>
  <c r="A9" i="1"/>
  <c r="A8" i="1"/>
  <c r="A7" i="1"/>
  <c r="A6" i="1"/>
  <c r="A4" i="1"/>
</calcChain>
</file>

<file path=xl/sharedStrings.xml><?xml version="1.0" encoding="utf-8"?>
<sst xmlns="http://schemas.openxmlformats.org/spreadsheetml/2006/main" count="12974" uniqueCount="553">
  <si>
    <t>Technical notes about these tables</t>
  </si>
  <si>
    <t>Notes</t>
  </si>
  <si>
    <t xml:space="preserve"> </t>
  </si>
  <si>
    <t>Time period</t>
  </si>
  <si>
    <t>Unless otherwise stated, all measures refer to participation undertaken in the school year of September 2021 to July 2022.</t>
  </si>
  <si>
    <t>Areas</t>
  </si>
  <si>
    <t>Geographical areas reported in these tables combine the following local authority areas:
Regional Sports Partnership: North Wales - Isle of Anglesey, Gwynedd, Conwy, Denbighshire, Flintshire and Wrexham
Regional Sports Partnership: Mid Wales - Powys and Ceredigion
Regional Sports Partnership: West Wales - Pembrokeshire, Carmarthenshire, Swansea and Neath Port Talbot
Regional Sports Partnership: Central South - Bridgend, The Vale of Glamorgan, Cardiff, Rhondda Cynon Taf and Merthyr Tydfil
Regional Sports Partnership: Gwent - Caerphilly, Blaenau Gwent, Torfaen, Monmouthshire and Newport</t>
  </si>
  <si>
    <t>Margin of error</t>
  </si>
  <si>
    <t>The margin of error is one way to show how close a sample statistic is to the population statistic, meaning it is possible to estimate how well the sample represents the entire population of the survey. 
Specifically, the margin of error statistic represents the range of values within which the population statistic is estimated to lie. For example, a margin of error of 2% around an estimated result of 10 means that we expect the population statistic to be between 9.8 and 10.2. 
The higher the margin of error the further the observed (sample) result is likely to be from the estimated population result. A margin of error of 0 refers to a sample size equal to the size of the population. 
The margin of error is calculated using the unweighted sample size and has only been calculated when both the sample and population sizes are available.
It is generally acceped that a sample with a margin of error below 5% will produce statistics quite close to those of the population. A sample with a margin of error below 1% will produce statistics very close to those of the population.</t>
  </si>
  <si>
    <t>Robustness of estimates</t>
  </si>
  <si>
    <t>To ensure that the School Sport Survey estimates quoted in this bulletin are robust, we have calculated the margin of error for each demographic and geographic breakdown. The margin of error has been calculated for each breakdown using the respective sample size and population size, using data from the Pupil Level Annual School Census (PLASC).</t>
  </si>
  <si>
    <t>Data cleaning</t>
  </si>
  <si>
    <t>Pupils were asked their year group and their age and in some cases the age group and age of a respondent didn't align. In these cases supporting data was used to determine whether the year group or age group was incorrect. If the correct year group could not be found then the response was removed.
Due to there not being a Special Education Needs (SEN) school within each local authority, the responses from pupils who attend SEN schools have been removed from any sub-national breakdown. These responses are included in Wales level statistics.</t>
  </si>
  <si>
    <t>Sample statistics</t>
  </si>
  <si>
    <t>Breakdown</t>
  </si>
  <si>
    <t>Unweighted sample size</t>
  </si>
  <si>
    <t>Population size</t>
  </si>
  <si>
    <t>Response rate</t>
  </si>
  <si>
    <t>Wales</t>
  </si>
  <si>
    <t>Regional Sport Partnership: West Wales</t>
  </si>
  <si>
    <t>Swansea</t>
  </si>
  <si>
    <t>Swansea demographic breakdown:</t>
  </si>
  <si>
    <t>Gender</t>
  </si>
  <si>
    <t>Boy</t>
  </si>
  <si>
    <t>Girl</t>
  </si>
  <si>
    <t>Pupils identifying as 'Other'</t>
  </si>
  <si>
    <t>I do not want to say</t>
  </si>
  <si>
    <t>Year group</t>
  </si>
  <si>
    <t>Years 3 and 4</t>
  </si>
  <si>
    <t>Years 5 and 6</t>
  </si>
  <si>
    <t>Years 7 to 9</t>
  </si>
  <si>
    <t>Years 10 and 11</t>
  </si>
  <si>
    <t>Broad year groups</t>
  </si>
  <si>
    <t>Years 3 to 6</t>
  </si>
  <si>
    <t>Years 7 to 11</t>
  </si>
  <si>
    <t>Ethnicity</t>
  </si>
  <si>
    <t>White</t>
  </si>
  <si>
    <t xml:space="preserve"> - Welsh, English, Scottish, Northern Irish or British</t>
  </si>
  <si>
    <t xml:space="preserve"> - Irish</t>
  </si>
  <si>
    <t xml:space="preserve"> - Gypsy or Irish Traveller</t>
  </si>
  <si>
    <t xml:space="preserve"> - Roma</t>
  </si>
  <si>
    <t xml:space="preserve"> - Any other White background</t>
  </si>
  <si>
    <t>Mixed / Multiple ethnic group</t>
  </si>
  <si>
    <t xml:space="preserve"> - White and Black Caribbean</t>
  </si>
  <si>
    <t xml:space="preserve"> - White and Black African</t>
  </si>
  <si>
    <t xml:space="preserve"> - White and Asian</t>
  </si>
  <si>
    <t xml:space="preserve"> - Any other Mixed or Multiple background</t>
  </si>
  <si>
    <t>Asian / Asian Welsh / Asian British</t>
  </si>
  <si>
    <t xml:space="preserve"> - Indian</t>
  </si>
  <si>
    <t xml:space="preserve"> - Pakistani</t>
  </si>
  <si>
    <t xml:space="preserve"> - Bangladeshi</t>
  </si>
  <si>
    <t xml:space="preserve"> - Chinese</t>
  </si>
  <si>
    <t xml:space="preserve"> - Any other Asian background</t>
  </si>
  <si>
    <t>Black / Black Welsh / Black British / Caribbean / African</t>
  </si>
  <si>
    <t xml:space="preserve"> - Caribbean</t>
  </si>
  <si>
    <t xml:space="preserve"> - African background</t>
  </si>
  <si>
    <t xml:space="preserve"> - Any other Black, Black British or Caribbean background</t>
  </si>
  <si>
    <t>Other ethnic group</t>
  </si>
  <si>
    <t xml:space="preserve"> - Arab</t>
  </si>
  <si>
    <t xml:space="preserve"> - Any other ethnic group</t>
  </si>
  <si>
    <t>I don't want to say</t>
  </si>
  <si>
    <t>Disability or impairment</t>
  </si>
  <si>
    <t>Any disability or impairment</t>
  </si>
  <si>
    <t>No disability or impairment</t>
  </si>
  <si>
    <t>Learning difficulty</t>
  </si>
  <si>
    <t>Any learning difficulty</t>
  </si>
  <si>
    <t>No learning difficulty</t>
  </si>
  <si>
    <t>Free School Meal (FSM) quartile</t>
  </si>
  <si>
    <t>FSM 1 - (low level of free school meal eligibility)</t>
  </si>
  <si>
    <t>FSM 2</t>
  </si>
  <si>
    <t>FSM 3</t>
  </si>
  <si>
    <t>FSM 4 - (high level of free school meal eligibility)</t>
  </si>
  <si>
    <t>Welsh speaker</t>
  </si>
  <si>
    <t>Speaks Welsh</t>
  </si>
  <si>
    <t>Does not speak Welsh</t>
  </si>
  <si>
    <t>Gender by broad year groups</t>
  </si>
  <si>
    <t>Boy: Years 3 to 6</t>
  </si>
  <si>
    <t>Boy: Years 7 to 11</t>
  </si>
  <si>
    <t>Girl: Years 3 to 6</t>
  </si>
  <si>
    <t>Girl: Years 7 to 11</t>
  </si>
  <si>
    <t>-</t>
  </si>
  <si>
    <t>Population figures for ethnicities are rounded to the nearest 5. Numbers less than 5 are suppressed.</t>
  </si>
  <si>
    <t>Table 1: Key Indicators in Swansea - by protected characteristic (percentage of pupils)</t>
  </si>
  <si>
    <t>% of pupils who participate in at least three occasions of sport per week</t>
  </si>
  <si>
    <t>% of pupils who enjoy PE lessons 'a lot'</t>
  </si>
  <si>
    <t>% of pupils who are confident in trying new sports</t>
  </si>
  <si>
    <t>% of pupils who think PE lessons and school sport help them 'a lot' to have a healthy lifestyle</t>
  </si>
  <si>
    <t>% of pupils who think that pupils' ideas about PE and school sport are listened to 'always'</t>
  </si>
  <si>
    <t>% of pupils who participate in sport in a community club at least once per week</t>
  </si>
  <si>
    <t>FSM 1</t>
  </si>
  <si>
    <t>FSM 4</t>
  </si>
  <si>
    <r>
      <t>Speaks Welsh</t>
    </r>
    <r>
      <rPr>
        <vertAlign val="superscript"/>
        <sz val="12"/>
        <rFont val="Arial"/>
      </rPr>
      <t>i</t>
    </r>
    <r>
      <rPr>
        <sz val="12"/>
        <color rgb="FF000000"/>
        <rFont val="Arial"/>
      </rPr>
      <t/>
    </r>
  </si>
  <si>
    <r>
      <rPr>
        <vertAlign val="superscript"/>
        <sz val="12"/>
        <rFont val="Arial"/>
      </rPr>
      <t>i</t>
    </r>
    <r>
      <rPr>
        <sz val="12"/>
        <color rgb="FF000000"/>
        <rFont val="Arial"/>
      </rPr>
      <t>Speaks Welsh - Includes being a fluent Welsh speaker, or can chat confidently or simply in Welsh.</t>
    </r>
  </si>
  <si>
    <t>- School level data are suppressed below 5 responses, all other data are suppressed below 30 responses.</t>
  </si>
  <si>
    <t>Source: School Sport Survey 2022</t>
  </si>
  <si>
    <t>Base: total number of survey responses in Wales is  115,167</t>
  </si>
  <si>
    <t>Base: total number of survey responses in Regional Sport Partnership: West Wales is  24,572</t>
  </si>
  <si>
    <t>Base: total number of survey responses in Swansea is  5,894</t>
  </si>
  <si>
    <t>Table 2: Number of occasions of participation per week in Swansea by protected characteristic</t>
  </si>
  <si>
    <t>No frequent activity</t>
  </si>
  <si>
    <t>Once per week</t>
  </si>
  <si>
    <t>Twice per week</t>
  </si>
  <si>
    <t>Three times a week or more</t>
  </si>
  <si>
    <t>Table 3: Three or more occasions of activity per week in Swansea (FG Indicator 38) - by school, year groups and gender (percentage of pupils)</t>
  </si>
  <si>
    <t>All</t>
  </si>
  <si>
    <t>All:
Years 3 to 6</t>
  </si>
  <si>
    <t>All:
Years 7 to 11</t>
  </si>
  <si>
    <t>Boy:
Years 3 to 6</t>
  </si>
  <si>
    <t>Boy:
Years 7 to 11</t>
  </si>
  <si>
    <t>Girl:
Years 3 to 6</t>
  </si>
  <si>
    <t>Girl:
Years 7 to 11</t>
  </si>
  <si>
    <t>Pupils identifying as 'Other':
Years 3 to 6</t>
  </si>
  <si>
    <t>Pupils identifying as 'Other':
Years 7 to 11</t>
  </si>
  <si>
    <t>I do not want to say:
Years 3 to 6</t>
  </si>
  <si>
    <t>I do not want to say:
Years 7 to 11</t>
  </si>
  <si>
    <t>Primary in Swansea: 
Years 3 to 6</t>
  </si>
  <si>
    <t>Bishopston Primary School</t>
  </si>
  <si>
    <t>Casllwchwr Primary School</t>
  </si>
  <si>
    <t>Clwyd Primary School</t>
  </si>
  <si>
    <t>Gowerton Primary School</t>
  </si>
  <si>
    <t>Grange Primary School</t>
  </si>
  <si>
    <t>Knelston Primary</t>
  </si>
  <si>
    <t>Newton Primary School</t>
  </si>
  <si>
    <t>Oystermouth Primary School</t>
  </si>
  <si>
    <t>Penclawdd Primary School</t>
  </si>
  <si>
    <t>Pennard Primary</t>
  </si>
  <si>
    <t>Pen-y-Fro</t>
  </si>
  <si>
    <t>Pontarddulais Primary School</t>
  </si>
  <si>
    <t>Pontlliw Primary</t>
  </si>
  <si>
    <t>Portmead Primary School</t>
  </si>
  <si>
    <t>Sea View Primary School</t>
  </si>
  <si>
    <t>Townhill Primary School</t>
  </si>
  <si>
    <t>Y.G.G. Bryniago</t>
  </si>
  <si>
    <t>Y.G.G. Gellionnen</t>
  </si>
  <si>
    <t>Y.G.G. Pontybrenin</t>
  </si>
  <si>
    <t>Ysgol Gymraeg Lon Las</t>
  </si>
  <si>
    <t>Ysgol Gymraeg y Login Fach</t>
  </si>
  <si>
    <t>Secondary in Swansea: 
Years 7 to 11</t>
  </si>
  <si>
    <t>Birchgrove</t>
  </si>
  <si>
    <t>Bishopston Comprehensive</t>
  </si>
  <si>
    <t>Dylan Thomas Community School</t>
  </si>
  <si>
    <t>Morriston Comprehensive</t>
  </si>
  <si>
    <t>Olchfa School</t>
  </si>
  <si>
    <t>Pentrehafod School</t>
  </si>
  <si>
    <t>Ysgol Gyfun Gwyr</t>
  </si>
  <si>
    <t>Ysgol Pen-y-Bryn (years 7 to 11)</t>
  </si>
  <si>
    <t>Schools that did not have a representative number of boys and girls from each year group complete the survey have not been included.</t>
  </si>
  <si>
    <t>Table 4: Number of occasions of participation per week in Swansea (percentage of pupils)</t>
  </si>
  <si>
    <t>Table 5: Frequent participation in extracurricular sport in Swansea - at least once a week (percentage of pupils)</t>
  </si>
  <si>
    <t>Table 6: Frequent participation in community sport outside of school in Swansea - at least once a week (percentage of pupils)</t>
  </si>
  <si>
    <t>Table 7a: Any participation in sport in the last year in Swansea - any setting (percentage of pupils)</t>
  </si>
  <si>
    <t>Table 7b: Any participation in sport in the last year in Swansea - any setting - by sport (percentage of pupils)</t>
  </si>
  <si>
    <t>Archery</t>
  </si>
  <si>
    <t>Athletics</t>
  </si>
  <si>
    <t>Badminton</t>
  </si>
  <si>
    <t>Basketball</t>
  </si>
  <si>
    <t>BMX</t>
  </si>
  <si>
    <t>Boccia</t>
  </si>
  <si>
    <t>Bowls (not ten-pin bowling)</t>
  </si>
  <si>
    <t>Boxing</t>
  </si>
  <si>
    <t>Canoeing or Kayaking</t>
  </si>
  <si>
    <t>Caving</t>
  </si>
  <si>
    <t>Cheerleading</t>
  </si>
  <si>
    <t>Climbing</t>
  </si>
  <si>
    <t>Cricket</t>
  </si>
  <si>
    <t>Curling</t>
  </si>
  <si>
    <t>Cycling</t>
  </si>
  <si>
    <t>Dance</t>
  </si>
  <si>
    <t>Dodgeball</t>
  </si>
  <si>
    <t>Fencing</t>
  </si>
  <si>
    <t>Field Hockey</t>
  </si>
  <si>
    <t>Fishing or Angling</t>
  </si>
  <si>
    <t>Fitness classes (e.g. aerobics, yoga, circuits)</t>
  </si>
  <si>
    <t>Football</t>
  </si>
  <si>
    <t>Goalball</t>
  </si>
  <si>
    <t>Golf</t>
  </si>
  <si>
    <t>Gymnastics</t>
  </si>
  <si>
    <t>Horse Riding</t>
  </si>
  <si>
    <t>Ice Hockey</t>
  </si>
  <si>
    <t>Judo</t>
  </si>
  <si>
    <t>Karate</t>
  </si>
  <si>
    <t>Lacrosse</t>
  </si>
  <si>
    <t>Lifesaving</t>
  </si>
  <si>
    <t>Motor sports</t>
  </si>
  <si>
    <t>Mountain biking</t>
  </si>
  <si>
    <t>Netball</t>
  </si>
  <si>
    <t>Paddleboarding</t>
  </si>
  <si>
    <t>Parkour</t>
  </si>
  <si>
    <t>Pool or Snooker</t>
  </si>
  <si>
    <t>Roller sports</t>
  </si>
  <si>
    <t>Rounders or Baseball or Softball</t>
  </si>
  <si>
    <t>Rowing</t>
  </si>
  <si>
    <t>Rugby</t>
  </si>
  <si>
    <t>Running or jogging</t>
  </si>
  <si>
    <t>Sailing</t>
  </si>
  <si>
    <t>Skateboarding</t>
  </si>
  <si>
    <t>Snowsports</t>
  </si>
  <si>
    <t>Squash</t>
  </si>
  <si>
    <t>Surfing</t>
  </si>
  <si>
    <t>Swimming</t>
  </si>
  <si>
    <t>Table tennis</t>
  </si>
  <si>
    <t>Target shooting</t>
  </si>
  <si>
    <t>Tennis or short tennis</t>
  </si>
  <si>
    <t>Trampolining</t>
  </si>
  <si>
    <t>Triathlon</t>
  </si>
  <si>
    <t>Volleyball</t>
  </si>
  <si>
    <t>Water Polo</t>
  </si>
  <si>
    <t>Weightlifting</t>
  </si>
  <si>
    <t>Wheelchair Basketball</t>
  </si>
  <si>
    <t>Wheelchair Rugby</t>
  </si>
  <si>
    <t>Wheelchair Tennis</t>
  </si>
  <si>
    <t>Windsurfing</t>
  </si>
  <si>
    <t>Wrestling</t>
  </si>
  <si>
    <t>Other sports</t>
  </si>
  <si>
    <t>Table 7c: Any participation in sport in the last year in Swansea - any setting - by sport, by school (percentage of pupils)</t>
  </si>
  <si>
    <t>Table 8a: Any participation in sport in the last year in Swansea - Extracurricular sport (percentage of pupils)</t>
  </si>
  <si>
    <t>Table 8b: Any participation in sport in the last year in Swansea - Extracurricular sport - by sport (percentage of pupils)</t>
  </si>
  <si>
    <t>Table 8c: Any participation in sport in the last year in Swansea - Extracurricular sport - by sport, by school (percentage of pupils)</t>
  </si>
  <si>
    <t>Table 9a: Any participation in sport in the last year in Swansea - Community club outside of school (percentage of pupils)</t>
  </si>
  <si>
    <t>Table 9b: Any participation in sport in the last year in Swansea - Community club outside of school - by sport (percentage of pupils)</t>
  </si>
  <si>
    <t>Table 9c: Any participation in sport in the last year in Swansea - Community club outside of school - by sport, by school (percentage of pupils)</t>
  </si>
  <si>
    <t>Table 10a: Any participation in sport in the last year in Swansea - Other settings outside of school (percentage of pupils)</t>
  </si>
  <si>
    <t>Table 10b: Any participation in sport in the last year in Swansea - Other settings outside of school - by sport (percentage of pupils)</t>
  </si>
  <si>
    <t>Table 10c: Any participation in sport in the last year in Swansea - Other settings outside of school - by sport, by school (percentage of pupils)</t>
  </si>
  <si>
    <t>Table 11a: Any participation - pupil has a disability or impairment (percentage of pupils)</t>
  </si>
  <si>
    <t>Table 11b: Any participation - pupil has a disability or impairment (percentage of pupils)</t>
  </si>
  <si>
    <t>For the sports I do, I normally take part in them.</t>
  </si>
  <si>
    <t>Using a wheelchair (only for sport)</t>
  </si>
  <si>
    <t>Using a wheelchair (for sport and at school)</t>
  </si>
  <si>
    <t>Using a power chair</t>
  </si>
  <si>
    <t xml:space="preserve">Seated on the floor or on a chair </t>
  </si>
  <si>
    <t>Standing</t>
  </si>
  <si>
    <t>With support from another person</t>
  </si>
  <si>
    <t>With a person who is my guide</t>
  </si>
  <si>
    <t xml:space="preserve">Using British Sign Language (BSL) for communication </t>
  </si>
  <si>
    <t>Using Makaton for communication</t>
  </si>
  <si>
    <t>Using a prosthetic, like a blade or arm</t>
  </si>
  <si>
    <t>Using equipment, like a frame or walking aid</t>
  </si>
  <si>
    <t>Other</t>
  </si>
  <si>
    <t xml:space="preserve">Prefer not to say </t>
  </si>
  <si>
    <t>Table 11c: Any particpation - pupil has a disability or impairment (percentage of pupils)</t>
  </si>
  <si>
    <t>Seated (using a chair or on the floor)</t>
  </si>
  <si>
    <t>Supported by a person who is my guide/another person</t>
  </si>
  <si>
    <t>Using Makaton/British Sign Language</t>
  </si>
  <si>
    <t>Prefer not to say</t>
  </si>
  <si>
    <t>Table 12a: Latent demand in Swansea, by sport (percentage of pupils)</t>
  </si>
  <si>
    <t>Table 12b: Latent demand in Swansea - by sport, by school (percentage of pupils)</t>
  </si>
  <si>
    <t>Table 12c: Latent demand - pupil has a disability or impairment (percentage of pupils)</t>
  </si>
  <si>
    <t>Table 13a: Unmet demand in Swansea, by sport (percentage of pupils)</t>
  </si>
  <si>
    <t>Table 13b: Unmet demand in Swansea - by sport, by school (percentage of pupils)</t>
  </si>
  <si>
    <t>Table 13c: Unmet demand - pupil has a disability or impairment (percentage of pupils)</t>
  </si>
  <si>
    <t>Table 14a: Motivation and attitudes in Swansea (percentage of pupils)</t>
  </si>
  <si>
    <t>How much do you think PE lessons and sport help you to have a healthy lifestyle?  </t>
  </si>
  <si>
    <t>A lot    </t>
  </si>
  <si>
    <t>A little    </t>
  </si>
  <si>
    <t>Not at all    </t>
  </si>
  <si>
    <t>I do not know</t>
  </si>
  <si>
    <t>How often do you feel your ideas about PE and school sport are listened to?</t>
  </si>
  <si>
    <t>Always    </t>
  </si>
  <si>
    <t>Sometimes    </t>
  </si>
  <si>
    <t>Never   </t>
  </si>
  <si>
    <t>I do not have ideas that I want to share  </t>
  </si>
  <si>
    <t>I do not know how to share my ideas</t>
  </si>
  <si>
    <t>How much do you enjoy PE lessons?   </t>
  </si>
  <si>
    <t>A lot  </t>
  </si>
  <si>
    <t>A little  </t>
  </si>
  <si>
    <t>Not at all  </t>
  </si>
  <si>
    <t>How much do you enjoy doing sport at after-school or lunchtime clubs?   </t>
  </si>
  <si>
    <t>A little </t>
  </si>
  <si>
    <t>I do not do sport after-school or in lunchtime clubs </t>
  </si>
  <si>
    <t>How much do you enjoy doing sport in a community club, when you are not at school?   </t>
  </si>
  <si>
    <t>I do not do sport when I am not at school </t>
  </si>
  <si>
    <t>How much do you enjoy doing sport somewhere else that is outside of school and community clubs?</t>
  </si>
  <si>
    <t>I do not do sport when I am not at school   </t>
  </si>
  <si>
    <t>How confident are you in trying new sports?  </t>
  </si>
  <si>
    <t>Very confident    </t>
  </si>
  <si>
    <t>Quite confident    </t>
  </si>
  <si>
    <t>Not very confident    </t>
  </si>
  <si>
    <t>Not confident at all</t>
  </si>
  <si>
    <t>Table 14b: Motivation and attitudes in Swansea (percentage of pupils)</t>
  </si>
  <si>
    <t>Table 15a: Motivation and attitudes in Swansea (percentage of pupils)</t>
  </si>
  <si>
    <t>I would do more sport if... (tick all that apply)</t>
  </si>
  <si>
    <t>There were more sport opportunities that suited me</t>
  </si>
  <si>
    <t>If I didn't have to get the school bus home</t>
  </si>
  <si>
    <t>If I had more time</t>
  </si>
  <si>
    <t>If it was cheaper</t>
  </si>
  <si>
    <t>If it was easier to get to</t>
  </si>
  <si>
    <t>If I had the equipment I need</t>
  </si>
  <si>
    <t>If the places I played sport in were better</t>
  </si>
  <si>
    <t>If boys and girls did sport or PE seperately</t>
  </si>
  <si>
    <t>If boys and girls did sport or PE together</t>
  </si>
  <si>
    <t>If I enjoyed PE more</t>
  </si>
  <si>
    <t>If I enjoyed sport more</t>
  </si>
  <si>
    <t>If more people in sport looked like me</t>
  </si>
  <si>
    <t>If I was more confident</t>
  </si>
  <si>
    <t>If I was better at sports</t>
  </si>
  <si>
    <r>
      <t>If I could manage my period better</t>
    </r>
    <r>
      <rPr>
        <vertAlign val="superscript"/>
        <sz val="12"/>
        <rFont val="Arial"/>
      </rPr>
      <t>i</t>
    </r>
    <r>
      <rPr>
        <sz val="12"/>
        <color rgb="FF000000"/>
        <rFont val="Arial"/>
      </rPr>
      <t/>
    </r>
  </si>
  <si>
    <t>Someone else went with me</t>
  </si>
  <si>
    <t>I do not need or want to play more sport</t>
  </si>
  <si>
    <t>Something else</t>
  </si>
  <si>
    <r>
      <rPr>
        <vertAlign val="superscript"/>
        <sz val="12"/>
        <rFont val="Arial"/>
      </rPr>
      <t>i</t>
    </r>
    <r>
      <rPr>
        <sz val="12"/>
        <color rgb="FF000000"/>
        <rFont val="Arial"/>
      </rPr>
      <t>If I could manage my period better - This response option was only available to those in Year 5 and above.</t>
    </r>
  </si>
  <si>
    <t>Table 15b: Motivation and attitudes in Swansea (percentage of pupils)</t>
  </si>
  <si>
    <t>Table 16a: Membership and volunteering in Swansea (percentage of pupils)</t>
  </si>
  <si>
    <t>Sport club membership</t>
  </si>
  <si>
    <t>Member of a sports club</t>
  </si>
  <si>
    <t>Coaching and Volunteering</t>
  </si>
  <si>
    <t>Receives coaching or training in Welsh in a club outside of school</t>
  </si>
  <si>
    <t>Volunteers or helps with a sport at school or in your community</t>
  </si>
  <si>
    <t>Table 16b: Membership and volunteering in Swansea (percentage of pupils)</t>
  </si>
  <si>
    <t>Table P1: Time allocated for curricular Physical Education (PE) in Swansea - Years 3 to 6</t>
  </si>
  <si>
    <t>Average (mean) total number of minutes dedicated to PE per week</t>
  </si>
  <si>
    <t xml:space="preserve">Percentage of schools who said some of their allocated PE time is spent elsewhere (E.g. for pupils to get changed, setting up the session, for example) </t>
  </si>
  <si>
    <t>Base: total number of survey responses in Wales is 773</t>
  </si>
  <si>
    <t>Base: total number of survey responses in Regional Sport Partnership: West Wales is 173</t>
  </si>
  <si>
    <t>Base: total number of survey responses in Swansea is 34</t>
  </si>
  <si>
    <t>Table P2: Curricular (PE) provision to pupils in school years 3 to 6 in Swansea, by sport (percentage of schools)</t>
  </si>
  <si>
    <t>Activity is provided for any of year groups 3-6</t>
  </si>
  <si>
    <t>Activity is provided for all year groups 3-6</t>
  </si>
  <si>
    <t>Activities provided: Year 3 groups</t>
  </si>
  <si>
    <t>Activities provided: Year 4 groups</t>
  </si>
  <si>
    <t>Activities provided: Year 5 groups</t>
  </si>
  <si>
    <t>Activities provided: Year 6 groups</t>
  </si>
  <si>
    <t>Health, Fitness and Well-Being Activities</t>
  </si>
  <si>
    <t>Aerobics</t>
  </si>
  <si>
    <t>Circuit activities</t>
  </si>
  <si>
    <t>Cross-country / Distance running</t>
  </si>
  <si>
    <t>Daily Active Offer / Daily Mile</t>
  </si>
  <si>
    <t>Judo / Martial Arts</t>
  </si>
  <si>
    <t>Skipping</t>
  </si>
  <si>
    <t>Step Aerobics</t>
  </si>
  <si>
    <t>Swimming (including competitive and play)</t>
  </si>
  <si>
    <t>Weight training</t>
  </si>
  <si>
    <t>Yoga</t>
  </si>
  <si>
    <t>Competitive Activities</t>
  </si>
  <si>
    <t>Baseball / Rounders / Softball</t>
  </si>
  <si>
    <t>Bowls</t>
  </si>
  <si>
    <t>Hockey</t>
  </si>
  <si>
    <t>Multi Skills</t>
  </si>
  <si>
    <t>Rugby League</t>
  </si>
  <si>
    <t>Rugby Union</t>
  </si>
  <si>
    <t>Table Tennis</t>
  </si>
  <si>
    <t>Tennis / Short Tennis</t>
  </si>
  <si>
    <t>Waterpolo</t>
  </si>
  <si>
    <t>Creative Activities</t>
  </si>
  <si>
    <t>Synchronized Swimming</t>
  </si>
  <si>
    <t>Adventurous Activities</t>
  </si>
  <si>
    <t>Canoeing</t>
  </si>
  <si>
    <t>Kayaking</t>
  </si>
  <si>
    <t>Orienteering</t>
  </si>
  <si>
    <t>Open Water Swimming</t>
  </si>
  <si>
    <t>Snow sports</t>
  </si>
  <si>
    <t>Table P3: Extracurricular provision to pupils in school years 3 to 6 in Swansea, by sport (percentage of schools)</t>
  </si>
  <si>
    <t>Mixed Sessions</t>
  </si>
  <si>
    <t>Male Only Sessions</t>
  </si>
  <si>
    <t>Female only Sessions</t>
  </si>
  <si>
    <t>Table P4: Factors affecting curricular sport provision in Swansea (percentage of schools)</t>
  </si>
  <si>
    <t>Which of the following factors influence which sports are offered at your school as part of curriculum P.E.?</t>
  </si>
  <si>
    <t>The sports facilities available at the school or in the community</t>
  </si>
  <si>
    <t>Access to the necessary sport equipment</t>
  </si>
  <si>
    <t>Staff skills</t>
  </si>
  <si>
    <t>Staff preference</t>
  </si>
  <si>
    <t>Previous staff training</t>
  </si>
  <si>
    <t>Pupil preference</t>
  </si>
  <si>
    <t>Historical precedence (i.e. we've always done it)</t>
  </si>
  <si>
    <t>Opportunities to compete locally</t>
  </si>
  <si>
    <t>Staff capacity</t>
  </si>
  <si>
    <t>Additional support</t>
  </si>
  <si>
    <t>Table P5: Provision for pupils with a Disability or Additional Learning Need in Swansea (percentage of schools)</t>
  </si>
  <si>
    <t>Is there the opportunity for disabled pupils/pupils with an impairment or Additional Learning Need (ALN) to participate in P.E. lessons</t>
  </si>
  <si>
    <t>Yes, all of the time</t>
  </si>
  <si>
    <t>Yes, some of the time</t>
  </si>
  <si>
    <t>No, but they attend specific sessions in that time (e.g. a physiotherapist attends the school)</t>
  </si>
  <si>
    <t>No, they do not participate in P.E. lessons at the school</t>
  </si>
  <si>
    <t>Do you have accessible space in school to deliver all activities inclusively for disabled pupils/pupils with an impairment or Additional Learning Need (ALN)?</t>
  </si>
  <si>
    <t>Yes</t>
  </si>
  <si>
    <t>No</t>
  </si>
  <si>
    <t>Are you confident in modifying planned task and activities to meaningfully include disabled pupils/pupils with impairment or Additional Learning Need (ALN)?</t>
  </si>
  <si>
    <t>Do you have the equipment in school which enables inclusion of disabled pupils/pupils with impairment or Additional Learning Need (ALN)?</t>
  </si>
  <si>
    <t>Do you use additional people to support inclusion of disabled pupils/pupils with impairment or Additional Learning Need (ALN) within PE sessions?</t>
  </si>
  <si>
    <t>Table P6: Opinions of PE provision, resources and support in Swansea (percentage of schools)</t>
  </si>
  <si>
    <t>Agree strongly</t>
  </si>
  <si>
    <t>Agree slightly</t>
  </si>
  <si>
    <t>Neither agree nor disagree</t>
  </si>
  <si>
    <t>Disagree slightly</t>
  </si>
  <si>
    <t>Disagree strongly</t>
  </si>
  <si>
    <t>Don't know</t>
  </si>
  <si>
    <t>Physical literacy</t>
  </si>
  <si>
    <t>The teachers at my school understand the term ‘physical literacy’</t>
  </si>
  <si>
    <t>My school regards physical literacy to be as important as numeracy and literacy</t>
  </si>
  <si>
    <t>The 2021-22 cohort of pupils at the school are motivated when they take part in P.E. and sport</t>
  </si>
  <si>
    <t>The 2021-22 cohort of pupils at the school are confident taking part in P.E.</t>
  </si>
  <si>
    <t>Resources for PE</t>
  </si>
  <si>
    <t>More time should be devoted to P.E at my school</t>
  </si>
  <si>
    <t>More time should be devoted to extracurricular sport at my school</t>
  </si>
  <si>
    <t>There are enough staff available to teach P.E. at my school</t>
  </si>
  <si>
    <t>There are enough staff available to teach extracurricular sport at my school</t>
  </si>
  <si>
    <t>There is sufficient financial support available for extracurricular sport at my school</t>
  </si>
  <si>
    <t>Training and CPD</t>
  </si>
  <si>
    <t>I am satisfied with the quality of continuous professional development (CPD) available to staff regarding P.E. provision at my school</t>
  </si>
  <si>
    <t>Our staff are released to undertake sufficient CPD for P.E. and sport</t>
  </si>
  <si>
    <t>Our staff are confident in delivery quality P.E. lessons</t>
  </si>
  <si>
    <t>Our staff are confident in their ability to teach P.E. within the new curriculum</t>
  </si>
  <si>
    <t>Our staff members have enough support/CPD to effectively engage with pupils with a disability and/or impairments, or additional learning needs (ALN) when delivering P.E. and sport</t>
  </si>
  <si>
    <t>Our staff have sufficient health and safety knowledge to safely deliver P.E. and sport</t>
  </si>
  <si>
    <t>Facilities and equipment</t>
  </si>
  <si>
    <t>The changing rooms at my school are of high-quality</t>
  </si>
  <si>
    <t>The schools’ sports facilities are of high-quality</t>
  </si>
  <si>
    <t>The school has access to sufficient facilities to provide quality P.E. and sport</t>
  </si>
  <si>
    <t>The school has access to sufficient equipment to provide quality P.E. and sport</t>
  </si>
  <si>
    <t>The quality of P.E. delivery at my school is high</t>
  </si>
  <si>
    <t>Table P7: Facilities at your School in Swansea (percentage of schools)</t>
  </si>
  <si>
    <t>Facilities used during previous 12 months by schools</t>
  </si>
  <si>
    <t>Facilities Owned by Schools</t>
  </si>
  <si>
    <t>School-owned facilities frequently used by pupils</t>
  </si>
  <si>
    <t>School-Owned facilities available for public use</t>
  </si>
  <si>
    <t>Indoor Sport Facilities</t>
  </si>
  <si>
    <t>Main sports hall (markings for at least 3 badminton courts)</t>
  </si>
  <si>
    <t>Activity hall (multi-purpose room e.g. assembly hall)</t>
  </si>
  <si>
    <t>Studio (often with mirrored wall and sprung floor)</t>
  </si>
  <si>
    <t>Gym/health and fitness suite</t>
  </si>
  <si>
    <t>Indoor tennis courts</t>
  </si>
  <si>
    <t>Squash courts</t>
  </si>
  <si>
    <t>Main swimming pool (at least 15m in length)</t>
  </si>
  <si>
    <t>Learner swimming pool (less than 15m in length)</t>
  </si>
  <si>
    <t>Changing rooms (indoor)</t>
  </si>
  <si>
    <t>Outdoor Sport Facilities</t>
  </si>
  <si>
    <t>Artificial pitch (3G/4G) with floodlights</t>
  </si>
  <si>
    <t>Artificial pitch (3G/4G) without floodlights</t>
  </si>
  <si>
    <t>Artificial pitch (sand based) with floodlights</t>
  </si>
  <si>
    <t>Artificial pitch (sand based) without floodlights</t>
  </si>
  <si>
    <t>Multi-use games area (MUGA) with floodlights</t>
  </si>
  <si>
    <t>Multi-use games area (MUGA) without floodlights</t>
  </si>
  <si>
    <t>Sports pitch with markings</t>
  </si>
  <si>
    <t>Playing field</t>
  </si>
  <si>
    <t>Outdoor tennis court(s)</t>
  </si>
  <si>
    <t>Running track (permanent)</t>
  </si>
  <si>
    <t>Cricket pitch</t>
  </si>
  <si>
    <t>Changing rooms (outdoor)</t>
  </si>
  <si>
    <t>Table P8: Life skills - Swimming in Swansea (percentage of schools)</t>
  </si>
  <si>
    <t>Years 3-6</t>
  </si>
  <si>
    <t>Who delivers your swimming lessons?</t>
  </si>
  <si>
    <t>Teachers from your school (P.E. specialists)</t>
  </si>
  <si>
    <t>Teachers from your school (not P.E. specialists)</t>
  </si>
  <si>
    <t>Learning Support Assistants from your school</t>
  </si>
  <si>
    <t>Lifeguards</t>
  </si>
  <si>
    <t>Qualified swimming teachers not based in school</t>
  </si>
  <si>
    <t>We did not deliver swimming in the current academic year at the school</t>
  </si>
  <si>
    <t>On average, on how many weeks do pupils get to experience curricular swimming during an academic year?</t>
  </si>
  <si>
    <t>0</t>
  </si>
  <si>
    <t>1 to 5</t>
  </si>
  <si>
    <t>6 to 10</t>
  </si>
  <si>
    <t>11 to 15</t>
  </si>
  <si>
    <t>16 to 20</t>
  </si>
  <si>
    <t>20+</t>
  </si>
  <si>
    <t>Generally, how is swimming delivered to pupils at the school?</t>
  </si>
  <si>
    <t>A series of intensive lessons (pupils attend swimming more than twice in one week)</t>
  </si>
  <si>
    <t>Weekly lessons as part of curricular P.E.</t>
  </si>
  <si>
    <t>Less frequent lessons</t>
  </si>
  <si>
    <t>There is not a set pattern of delivery</t>
  </si>
  <si>
    <t>Table P9: Life skills - Cycling in Swansea (percentage of schools)</t>
  </si>
  <si>
    <t>Year 3</t>
  </si>
  <si>
    <t>Year 4</t>
  </si>
  <si>
    <t>Year 5</t>
  </si>
  <si>
    <t>Year 6</t>
  </si>
  <si>
    <t>National Standards Cycle Training</t>
  </si>
  <si>
    <t>Pupils able to access National Standards Cycle Training - Level 1 &amp; Level 2 Combined</t>
  </si>
  <si>
    <t>Pupils able to access National Standards Cycle Training - Level 1</t>
  </si>
  <si>
    <t>Pupils able to access National Standards Cycle Training - Level 2</t>
  </si>
  <si>
    <t>Were there sufficient National Cycle Training Places available to meet the demand at your school?</t>
  </si>
  <si>
    <t>Was there sufficient cycling equipment to meet training demand?</t>
  </si>
  <si>
    <t>Who Provided the required equipment for National Standards Cycle Training? (Tick all that apply)</t>
  </si>
  <si>
    <t>Pupils provide their own</t>
  </si>
  <si>
    <t>School</t>
  </si>
  <si>
    <t>Charity Group</t>
  </si>
  <si>
    <t>Local Authority</t>
  </si>
  <si>
    <t>National Governing Body</t>
  </si>
  <si>
    <t>NA</t>
  </si>
  <si>
    <t>NA - Question was not asked for each year group.</t>
  </si>
  <si>
    <t>Table S1: Time allocated for curricular Physical Education (PE) in Swansea - Years 7 to 11</t>
  </si>
  <si>
    <t>Base: total number of survey responses in Wales is 182</t>
  </si>
  <si>
    <t>Base: total number of survey responses in Regional Sport Partnership: West Wales is 37</t>
  </si>
  <si>
    <t>Base: total number of survey responses in Swansea is 10</t>
  </si>
  <si>
    <t>Table S2: Curricular (PE) provision to pupils in school years 7 to 11 in Swansea, by sport (percentage of schools)</t>
  </si>
  <si>
    <t>Activity is provided for any of year groups 7-11</t>
  </si>
  <si>
    <t>Activity is provided for all year groups 7-11</t>
  </si>
  <si>
    <t>Activities provided: Year 7 groups</t>
  </si>
  <si>
    <t>Activities provided: Year 8 groups</t>
  </si>
  <si>
    <t>Activities provided: Year 9 groups</t>
  </si>
  <si>
    <t>Activities provided: Year 10 groups</t>
  </si>
  <si>
    <t>Activities provided: Year 11 groups</t>
  </si>
  <si>
    <t>Table S3: Extracurricular provision to pupils in school years 7 to 11 in Swansea, by sport (percentage of schools)</t>
  </si>
  <si>
    <t>Table S4: Factors affecting curricular sport provision in Swansea (percentage of schools)</t>
  </si>
  <si>
    <t>Table S5: Provision for pupils with a Disability or Additional Learning Need in Swansea (percentage of schools)</t>
  </si>
  <si>
    <t>Table S6: Opinions of PE provision, resources and support in Swansea (percentage of schools)</t>
  </si>
  <si>
    <t>Table S7: Facilities at your School in Swansea (percentage of schools)</t>
  </si>
  <si>
    <t>Table S8: Life skills - Swimming in Swansea (percentage of schools)</t>
  </si>
  <si>
    <t>Years 7-11</t>
  </si>
  <si>
    <t>Table S9: Life skills - Cycling in Swansea (percentage of schools)</t>
  </si>
  <si>
    <t>Year 7</t>
  </si>
  <si>
    <t>Year 8</t>
  </si>
  <si>
    <t>Year 9</t>
  </si>
  <si>
    <t>Year 10</t>
  </si>
  <si>
    <t>Year 11</t>
  </si>
  <si>
    <t>School Sport Survey 2022: Local authority results for Swansea - Years 3 to 11</t>
  </si>
  <si>
    <t>Table of Contents</t>
  </si>
  <si>
    <t>Key Performance Indicator summary</t>
  </si>
  <si>
    <t>Key Indicators</t>
  </si>
  <si>
    <t>Frequency of participation</t>
  </si>
  <si>
    <t>Number of occasions of participation per week by protected characteristic</t>
  </si>
  <si>
    <t>Three or more occasions of activity per week - by school, year groups and gender</t>
  </si>
  <si>
    <t>Number of occasions of participation per week by school</t>
  </si>
  <si>
    <t>Frequent participation in extracurricular sport (at least once a week)</t>
  </si>
  <si>
    <t>Frequent participation in community sport outside of school (at least once a week)</t>
  </si>
  <si>
    <t>Any participation in sport in the last year, by Setting</t>
  </si>
  <si>
    <t>Any setting</t>
  </si>
  <si>
    <t>- by sport</t>
  </si>
  <si>
    <t>- by sport, by school</t>
  </si>
  <si>
    <t>Extracurricular sport</t>
  </si>
  <si>
    <t>Community club outside of school</t>
  </si>
  <si>
    <t>Other settings outside of school</t>
  </si>
  <si>
    <t>Participation support for those with a disability or impairment</t>
  </si>
  <si>
    <t>Any participation, by sport</t>
  </si>
  <si>
    <t>Support required when participating</t>
  </si>
  <si>
    <t>Method of participation</t>
  </si>
  <si>
    <t>Demand</t>
  </si>
  <si>
    <t>Latent demand, by sport</t>
  </si>
  <si>
    <t>- has a disability, impairment or learning difficulty</t>
  </si>
  <si>
    <t>Unmet demand, by sport</t>
  </si>
  <si>
    <t>Motivation, Attitudes, Membership and Volunteering</t>
  </si>
  <si>
    <t>Motivation and attitudes, by age and gender</t>
  </si>
  <si>
    <t>- by school</t>
  </si>
  <si>
    <t>I would do more sport if…', by age and gender</t>
  </si>
  <si>
    <t>Membership and volunteering, by age and gender</t>
  </si>
  <si>
    <t>School Provision statistics</t>
  </si>
  <si>
    <t>Time allocated for curricular Physical Education (PE) in primary schools (school years 3 to 6)</t>
  </si>
  <si>
    <t>Curricular provision to pupils in school years 3 to 6, by sport</t>
  </si>
  <si>
    <t>Extracurricular provision to pupils in school years 3 to 6, by sport</t>
  </si>
  <si>
    <t>Factors affecting curricular sport provision in primary schools</t>
  </si>
  <si>
    <t>Provision for pupils with a Disability or Additional Learning Need in primary schools</t>
  </si>
  <si>
    <t>Opinions of PE provision, resources and support in primary schools</t>
  </si>
  <si>
    <t>Facilities in Primary Schools</t>
  </si>
  <si>
    <t>Life Skills in Primary Schools - Swimming</t>
  </si>
  <si>
    <t>Life Skills in Primary Schools - Cycling</t>
  </si>
  <si>
    <t>Time allocated for curricular Physical Education (PE) in secondary schools (school years 7 to 11)</t>
  </si>
  <si>
    <t>Curricular provision to pupils in school years 7 to 11, by sport</t>
  </si>
  <si>
    <t>Extracurricular provision to pupils in school years 7  to 11, by sport</t>
  </si>
  <si>
    <t>Factors affecting curricular sport provision in secondary schools</t>
  </si>
  <si>
    <t>Provision for pupils with a Disability or Additional Learning Need in secondary schools</t>
  </si>
  <si>
    <t>Opinions of PE provision, resources and support in secondary schools</t>
  </si>
  <si>
    <t>Facilities in Secondary Schools</t>
  </si>
  <si>
    <t>Life Skills in Secondary Schools - Swimming</t>
  </si>
  <si>
    <t>Life Skills in Secondary Schools - Cycling</t>
  </si>
  <si>
    <t>Release date: November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</si>
</sst>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font>
      <sz val="12"/>
      <color rgb="FF000000"/>
      <name val="Arial"/>
    </font>
    <font>
      <b/>
      <sz val="16"/>
      <color rgb="FF000000"/>
      <name val="Arial"/>
    </font>
    <font>
      <b/>
      <sz val="12"/>
      <color rgb="FF000000"/>
      <name val="Arial"/>
    </font>
    <font>
      <i/>
      <sz val="12"/>
      <color rgb="FF000000"/>
      <name val="Arial"/>
    </font>
    <font>
      <u/>
      <sz val="12"/>
      <color theme="10"/>
      <name val="Arial"/>
    </font>
    <font>
      <vertAlign val="superscript"/>
      <sz val="12"/>
      <name val="Arial"/>
    </font>
  </fonts>
  <fills count="4">
    <fill>
      <patternFill patternType="none"/>
    </fill>
    <fill>
      <patternFill patternType="gray125"/>
    </fill>
    <fill>
      <patternFill patternType="solid">
        <fgColor rgb="FFD9D9D9"/>
      </patternFill>
    </fill>
    <fill>
      <patternFill patternType="solid">
        <fgColor rgb="FFFFFFFF"/>
      </patternFill>
    </fill>
  </fills>
  <borders count="8">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1" fillId="0" borderId="0" xfId="0" applyFont="1" applyAlignment="1">
      <alignment horizontal="left" vertical="center"/>
    </xf>
    <xf numFmtId="0" fontId="0" fillId="2" borderId="0" xfId="0" applyFill="1"/>
    <xf numFmtId="0" fontId="2" fillId="2" borderId="0" xfId="0" applyFont="1" applyFill="1"/>
    <xf numFmtId="0" fontId="2" fillId="0" borderId="0" xfId="0" applyFont="1" applyAlignment="1">
      <alignment wrapText="1"/>
    </xf>
    <xf numFmtId="0" fontId="0" fillId="0" borderId="0" xfId="0" applyAlignment="1">
      <alignment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1" xfId="0" applyBorder="1"/>
    <xf numFmtId="0" fontId="1" fillId="0" borderId="2" xfId="0" applyFont="1" applyBorder="1" applyAlignment="1">
      <alignment horizontal="left" vertical="center"/>
    </xf>
    <xf numFmtId="0" fontId="0" fillId="0" borderId="3" xfId="0" applyBorder="1"/>
    <xf numFmtId="0" fontId="0" fillId="0" borderId="2" xfId="0" applyBorder="1"/>
    <xf numFmtId="3" fontId="0" fillId="0" borderId="0" xfId="0" applyNumberFormat="1"/>
    <xf numFmtId="3" fontId="0" fillId="0" borderId="2" xfId="0" applyNumberFormat="1" applyBorder="1"/>
    <xf numFmtId="164" fontId="0" fillId="0" borderId="0" xfId="0" applyNumberFormat="1"/>
    <xf numFmtId="164" fontId="0" fillId="0" borderId="2" xfId="0" applyNumberFormat="1" applyBorder="1"/>
    <xf numFmtId="165" fontId="0" fillId="0" borderId="1" xfId="0" applyNumberFormat="1" applyBorder="1"/>
    <xf numFmtId="165" fontId="0" fillId="0" borderId="3" xfId="0" applyNumberFormat="1" applyBorder="1"/>
    <xf numFmtId="3" fontId="0" fillId="0" borderId="0" xfId="0" applyNumberFormat="1" applyAlignment="1">
      <alignment horizontal="right"/>
    </xf>
    <xf numFmtId="164" fontId="0" fillId="0" borderId="0" xfId="0" applyNumberFormat="1" applyAlignment="1">
      <alignment horizontal="right"/>
    </xf>
    <xf numFmtId="165" fontId="0" fillId="0" borderId="1" xfId="0" applyNumberFormat="1" applyBorder="1" applyAlignment="1">
      <alignment horizontal="right"/>
    </xf>
    <xf numFmtId="0" fontId="2" fillId="0" borderId="1" xfId="0" applyFont="1" applyBorder="1"/>
    <xf numFmtId="0" fontId="3" fillId="0" borderId="1" xfId="0" applyFont="1" applyBorder="1"/>
    <xf numFmtId="164" fontId="0" fillId="0" borderId="1" xfId="0" applyNumberFormat="1" applyBorder="1"/>
    <xf numFmtId="164" fontId="0" fillId="0" borderId="3" xfId="0" applyNumberFormat="1" applyBorder="1"/>
    <xf numFmtId="164" fontId="0" fillId="0" borderId="1" xfId="0" applyNumberFormat="1" applyBorder="1" applyAlignment="1">
      <alignment horizontal="right"/>
    </xf>
    <xf numFmtId="0" fontId="4" fillId="0" borderId="0" xfId="0" applyFont="1"/>
    <xf numFmtId="164" fontId="0" fillId="0" borderId="2" xfId="0" applyNumberFormat="1" applyBorder="1" applyAlignment="1">
      <alignment horizontal="right"/>
    </xf>
    <xf numFmtId="164" fontId="0" fillId="0" borderId="3" xfId="0" applyNumberFormat="1" applyBorder="1" applyAlignment="1">
      <alignment horizontal="right"/>
    </xf>
    <xf numFmtId="0" fontId="0" fillId="0" borderId="0" xfId="0" applyAlignment="1">
      <alignment horizontal="center" wrapText="1"/>
    </xf>
    <xf numFmtId="0" fontId="2" fillId="0" borderId="4" xfId="0" applyFont="1" applyBorder="1" applyAlignment="1">
      <alignment horizontal="center" wrapText="1"/>
    </xf>
    <xf numFmtId="164" fontId="0" fillId="0" borderId="4" xfId="0" applyNumberFormat="1" applyBorder="1"/>
    <xf numFmtId="164" fontId="0" fillId="0" borderId="5" xfId="0" applyNumberFormat="1" applyBorder="1"/>
    <xf numFmtId="164" fontId="0" fillId="0" borderId="4" xfId="0" applyNumberFormat="1" applyBorder="1" applyAlignment="1">
      <alignment horizontal="right"/>
    </xf>
    <xf numFmtId="0" fontId="2" fillId="0" borderId="6" xfId="0" applyFont="1" applyBorder="1" applyAlignment="1">
      <alignment horizontal="center" wrapText="1"/>
    </xf>
    <xf numFmtId="164" fontId="0" fillId="0" borderId="6" xfId="0" applyNumberFormat="1" applyBorder="1"/>
    <xf numFmtId="164" fontId="0" fillId="0" borderId="7" xfId="0" applyNumberFormat="1" applyBorder="1"/>
    <xf numFmtId="0" fontId="0" fillId="0" borderId="4" xfId="0" applyBorder="1"/>
    <xf numFmtId="164" fontId="0" fillId="0" borderId="5" xfId="0" applyNumberFormat="1" applyBorder="1" applyAlignment="1">
      <alignment horizontal="right"/>
    </xf>
    <xf numFmtId="0" fontId="2" fillId="0" borderId="1" xfId="0" applyFont="1" applyBorder="1" applyAlignment="1">
      <alignment wrapText="1"/>
    </xf>
    <xf numFmtId="0" fontId="1" fillId="3" borderId="0" xfId="0" applyFont="1" applyFill="1" applyAlignment="1">
      <alignment horizontal="left" vertical="center"/>
    </xf>
    <xf numFmtId="0" fontId="2" fillId="3" borderId="0" xfId="0" applyFont="1" applyFill="1" applyAlignment="1">
      <alignment horizontal="left" vertical="top"/>
    </xf>
    <xf numFmtId="0" fontId="4" fillId="3" borderId="0" xfId="0" applyFont="1" applyFill="1" applyAlignment="1">
      <alignment vertical="top"/>
    </xf>
    <xf numFmtId="0" fontId="0" fillId="3" borderId="1" xfId="0" applyFill="1" applyBorder="1"/>
    <xf numFmtId="0" fontId="0" fillId="2" borderId="1" xfId="0" applyFill="1" applyBorder="1"/>
    <xf numFmtId="0" fontId="0" fillId="3" borderId="1" xfId="0" applyFill="1" applyBorder="1" applyAlignment="1">
      <alignment vertical="top"/>
    </xf>
    <xf numFmtId="0" fontId="4" fillId="3" borderId="2" xfId="0" applyFont="1" applyFill="1" applyBorder="1" applyAlignment="1">
      <alignment vertical="top"/>
    </xf>
    <xf numFmtId="0" fontId="0" fillId="3" borderId="3" xfId="0" applyFill="1" applyBorder="1"/>
    <xf numFmtId="0" fontId="0" fillId="3" borderId="3" xfId="0" applyFill="1" applyBorder="1" applyAlignment="1">
      <alignment vertical="top"/>
    </xf>
    <xf numFmtId="0" fontId="2" fillId="3"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echnicalinformation" displayName="technicalinformation" ref="A2:B7" totalsRowShown="0">
  <tableColumns count="2">
    <tableColumn id="1" xr3:uid="{00000000-0010-0000-0000-000001000000}" name="Notes"/>
    <tableColumn id="2" xr3:uid="{00000000-0010-0000-0000-000002000000}" name=" "/>
  </tableColumns>
  <tableStyleInfo name="none" showFirstColumn="0" showLastColumn="0" showRowStripes="1" showColumnStripes="0"/>
  <extLst>
    <ext xmlns:x14="http://schemas.microsoft.com/office/spreadsheetml/2009/9/main" uri="{504A1905-F514-4f6f-8877-14C23A59335A}">
      <x14:table altText="Technical Information" altTextSummary="Table with 2 columns._x000d__x000a__x000d__x000a_Column A shows a list of headings._x000d__x000a__x000d__x000a_Column B shows a description of each heading in column A._x000d__x000a__x000d__x000a_Two tables that describe the quality of the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ample" displayName="sample" ref="A2:E66" totalsRowShown="0">
  <tableColumns count="5">
    <tableColumn id="1" xr3:uid="{00000000-0010-0000-0100-000001000000}" name="Breakdown"/>
    <tableColumn id="2" xr3:uid="{00000000-0010-0000-0100-000002000000}" name="Unweighted sample size"/>
    <tableColumn id="3" xr3:uid="{00000000-0010-0000-0100-000003000000}" name="Population size"/>
    <tableColumn id="4" xr3:uid="{00000000-0010-0000-0100-000004000000}" name="Response rate"/>
    <tableColumn id="5" xr3:uid="{00000000-0010-0000-0100-000005000000}" name="Margin of error"/>
  </tableColumns>
  <tableStyleInfo name="none" showFirstColumn="0" showLastColumn="0" showRowStripes="1" showColumnStripes="0"/>
  <extLst>
    <ext xmlns:x14="http://schemas.microsoft.com/office/spreadsheetml/2009/9/main" uri="{504A1905-F514-4f6f-8877-14C23A59335A}">
      <x14:table altText="Sample" altTextSummary="Two tables that describe the quality of the data._x000d__x000a__x000d__x000a_Table 1 shows data indicating the quality of the data. Table 1 has 5 columns._x000d__x000a__x000d__x000a_Column A shows a list of demographic groups._x000d__x000a__x000d__x000a_Columns B to D show different population sizes. Column E shows the Margin of Error within the data._x000d__x000a__x000d__x000a_Table 2 shows a key for the quality of the data throughout the document._x000d__x000a__x000d__x000a_Column A shows a list of letters._x000d__x000a__x000d__x000a_Column B shows the corresponding categories of data quality._x000d__x000a_Table with 6 column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2:G61" totalsRowShown="0">
  <tableColumns count="7">
    <tableColumn id="1" xr3:uid="{00000000-0010-0000-0200-000001000000}" name=" "/>
    <tableColumn id="2" xr3:uid="{00000000-0010-0000-0200-000002000000}" name="% of pupils who participate in at least three occasions of sport per week"/>
    <tableColumn id="3" xr3:uid="{00000000-0010-0000-0200-000003000000}" name="% of pupils who enjoy PE lessons 'a lot'"/>
    <tableColumn id="4" xr3:uid="{00000000-0010-0000-0200-000004000000}" name="% of pupils who are confident in trying new sports"/>
    <tableColumn id="5" xr3:uid="{00000000-0010-0000-0200-000005000000}" name="% of pupils who think PE lessons and school sport help them 'a lot' to have a healthy lifestyle"/>
    <tableColumn id="6" xr3:uid="{00000000-0010-0000-0200-000006000000}" name="% of pupils who think that pupils' ideas about PE and school sport are listened to 'always'"/>
    <tableColumn id="7" xr3:uid="{00000000-0010-0000-0200-000007000000}" name="% of pupils who participate in sport in a community club at least once per week"/>
  </tableColumns>
  <tableStyleInfo name="none" showFirstColumn="0" showLastColumn="0" showRowStripes="1" showColumnStripes="0"/>
  <extLst>
    <ext xmlns:x14="http://schemas.microsoft.com/office/spreadsheetml/2009/9/main" uri="{504A1905-F514-4f6f-8877-14C23A59335A}">
      <x14:table altText="Table 1" altTextSummary="Table with 6 columns._x000d__x000a__x000d__x000a_Column A shows a list of demographic groups._x000d__x000a__x000d__x000a_Columns B to G show data from key questions from the survey._x000d__x000a__x000d__x000a_Additional technical notes and a link to the contents page sit beneath the table._x000d__x000a_Table with 5 column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2:E61" totalsRowShown="0">
  <tableColumns count="5">
    <tableColumn id="1" xr3:uid="{00000000-0010-0000-0300-000001000000}" name=" "/>
    <tableColumn id="2" xr3:uid="{00000000-0010-0000-0300-000002000000}" name="No frequent activity"/>
    <tableColumn id="3" xr3:uid="{00000000-0010-0000-0300-000003000000}" name="Once per week"/>
    <tableColumn id="4" xr3:uid="{00000000-0010-0000-0300-000004000000}" name="Twice per week"/>
    <tableColumn id="5" xr3:uid="{00000000-0010-0000-03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2" altTextSummary="Table with 5 columns._x000d__x000a__x000d__x000a_Column A shows a list of demographic groups._x000d__x000a__x000d__x000a_Columns B to E show the proportion of pupils participating in sport or activity across 4 levels of frequency. The levels are No frequent activity, participation once per week, participation twice per week and participation three or more times per week._x000d__x000a__x000d__x000a_Additional technical notes and a link to the contents page sit beneath the table._x000d__x000a_Table with 16 column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2:P36" totalsRowShown="0">
  <tableColumns count="16">
    <tableColumn id="1" xr3:uid="{00000000-0010-0000-0400-000001000000}" name=" "/>
    <tableColumn id="2" xr3:uid="{00000000-0010-0000-0400-000002000000}" name="All"/>
    <tableColumn id="3" xr3:uid="{00000000-0010-0000-0400-000003000000}" name="All:_x000a_Years 3 to 6"/>
    <tableColumn id="4" xr3:uid="{00000000-0010-0000-0400-000004000000}" name="All:_x000a_Years 7 to 11"/>
    <tableColumn id="5" xr3:uid="{00000000-0010-0000-0400-000005000000}" name="Boy"/>
    <tableColumn id="6" xr3:uid="{00000000-0010-0000-0400-000006000000}" name="Boy:_x000a_Years 3 to 6"/>
    <tableColumn id="7" xr3:uid="{00000000-0010-0000-0400-000007000000}" name="Boy:_x000a_Years 7 to 11"/>
    <tableColumn id="8" xr3:uid="{00000000-0010-0000-0400-000008000000}" name="Girl"/>
    <tableColumn id="9" xr3:uid="{00000000-0010-0000-0400-000009000000}" name="Girl:_x000a_Years 3 to 6"/>
    <tableColumn id="10" xr3:uid="{00000000-0010-0000-0400-00000A000000}" name="Girl:_x000a_Years 7 to 11"/>
    <tableColumn id="11" xr3:uid="{00000000-0010-0000-0400-00000B000000}" name="Pupils identifying as 'Other'"/>
    <tableColumn id="12" xr3:uid="{00000000-0010-0000-0400-00000C000000}" name="Pupils identifying as 'Other':_x000a_Years 3 to 6"/>
    <tableColumn id="13" xr3:uid="{00000000-0010-0000-0400-00000D000000}" name="Pupils identifying as 'Other':_x000a_Years 7 to 11"/>
    <tableColumn id="14" xr3:uid="{00000000-0010-0000-0400-00000E000000}" name="I do not want to say"/>
    <tableColumn id="15" xr3:uid="{00000000-0010-0000-0400-00000F000000}" name="I do not want to say:_x000a_Years 3 to 6"/>
    <tableColumn id="16" xr3:uid="{00000000-0010-0000-04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3"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5 column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2:E36" totalsRowShown="0">
  <tableColumns count="5">
    <tableColumn id="1" xr3:uid="{00000000-0010-0000-0500-000001000000}" name=" "/>
    <tableColumn id="2" xr3:uid="{00000000-0010-0000-0500-000002000000}" name="No frequent activity"/>
    <tableColumn id="3" xr3:uid="{00000000-0010-0000-0500-000003000000}" name="Once per week"/>
    <tableColumn id="4" xr3:uid="{00000000-0010-0000-0500-000004000000}" name="Twice per week"/>
    <tableColumn id="5" xr3:uid="{00000000-0010-0000-05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4" altTextSummary="Table with 5 columns._x000d__x000a__x000d__x000a_Column A shows a list of geographic levels. These levels are National, Regional Sport Partnership Areas, Local Authority and Schools._x000d__x000a__x000d__x000a_Column B, Column C, Column D and Column E show the proportion of pupils participating at each level of frequency. The levels are No frequent activity, participation once per week, twice per week and three or more times per week._x000d__x000a__x000d__x000a_Additional technical notes and a link to the contents page sit beneath the table._x000d__x000a__x000d__x000a_Table with 16 column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2:P36" totalsRowShown="0">
  <tableColumns count="16">
    <tableColumn id="1" xr3:uid="{00000000-0010-0000-0600-000001000000}" name=" "/>
    <tableColumn id="2" xr3:uid="{00000000-0010-0000-0600-000002000000}" name="All"/>
    <tableColumn id="3" xr3:uid="{00000000-0010-0000-0600-000003000000}" name="All:_x000a_Years 3 to 6"/>
    <tableColumn id="4" xr3:uid="{00000000-0010-0000-0600-000004000000}" name="All:_x000a_Years 7 to 11"/>
    <tableColumn id="5" xr3:uid="{00000000-0010-0000-0600-000005000000}" name="Boy"/>
    <tableColumn id="6" xr3:uid="{00000000-0010-0000-0600-000006000000}" name="Boy:_x000a_Years 3 to 6"/>
    <tableColumn id="7" xr3:uid="{00000000-0010-0000-0600-000007000000}" name="Boy:_x000a_Years 7 to 11"/>
    <tableColumn id="8" xr3:uid="{00000000-0010-0000-0600-000008000000}" name="Girl"/>
    <tableColumn id="9" xr3:uid="{00000000-0010-0000-0600-000009000000}" name="Girl:_x000a_Years 3 to 6"/>
    <tableColumn id="10" xr3:uid="{00000000-0010-0000-0600-00000A000000}" name="Girl:_x000a_Years 7 to 11"/>
    <tableColumn id="11" xr3:uid="{00000000-0010-0000-0600-00000B000000}" name="Pupils identifying as 'Other'"/>
    <tableColumn id="12" xr3:uid="{00000000-0010-0000-0600-00000C000000}" name="Pupils identifying as 'Other':_x000a_Years 3 to 6"/>
    <tableColumn id="13" xr3:uid="{00000000-0010-0000-0600-00000D000000}" name="Pupils identifying as 'Other':_x000a_Years 7 to 11"/>
    <tableColumn id="14" xr3:uid="{00000000-0010-0000-0600-00000E000000}" name="I do not want to say"/>
    <tableColumn id="15" xr3:uid="{00000000-0010-0000-0600-00000F000000}" name="I do not want to say:_x000a_Years 3 to 6"/>
    <tableColumn id="16" xr3:uid="{00000000-0010-0000-06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5"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 displayName="table6" ref="A2:P36" totalsRowShown="0">
  <tableColumns count="16">
    <tableColumn id="1" xr3:uid="{00000000-0010-0000-0700-000001000000}" name=" "/>
    <tableColumn id="2" xr3:uid="{00000000-0010-0000-0700-000002000000}" name="All"/>
    <tableColumn id="3" xr3:uid="{00000000-0010-0000-0700-000003000000}" name="All:_x000a_Years 3 to 6"/>
    <tableColumn id="4" xr3:uid="{00000000-0010-0000-0700-000004000000}" name="All:_x000a_Years 7 to 11"/>
    <tableColumn id="5" xr3:uid="{00000000-0010-0000-0700-000005000000}" name="Boy"/>
    <tableColumn id="6" xr3:uid="{00000000-0010-0000-0700-000006000000}" name="Boy:_x000a_Years 3 to 6"/>
    <tableColumn id="7" xr3:uid="{00000000-0010-0000-0700-000007000000}" name="Boy:_x000a_Years 7 to 11"/>
    <tableColumn id="8" xr3:uid="{00000000-0010-0000-0700-000008000000}" name="Girl"/>
    <tableColumn id="9" xr3:uid="{00000000-0010-0000-0700-000009000000}" name="Girl:_x000a_Years 3 to 6"/>
    <tableColumn id="10" xr3:uid="{00000000-0010-0000-0700-00000A000000}" name="Girl:_x000a_Years 7 to 11"/>
    <tableColumn id="11" xr3:uid="{00000000-0010-0000-0700-00000B000000}" name="Pupils identifying as 'Other'"/>
    <tableColumn id="12" xr3:uid="{00000000-0010-0000-0700-00000C000000}" name="Pupils identifying as 'Other':_x000a_Years 3 to 6"/>
    <tableColumn id="13" xr3:uid="{00000000-0010-0000-0700-00000D000000}" name="Pupils identifying as 'Other':_x000a_Years 7 to 11"/>
    <tableColumn id="14" xr3:uid="{00000000-0010-0000-0700-00000E000000}" name="I do not want to say"/>
    <tableColumn id="15" xr3:uid="{00000000-0010-0000-0700-00000F000000}" name="I do not want to say:_x000a_Years 3 to 6"/>
    <tableColumn id="16" xr3:uid="{00000000-0010-0000-0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6"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7a" displayName="table7a" ref="A2:P36" totalsRowShown="0">
  <tableColumns count="16">
    <tableColumn id="1" xr3:uid="{00000000-0010-0000-0800-000001000000}" name=" "/>
    <tableColumn id="2" xr3:uid="{00000000-0010-0000-0800-000002000000}" name="All"/>
    <tableColumn id="3" xr3:uid="{00000000-0010-0000-0800-000003000000}" name="All:_x000a_Years 3 to 6"/>
    <tableColumn id="4" xr3:uid="{00000000-0010-0000-0800-000004000000}" name="All:_x000a_Years 7 to 11"/>
    <tableColumn id="5" xr3:uid="{00000000-0010-0000-0800-000005000000}" name="Boy"/>
    <tableColumn id="6" xr3:uid="{00000000-0010-0000-0800-000006000000}" name="Boy:_x000a_Years 3 to 6"/>
    <tableColumn id="7" xr3:uid="{00000000-0010-0000-0800-000007000000}" name="Boy:_x000a_Years 7 to 11"/>
    <tableColumn id="8" xr3:uid="{00000000-0010-0000-0800-000008000000}" name="Girl"/>
    <tableColumn id="9" xr3:uid="{00000000-0010-0000-0800-000009000000}" name="Girl:_x000a_Years 3 to 6"/>
    <tableColumn id="10" xr3:uid="{00000000-0010-0000-0800-00000A000000}" name="Girl:_x000a_Years 7 to 11"/>
    <tableColumn id="11" xr3:uid="{00000000-0010-0000-0800-00000B000000}" name="Pupils identifying as 'Other'"/>
    <tableColumn id="12" xr3:uid="{00000000-0010-0000-0800-00000C000000}" name="Pupils identifying as 'Other':_x000a_Years 3 to 6"/>
    <tableColumn id="13" xr3:uid="{00000000-0010-0000-0800-00000D000000}" name="Pupils identifying as 'Other':_x000a_Years 7 to 11"/>
    <tableColumn id="14" xr3:uid="{00000000-0010-0000-0800-00000E000000}" name="I do not want to say"/>
    <tableColumn id="15" xr3:uid="{00000000-0010-0000-0800-00000F000000}" name="I do not want to say:_x000a_Years 3 to 6"/>
    <tableColumn id="16" xr3:uid="{00000000-0010-0000-08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7b" displayName="table7b" ref="A2:P64" totalsRowShown="0">
  <tableColumns count="16">
    <tableColumn id="1" xr3:uid="{00000000-0010-0000-0900-000001000000}" name=" "/>
    <tableColumn id="2" xr3:uid="{00000000-0010-0000-0900-000002000000}" name="All"/>
    <tableColumn id="3" xr3:uid="{00000000-0010-0000-0900-000003000000}" name="All:_x000a_Years 3 to 6"/>
    <tableColumn id="4" xr3:uid="{00000000-0010-0000-0900-000004000000}" name="All:_x000a_Years 7 to 11"/>
    <tableColumn id="5" xr3:uid="{00000000-0010-0000-0900-000005000000}" name="Boy"/>
    <tableColumn id="6" xr3:uid="{00000000-0010-0000-0900-000006000000}" name="Boy:_x000a_Years 3 to 6"/>
    <tableColumn id="7" xr3:uid="{00000000-0010-0000-0900-000007000000}" name="Boy:_x000a_Years 7 to 11"/>
    <tableColumn id="8" xr3:uid="{00000000-0010-0000-0900-000008000000}" name="Girl"/>
    <tableColumn id="9" xr3:uid="{00000000-0010-0000-0900-000009000000}" name="Girl:_x000a_Years 3 to 6"/>
    <tableColumn id="10" xr3:uid="{00000000-0010-0000-0900-00000A000000}" name="Girl:_x000a_Years 7 to 11"/>
    <tableColumn id="11" xr3:uid="{00000000-0010-0000-0900-00000B000000}" name="Pupils identifying as 'Other'"/>
    <tableColumn id="12" xr3:uid="{00000000-0010-0000-0900-00000C000000}" name="Pupils identifying as 'Other':_x000a_Years 3 to 6"/>
    <tableColumn id="13" xr3:uid="{00000000-0010-0000-0900-00000D000000}" name="Pupils identifying as 'Other':_x000a_Years 7 to 11"/>
    <tableColumn id="14" xr3:uid="{00000000-0010-0000-0900-00000E000000}" name="I do not want to say"/>
    <tableColumn id="15" xr3:uid="{00000000-0010-0000-0900-00000F000000}" name="I do not want to say:_x000a_Years 3 to 6"/>
    <tableColumn id="16" xr3:uid="{00000000-0010-0000-09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7 colum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c" displayName="table7c" ref="A2:AI64" totalsRowShown="0">
  <tableColumns count="35">
    <tableColumn id="1" xr3:uid="{00000000-0010-0000-0A00-000001000000}" name=" "/>
    <tableColumn id="2" xr3:uid="{00000000-0010-0000-0A00-000002000000}" name="Wales"/>
    <tableColumn id="3" xr3:uid="{00000000-0010-0000-0A00-000003000000}" name="Regional Sport Partnership: West Wales"/>
    <tableColumn id="4" xr3:uid="{00000000-0010-0000-0A00-000004000000}" name="Swansea"/>
    <tableColumn id="5" xr3:uid="{00000000-0010-0000-0A00-000005000000}" name="Primary in Swansea: _x000a_Years 3 to 6"/>
    <tableColumn id="6" xr3:uid="{00000000-0010-0000-0A00-000006000000}" name="Bishopston Primary School"/>
    <tableColumn id="7" xr3:uid="{00000000-0010-0000-0A00-000007000000}" name="Casllwchwr Primary School"/>
    <tableColumn id="8" xr3:uid="{00000000-0010-0000-0A00-000008000000}" name="Clwyd Primary School"/>
    <tableColumn id="9" xr3:uid="{00000000-0010-0000-0A00-000009000000}" name="Gowerton Primary School"/>
    <tableColumn id="10" xr3:uid="{00000000-0010-0000-0A00-00000A000000}" name="Grange Primary School"/>
    <tableColumn id="11" xr3:uid="{00000000-0010-0000-0A00-00000B000000}" name="Knelston Primary"/>
    <tableColumn id="12" xr3:uid="{00000000-0010-0000-0A00-00000C000000}" name="Newton Primary School"/>
    <tableColumn id="13" xr3:uid="{00000000-0010-0000-0A00-00000D000000}" name="Oystermouth Primary School"/>
    <tableColumn id="14" xr3:uid="{00000000-0010-0000-0A00-00000E000000}" name="Penclawdd Primary School"/>
    <tableColumn id="15" xr3:uid="{00000000-0010-0000-0A00-00000F000000}" name="Pennard Primary"/>
    <tableColumn id="16" xr3:uid="{00000000-0010-0000-0A00-000010000000}" name="Pen-y-Fro"/>
    <tableColumn id="17" xr3:uid="{00000000-0010-0000-0A00-000011000000}" name="Pontarddulais Primary School"/>
    <tableColumn id="18" xr3:uid="{00000000-0010-0000-0A00-000012000000}" name="Pontlliw Primary"/>
    <tableColumn id="19" xr3:uid="{00000000-0010-0000-0A00-000013000000}" name="Portmead Primary School"/>
    <tableColumn id="20" xr3:uid="{00000000-0010-0000-0A00-000014000000}" name="Sea View Primary School"/>
    <tableColumn id="21" xr3:uid="{00000000-0010-0000-0A00-000015000000}" name="Townhill Primary School"/>
    <tableColumn id="22" xr3:uid="{00000000-0010-0000-0A00-000016000000}" name="Y.G.G. Bryniago"/>
    <tableColumn id="23" xr3:uid="{00000000-0010-0000-0A00-000017000000}" name="Y.G.G. Gellionnen"/>
    <tableColumn id="24" xr3:uid="{00000000-0010-0000-0A00-000018000000}" name="Y.G.G. Pontybrenin"/>
    <tableColumn id="25" xr3:uid="{00000000-0010-0000-0A00-000019000000}" name="Ysgol Gymraeg Lon Las"/>
    <tableColumn id="26" xr3:uid="{00000000-0010-0000-0A00-00001A000000}" name="Ysgol Gymraeg y Login Fach"/>
    <tableColumn id="27" xr3:uid="{00000000-0010-0000-0A00-00001B000000}" name="Secondary in Swansea: _x000a_Years 7 to 11"/>
    <tableColumn id="28" xr3:uid="{00000000-0010-0000-0A00-00001C000000}" name="Birchgrove"/>
    <tableColumn id="29" xr3:uid="{00000000-0010-0000-0A00-00001D000000}" name="Bishopston Comprehensive"/>
    <tableColumn id="30" xr3:uid="{00000000-0010-0000-0A00-00001E000000}" name="Dylan Thomas Community School"/>
    <tableColumn id="31" xr3:uid="{00000000-0010-0000-0A00-00001F000000}" name="Morriston Comprehensive"/>
    <tableColumn id="32" xr3:uid="{00000000-0010-0000-0A00-000020000000}" name="Olchfa School"/>
    <tableColumn id="33" xr3:uid="{00000000-0010-0000-0A00-000021000000}" name="Pentrehafod School"/>
    <tableColumn id="34" xr3:uid="{00000000-0010-0000-0A00-000022000000}" name="Ysgol Gyfun Gwyr"/>
    <tableColumn id="35" xr3:uid="{00000000-0010-0000-0A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7c" altTextSummary="Table with 27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a" displayName="table8a" ref="A2:P36" totalsRowShown="0">
  <tableColumns count="16">
    <tableColumn id="1" xr3:uid="{00000000-0010-0000-0B00-000001000000}" name=" "/>
    <tableColumn id="2" xr3:uid="{00000000-0010-0000-0B00-000002000000}" name="All"/>
    <tableColumn id="3" xr3:uid="{00000000-0010-0000-0B00-000003000000}" name="All:_x000a_Years 3 to 6"/>
    <tableColumn id="4" xr3:uid="{00000000-0010-0000-0B00-000004000000}" name="All:_x000a_Years 7 to 11"/>
    <tableColumn id="5" xr3:uid="{00000000-0010-0000-0B00-000005000000}" name="Boy"/>
    <tableColumn id="6" xr3:uid="{00000000-0010-0000-0B00-000006000000}" name="Boy:_x000a_Years 3 to 6"/>
    <tableColumn id="7" xr3:uid="{00000000-0010-0000-0B00-000007000000}" name="Boy:_x000a_Years 7 to 11"/>
    <tableColumn id="8" xr3:uid="{00000000-0010-0000-0B00-000008000000}" name="Girl"/>
    <tableColumn id="9" xr3:uid="{00000000-0010-0000-0B00-000009000000}" name="Girl:_x000a_Years 3 to 6"/>
    <tableColumn id="10" xr3:uid="{00000000-0010-0000-0B00-00000A000000}" name="Girl:_x000a_Years 7 to 11"/>
    <tableColumn id="11" xr3:uid="{00000000-0010-0000-0B00-00000B000000}" name="Pupils identifying as 'Other'"/>
    <tableColumn id="12" xr3:uid="{00000000-0010-0000-0B00-00000C000000}" name="Pupils identifying as 'Other':_x000a_Years 3 to 6"/>
    <tableColumn id="13" xr3:uid="{00000000-0010-0000-0B00-00000D000000}" name="Pupils identifying as 'Other':_x000a_Years 7 to 11"/>
    <tableColumn id="14" xr3:uid="{00000000-0010-0000-0B00-00000E000000}" name="I do not want to say"/>
    <tableColumn id="15" xr3:uid="{00000000-0010-0000-0B00-00000F000000}" name="I do not want to say:_x000a_Years 3 to 6"/>
    <tableColumn id="16" xr3:uid="{00000000-0010-0000-0B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8b" displayName="table8b" ref="A2:P64" totalsRowShown="0">
  <tableColumns count="16">
    <tableColumn id="1" xr3:uid="{00000000-0010-0000-0C00-000001000000}" name=" "/>
    <tableColumn id="2" xr3:uid="{00000000-0010-0000-0C00-000002000000}" name="All"/>
    <tableColumn id="3" xr3:uid="{00000000-0010-0000-0C00-000003000000}" name="All:_x000a_Years 3 to 6"/>
    <tableColumn id="4" xr3:uid="{00000000-0010-0000-0C00-000004000000}" name="All:_x000a_Years 7 to 11"/>
    <tableColumn id="5" xr3:uid="{00000000-0010-0000-0C00-000005000000}" name="Boy"/>
    <tableColumn id="6" xr3:uid="{00000000-0010-0000-0C00-000006000000}" name="Boy:_x000a_Years 3 to 6"/>
    <tableColumn id="7" xr3:uid="{00000000-0010-0000-0C00-000007000000}" name="Boy:_x000a_Years 7 to 11"/>
    <tableColumn id="8" xr3:uid="{00000000-0010-0000-0C00-000008000000}" name="Girl"/>
    <tableColumn id="9" xr3:uid="{00000000-0010-0000-0C00-000009000000}" name="Girl:_x000a_Years 3 to 6"/>
    <tableColumn id="10" xr3:uid="{00000000-0010-0000-0C00-00000A000000}" name="Girl:_x000a_Years 7 to 11"/>
    <tableColumn id="11" xr3:uid="{00000000-0010-0000-0C00-00000B000000}" name="Pupils identifying as 'Other'"/>
    <tableColumn id="12" xr3:uid="{00000000-0010-0000-0C00-00000C000000}" name="Pupils identifying as 'Other':_x000a_Years 3 to 6"/>
    <tableColumn id="13" xr3:uid="{00000000-0010-0000-0C00-00000D000000}" name="Pupils identifying as 'Other':_x000a_Years 7 to 11"/>
    <tableColumn id="14" xr3:uid="{00000000-0010-0000-0C00-00000E000000}" name="I do not want to say"/>
    <tableColumn id="15" xr3:uid="{00000000-0010-0000-0C00-00000F000000}" name="I do not want to say:_x000a_Years 3 to 6"/>
    <tableColumn id="16" xr3:uid="{00000000-0010-0000-0C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8c" displayName="table8c" ref="A2:AI64" totalsRowShown="0">
  <tableColumns count="35">
    <tableColumn id="1" xr3:uid="{00000000-0010-0000-0D00-000001000000}" name=" "/>
    <tableColumn id="2" xr3:uid="{00000000-0010-0000-0D00-000002000000}" name="Wales"/>
    <tableColumn id="3" xr3:uid="{00000000-0010-0000-0D00-000003000000}" name="Regional Sport Partnership: West Wales"/>
    <tableColumn id="4" xr3:uid="{00000000-0010-0000-0D00-000004000000}" name="Swansea"/>
    <tableColumn id="5" xr3:uid="{00000000-0010-0000-0D00-000005000000}" name="Primary in Swansea: _x000a_Years 3 to 6"/>
    <tableColumn id="6" xr3:uid="{00000000-0010-0000-0D00-000006000000}" name="Bishopston Primary School"/>
    <tableColumn id="7" xr3:uid="{00000000-0010-0000-0D00-000007000000}" name="Casllwchwr Primary School"/>
    <tableColumn id="8" xr3:uid="{00000000-0010-0000-0D00-000008000000}" name="Clwyd Primary School"/>
    <tableColumn id="9" xr3:uid="{00000000-0010-0000-0D00-000009000000}" name="Gowerton Primary School"/>
    <tableColumn id="10" xr3:uid="{00000000-0010-0000-0D00-00000A000000}" name="Grange Primary School"/>
    <tableColumn id="11" xr3:uid="{00000000-0010-0000-0D00-00000B000000}" name="Knelston Primary"/>
    <tableColumn id="12" xr3:uid="{00000000-0010-0000-0D00-00000C000000}" name="Newton Primary School"/>
    <tableColumn id="13" xr3:uid="{00000000-0010-0000-0D00-00000D000000}" name="Oystermouth Primary School"/>
    <tableColumn id="14" xr3:uid="{00000000-0010-0000-0D00-00000E000000}" name="Penclawdd Primary School"/>
    <tableColumn id="15" xr3:uid="{00000000-0010-0000-0D00-00000F000000}" name="Pennard Primary"/>
    <tableColumn id="16" xr3:uid="{00000000-0010-0000-0D00-000010000000}" name="Pen-y-Fro"/>
    <tableColumn id="17" xr3:uid="{00000000-0010-0000-0D00-000011000000}" name="Pontarddulais Primary School"/>
    <tableColumn id="18" xr3:uid="{00000000-0010-0000-0D00-000012000000}" name="Pontlliw Primary"/>
    <tableColumn id="19" xr3:uid="{00000000-0010-0000-0D00-000013000000}" name="Portmead Primary School"/>
    <tableColumn id="20" xr3:uid="{00000000-0010-0000-0D00-000014000000}" name="Sea View Primary School"/>
    <tableColumn id="21" xr3:uid="{00000000-0010-0000-0D00-000015000000}" name="Townhill Primary School"/>
    <tableColumn id="22" xr3:uid="{00000000-0010-0000-0D00-000016000000}" name="Y.G.G. Bryniago"/>
    <tableColumn id="23" xr3:uid="{00000000-0010-0000-0D00-000017000000}" name="Y.G.G. Gellionnen"/>
    <tableColumn id="24" xr3:uid="{00000000-0010-0000-0D00-000018000000}" name="Y.G.G. Pontybrenin"/>
    <tableColumn id="25" xr3:uid="{00000000-0010-0000-0D00-000019000000}" name="Ysgol Gymraeg Lon Las"/>
    <tableColumn id="26" xr3:uid="{00000000-0010-0000-0D00-00001A000000}" name="Ysgol Gymraeg y Login Fach"/>
    <tableColumn id="27" xr3:uid="{00000000-0010-0000-0D00-00001B000000}" name="Secondary in Swansea: _x000a_Years 7 to 11"/>
    <tableColumn id="28" xr3:uid="{00000000-0010-0000-0D00-00001C000000}" name="Birchgrove"/>
    <tableColumn id="29" xr3:uid="{00000000-0010-0000-0D00-00001D000000}" name="Bishopston Comprehensive"/>
    <tableColumn id="30" xr3:uid="{00000000-0010-0000-0D00-00001E000000}" name="Dylan Thomas Community School"/>
    <tableColumn id="31" xr3:uid="{00000000-0010-0000-0D00-00001F000000}" name="Morriston Comprehensive"/>
    <tableColumn id="32" xr3:uid="{00000000-0010-0000-0D00-000020000000}" name="Olchfa School"/>
    <tableColumn id="33" xr3:uid="{00000000-0010-0000-0D00-000021000000}" name="Pentrehafod School"/>
    <tableColumn id="34" xr3:uid="{00000000-0010-0000-0D00-000022000000}" name="Ysgol Gyfun Gwyr"/>
    <tableColumn id="35" xr3:uid="{00000000-0010-0000-0D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8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9a" displayName="table9a" ref="A2:P36" totalsRowShown="0">
  <tableColumns count="16">
    <tableColumn id="1" xr3:uid="{00000000-0010-0000-0E00-000001000000}" name=" "/>
    <tableColumn id="2" xr3:uid="{00000000-0010-0000-0E00-000002000000}" name="All"/>
    <tableColumn id="3" xr3:uid="{00000000-0010-0000-0E00-000003000000}" name="All:_x000a_Years 3 to 6"/>
    <tableColumn id="4" xr3:uid="{00000000-0010-0000-0E00-000004000000}" name="All:_x000a_Years 7 to 11"/>
    <tableColumn id="5" xr3:uid="{00000000-0010-0000-0E00-000005000000}" name="Boy"/>
    <tableColumn id="6" xr3:uid="{00000000-0010-0000-0E00-000006000000}" name="Boy:_x000a_Years 3 to 6"/>
    <tableColumn id="7" xr3:uid="{00000000-0010-0000-0E00-000007000000}" name="Boy:_x000a_Years 7 to 11"/>
    <tableColumn id="8" xr3:uid="{00000000-0010-0000-0E00-000008000000}" name="Girl"/>
    <tableColumn id="9" xr3:uid="{00000000-0010-0000-0E00-000009000000}" name="Girl:_x000a_Years 3 to 6"/>
    <tableColumn id="10" xr3:uid="{00000000-0010-0000-0E00-00000A000000}" name="Girl:_x000a_Years 7 to 11"/>
    <tableColumn id="11" xr3:uid="{00000000-0010-0000-0E00-00000B000000}" name="Pupils identifying as 'Other'"/>
    <tableColumn id="12" xr3:uid="{00000000-0010-0000-0E00-00000C000000}" name="Pupils identifying as 'Other':_x000a_Years 3 to 6"/>
    <tableColumn id="13" xr3:uid="{00000000-0010-0000-0E00-00000D000000}" name="Pupils identifying as 'Other':_x000a_Years 7 to 11"/>
    <tableColumn id="14" xr3:uid="{00000000-0010-0000-0E00-00000E000000}" name="I do not want to say"/>
    <tableColumn id="15" xr3:uid="{00000000-0010-0000-0E00-00000F000000}" name="I do not want to say:_x000a_Years 3 to 6"/>
    <tableColumn id="16" xr3:uid="{00000000-0010-0000-0E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9b" displayName="table9b" ref="A2:P64" totalsRowShown="0">
  <tableColumns count="16">
    <tableColumn id="1" xr3:uid="{00000000-0010-0000-0F00-000001000000}" name=" "/>
    <tableColumn id="2" xr3:uid="{00000000-0010-0000-0F00-000002000000}" name="All"/>
    <tableColumn id="3" xr3:uid="{00000000-0010-0000-0F00-000003000000}" name="All:_x000a_Years 3 to 6"/>
    <tableColumn id="4" xr3:uid="{00000000-0010-0000-0F00-000004000000}" name="All:_x000a_Years 7 to 11"/>
    <tableColumn id="5" xr3:uid="{00000000-0010-0000-0F00-000005000000}" name="Boy"/>
    <tableColumn id="6" xr3:uid="{00000000-0010-0000-0F00-000006000000}" name="Boy:_x000a_Years 3 to 6"/>
    <tableColumn id="7" xr3:uid="{00000000-0010-0000-0F00-000007000000}" name="Boy:_x000a_Years 7 to 11"/>
    <tableColumn id="8" xr3:uid="{00000000-0010-0000-0F00-000008000000}" name="Girl"/>
    <tableColumn id="9" xr3:uid="{00000000-0010-0000-0F00-000009000000}" name="Girl:_x000a_Years 3 to 6"/>
    <tableColumn id="10" xr3:uid="{00000000-0010-0000-0F00-00000A000000}" name="Girl:_x000a_Years 7 to 11"/>
    <tableColumn id="11" xr3:uid="{00000000-0010-0000-0F00-00000B000000}" name="Pupils identifying as 'Other'"/>
    <tableColumn id="12" xr3:uid="{00000000-0010-0000-0F00-00000C000000}" name="Pupils identifying as 'Other':_x000a_Years 3 to 6"/>
    <tableColumn id="13" xr3:uid="{00000000-0010-0000-0F00-00000D000000}" name="Pupils identifying as 'Other':_x000a_Years 7 to 11"/>
    <tableColumn id="14" xr3:uid="{00000000-0010-0000-0F00-00000E000000}" name="I do not want to say"/>
    <tableColumn id="15" xr3:uid="{00000000-0010-0000-0F00-00000F000000}" name="I do not want to say:_x000a_Years 3 to 6"/>
    <tableColumn id="16" xr3:uid="{00000000-0010-0000-0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9c" displayName="table9c" ref="A2:AI64" totalsRowShown="0">
  <tableColumns count="35">
    <tableColumn id="1" xr3:uid="{00000000-0010-0000-1000-000001000000}" name=" "/>
    <tableColumn id="2" xr3:uid="{00000000-0010-0000-1000-000002000000}" name="Wales"/>
    <tableColumn id="3" xr3:uid="{00000000-0010-0000-1000-000003000000}" name="Regional Sport Partnership: West Wales"/>
    <tableColumn id="4" xr3:uid="{00000000-0010-0000-1000-000004000000}" name="Swansea"/>
    <tableColumn id="5" xr3:uid="{00000000-0010-0000-1000-000005000000}" name="Primary in Swansea: _x000a_Years 3 to 6"/>
    <tableColumn id="6" xr3:uid="{00000000-0010-0000-1000-000006000000}" name="Bishopston Primary School"/>
    <tableColumn id="7" xr3:uid="{00000000-0010-0000-1000-000007000000}" name="Casllwchwr Primary School"/>
    <tableColumn id="8" xr3:uid="{00000000-0010-0000-1000-000008000000}" name="Clwyd Primary School"/>
    <tableColumn id="9" xr3:uid="{00000000-0010-0000-1000-000009000000}" name="Gowerton Primary School"/>
    <tableColumn id="10" xr3:uid="{00000000-0010-0000-1000-00000A000000}" name="Grange Primary School"/>
    <tableColumn id="11" xr3:uid="{00000000-0010-0000-1000-00000B000000}" name="Knelston Primary"/>
    <tableColumn id="12" xr3:uid="{00000000-0010-0000-1000-00000C000000}" name="Newton Primary School"/>
    <tableColumn id="13" xr3:uid="{00000000-0010-0000-1000-00000D000000}" name="Oystermouth Primary School"/>
    <tableColumn id="14" xr3:uid="{00000000-0010-0000-1000-00000E000000}" name="Penclawdd Primary School"/>
    <tableColumn id="15" xr3:uid="{00000000-0010-0000-1000-00000F000000}" name="Pennard Primary"/>
    <tableColumn id="16" xr3:uid="{00000000-0010-0000-1000-000010000000}" name="Pen-y-Fro"/>
    <tableColumn id="17" xr3:uid="{00000000-0010-0000-1000-000011000000}" name="Pontarddulais Primary School"/>
    <tableColumn id="18" xr3:uid="{00000000-0010-0000-1000-000012000000}" name="Pontlliw Primary"/>
    <tableColumn id="19" xr3:uid="{00000000-0010-0000-1000-000013000000}" name="Portmead Primary School"/>
    <tableColumn id="20" xr3:uid="{00000000-0010-0000-1000-000014000000}" name="Sea View Primary School"/>
    <tableColumn id="21" xr3:uid="{00000000-0010-0000-1000-000015000000}" name="Townhill Primary School"/>
    <tableColumn id="22" xr3:uid="{00000000-0010-0000-1000-000016000000}" name="Y.G.G. Bryniago"/>
    <tableColumn id="23" xr3:uid="{00000000-0010-0000-1000-000017000000}" name="Y.G.G. Gellionnen"/>
    <tableColumn id="24" xr3:uid="{00000000-0010-0000-1000-000018000000}" name="Y.G.G. Pontybrenin"/>
    <tableColumn id="25" xr3:uid="{00000000-0010-0000-1000-000019000000}" name="Ysgol Gymraeg Lon Las"/>
    <tableColumn id="26" xr3:uid="{00000000-0010-0000-1000-00001A000000}" name="Ysgol Gymraeg y Login Fach"/>
    <tableColumn id="27" xr3:uid="{00000000-0010-0000-1000-00001B000000}" name="Secondary in Swansea: _x000a_Years 7 to 11"/>
    <tableColumn id="28" xr3:uid="{00000000-0010-0000-1000-00001C000000}" name="Birchgrove"/>
    <tableColumn id="29" xr3:uid="{00000000-0010-0000-1000-00001D000000}" name="Bishopston Comprehensive"/>
    <tableColumn id="30" xr3:uid="{00000000-0010-0000-1000-00001E000000}" name="Dylan Thomas Community School"/>
    <tableColumn id="31" xr3:uid="{00000000-0010-0000-1000-00001F000000}" name="Morriston Comprehensive"/>
    <tableColumn id="32" xr3:uid="{00000000-0010-0000-1000-000020000000}" name="Olchfa School"/>
    <tableColumn id="33" xr3:uid="{00000000-0010-0000-1000-000021000000}" name="Pentrehafod School"/>
    <tableColumn id="34" xr3:uid="{00000000-0010-0000-1000-000022000000}" name="Ysgol Gyfun Gwyr"/>
    <tableColumn id="35" xr3:uid="{00000000-0010-0000-10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9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0a" displayName="table10a" ref="A2:P36" totalsRowShown="0">
  <tableColumns count="16">
    <tableColumn id="1" xr3:uid="{00000000-0010-0000-1100-000001000000}" name=" "/>
    <tableColumn id="2" xr3:uid="{00000000-0010-0000-1100-000002000000}" name="All"/>
    <tableColumn id="3" xr3:uid="{00000000-0010-0000-1100-000003000000}" name="All:_x000a_Years 3 to 6"/>
    <tableColumn id="4" xr3:uid="{00000000-0010-0000-1100-000004000000}" name="All:_x000a_Years 7 to 11"/>
    <tableColumn id="5" xr3:uid="{00000000-0010-0000-1100-000005000000}" name="Boy"/>
    <tableColumn id="6" xr3:uid="{00000000-0010-0000-1100-000006000000}" name="Boy:_x000a_Years 3 to 6"/>
    <tableColumn id="7" xr3:uid="{00000000-0010-0000-1100-000007000000}" name="Boy:_x000a_Years 7 to 11"/>
    <tableColumn id="8" xr3:uid="{00000000-0010-0000-1100-000008000000}" name="Girl"/>
    <tableColumn id="9" xr3:uid="{00000000-0010-0000-1100-000009000000}" name="Girl:_x000a_Years 3 to 6"/>
    <tableColumn id="10" xr3:uid="{00000000-0010-0000-1100-00000A000000}" name="Girl:_x000a_Years 7 to 11"/>
    <tableColumn id="11" xr3:uid="{00000000-0010-0000-1100-00000B000000}" name="Pupils identifying as 'Other'"/>
    <tableColumn id="12" xr3:uid="{00000000-0010-0000-1100-00000C000000}" name="Pupils identifying as 'Other':_x000a_Years 3 to 6"/>
    <tableColumn id="13" xr3:uid="{00000000-0010-0000-1100-00000D000000}" name="Pupils identifying as 'Other':_x000a_Years 7 to 11"/>
    <tableColumn id="14" xr3:uid="{00000000-0010-0000-1100-00000E000000}" name="I do not want to say"/>
    <tableColumn id="15" xr3:uid="{00000000-0010-0000-1100-00000F000000}" name="I do not want to say:_x000a_Years 3 to 6"/>
    <tableColumn id="16" xr3:uid="{00000000-0010-0000-1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10b" displayName="table10b" ref="A2:P64" totalsRowShown="0">
  <tableColumns count="16">
    <tableColumn id="1" xr3:uid="{00000000-0010-0000-1200-000001000000}" name=" "/>
    <tableColumn id="2" xr3:uid="{00000000-0010-0000-1200-000002000000}" name="All"/>
    <tableColumn id="3" xr3:uid="{00000000-0010-0000-1200-000003000000}" name="All:_x000a_Years 3 to 6"/>
    <tableColumn id="4" xr3:uid="{00000000-0010-0000-1200-000004000000}" name="All:_x000a_Years 7 to 11"/>
    <tableColumn id="5" xr3:uid="{00000000-0010-0000-1200-000005000000}" name="Boy"/>
    <tableColumn id="6" xr3:uid="{00000000-0010-0000-1200-000006000000}" name="Boy:_x000a_Years 3 to 6"/>
    <tableColumn id="7" xr3:uid="{00000000-0010-0000-1200-000007000000}" name="Boy:_x000a_Years 7 to 11"/>
    <tableColumn id="8" xr3:uid="{00000000-0010-0000-1200-000008000000}" name="Girl"/>
    <tableColumn id="9" xr3:uid="{00000000-0010-0000-1200-000009000000}" name="Girl:_x000a_Years 3 to 6"/>
    <tableColumn id="10" xr3:uid="{00000000-0010-0000-1200-00000A000000}" name="Girl:_x000a_Years 7 to 11"/>
    <tableColumn id="11" xr3:uid="{00000000-0010-0000-1200-00000B000000}" name="Pupils identifying as 'Other'"/>
    <tableColumn id="12" xr3:uid="{00000000-0010-0000-1200-00000C000000}" name="Pupils identifying as 'Other':_x000a_Years 3 to 6"/>
    <tableColumn id="13" xr3:uid="{00000000-0010-0000-1200-00000D000000}" name="Pupils identifying as 'Other':_x000a_Years 7 to 11"/>
    <tableColumn id="14" xr3:uid="{00000000-0010-0000-1200-00000E000000}" name="I do not want to say"/>
    <tableColumn id="15" xr3:uid="{00000000-0010-0000-1200-00000F000000}" name="I do not want to say:_x000a_Years 3 to 6"/>
    <tableColumn id="16" xr3:uid="{00000000-0010-0000-12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10c" displayName="table10c" ref="A2:AI64" totalsRowShown="0">
  <tableColumns count="35">
    <tableColumn id="1" xr3:uid="{00000000-0010-0000-1300-000001000000}" name=" "/>
    <tableColumn id="2" xr3:uid="{00000000-0010-0000-1300-000002000000}" name="Wales"/>
    <tableColumn id="3" xr3:uid="{00000000-0010-0000-1300-000003000000}" name="Regional Sport Partnership: West Wales"/>
    <tableColumn id="4" xr3:uid="{00000000-0010-0000-1300-000004000000}" name="Swansea"/>
    <tableColumn id="5" xr3:uid="{00000000-0010-0000-1300-000005000000}" name="Primary in Swansea: _x000a_Years 3 to 6"/>
    <tableColumn id="6" xr3:uid="{00000000-0010-0000-1300-000006000000}" name="Bishopston Primary School"/>
    <tableColumn id="7" xr3:uid="{00000000-0010-0000-1300-000007000000}" name="Casllwchwr Primary School"/>
    <tableColumn id="8" xr3:uid="{00000000-0010-0000-1300-000008000000}" name="Clwyd Primary School"/>
    <tableColumn id="9" xr3:uid="{00000000-0010-0000-1300-000009000000}" name="Gowerton Primary School"/>
    <tableColumn id="10" xr3:uid="{00000000-0010-0000-1300-00000A000000}" name="Grange Primary School"/>
    <tableColumn id="11" xr3:uid="{00000000-0010-0000-1300-00000B000000}" name="Knelston Primary"/>
    <tableColumn id="12" xr3:uid="{00000000-0010-0000-1300-00000C000000}" name="Newton Primary School"/>
    <tableColumn id="13" xr3:uid="{00000000-0010-0000-1300-00000D000000}" name="Oystermouth Primary School"/>
    <tableColumn id="14" xr3:uid="{00000000-0010-0000-1300-00000E000000}" name="Penclawdd Primary School"/>
    <tableColumn id="15" xr3:uid="{00000000-0010-0000-1300-00000F000000}" name="Pennard Primary"/>
    <tableColumn id="16" xr3:uid="{00000000-0010-0000-1300-000010000000}" name="Pen-y-Fro"/>
    <tableColumn id="17" xr3:uid="{00000000-0010-0000-1300-000011000000}" name="Pontarddulais Primary School"/>
    <tableColumn id="18" xr3:uid="{00000000-0010-0000-1300-000012000000}" name="Pontlliw Primary"/>
    <tableColumn id="19" xr3:uid="{00000000-0010-0000-1300-000013000000}" name="Portmead Primary School"/>
    <tableColumn id="20" xr3:uid="{00000000-0010-0000-1300-000014000000}" name="Sea View Primary School"/>
    <tableColumn id="21" xr3:uid="{00000000-0010-0000-1300-000015000000}" name="Townhill Primary School"/>
    <tableColumn id="22" xr3:uid="{00000000-0010-0000-1300-000016000000}" name="Y.G.G. Bryniago"/>
    <tableColumn id="23" xr3:uid="{00000000-0010-0000-1300-000017000000}" name="Y.G.G. Gellionnen"/>
    <tableColumn id="24" xr3:uid="{00000000-0010-0000-1300-000018000000}" name="Y.G.G. Pontybrenin"/>
    <tableColumn id="25" xr3:uid="{00000000-0010-0000-1300-000019000000}" name="Ysgol Gymraeg Lon Las"/>
    <tableColumn id="26" xr3:uid="{00000000-0010-0000-1300-00001A000000}" name="Ysgol Gymraeg y Login Fach"/>
    <tableColumn id="27" xr3:uid="{00000000-0010-0000-1300-00001B000000}" name="Secondary in Swansea: _x000a_Years 7 to 11"/>
    <tableColumn id="28" xr3:uid="{00000000-0010-0000-1300-00001C000000}" name="Birchgrove"/>
    <tableColumn id="29" xr3:uid="{00000000-0010-0000-1300-00001D000000}" name="Bishopston Comprehensive"/>
    <tableColumn id="30" xr3:uid="{00000000-0010-0000-1300-00001E000000}" name="Dylan Thomas Community School"/>
    <tableColumn id="31" xr3:uid="{00000000-0010-0000-1300-00001F000000}" name="Morriston Comprehensive"/>
    <tableColumn id="32" xr3:uid="{00000000-0010-0000-1300-000020000000}" name="Olchfa School"/>
    <tableColumn id="33" xr3:uid="{00000000-0010-0000-1300-000021000000}" name="Pentrehafod School"/>
    <tableColumn id="34" xr3:uid="{00000000-0010-0000-1300-000022000000}" name="Ysgol Gyfun Gwyr"/>
    <tableColumn id="35" xr3:uid="{00000000-0010-0000-13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10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11a" displayName="table11a" ref="A2:D64" totalsRowShown="0">
  <tableColumns count="4">
    <tableColumn id="1" xr3:uid="{00000000-0010-0000-1400-000001000000}" name=" "/>
    <tableColumn id="2" xr3:uid="{00000000-0010-0000-1400-000002000000}" name="Wales"/>
    <tableColumn id="3" xr3:uid="{00000000-0010-0000-1400-000003000000}" name="Regional Sport Partnership: West Wales"/>
    <tableColumn id="4" xr3:uid="{00000000-0010-0000-1400-000004000000}" name="Swansea"/>
  </tableColumns>
  <tableStyleInfo name="none" showFirstColumn="0" showLastColumn="0" showRowStripes="1" showColumnStripes="0"/>
  <extLst>
    <ext xmlns:x14="http://schemas.microsoft.com/office/spreadsheetml/2009/9/main" uri="{504A1905-F514-4f6f-8877-14C23A59335A}">
      <x14:table altText="Table 11a" altTextSummary="Table with 4 columns_x000d__x000a__x000d__x000a_Column A shows a list of sports._x000d__x000a__x000d__x000a_Column B to D shows the National, Regional Sport Partnership and Local Authority proportion of pupils participating in each sport with a disability or impairment_x000d__x000a__x000d__x000a_Additional technical notes and a link to the contents page sit beneath the table._x000d__x000a__x000d__x000a__x000d__x000a_Table with 4 columns"/>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11b" displayName="table11b" ref="A2:D16" totalsRowShown="0">
  <tableColumns count="4">
    <tableColumn id="1" xr3:uid="{00000000-0010-0000-1500-000001000000}" name=" "/>
    <tableColumn id="2" xr3:uid="{00000000-0010-0000-1500-000002000000}" name="Wales"/>
    <tableColumn id="3" xr3:uid="{00000000-0010-0000-1500-000003000000}" name="Regional Sport Partnership: West Wales"/>
    <tableColumn id="4" xr3:uid="{00000000-0010-0000-1500-000004000000}" name="Swansea"/>
  </tableColumns>
  <tableStyleInfo name="none" showFirstColumn="0" showLastColumn="0" showRowStripes="1" showColumnStripes="0"/>
  <extLst>
    <ext xmlns:x14="http://schemas.microsoft.com/office/spreadsheetml/2009/9/main" uri="{504A1905-F514-4f6f-8877-14C23A59335A}">
      <x14:table altText="Table 11b" altTextSummary="Table with 4 columns_x000d__x000a__x000d__x000a_Column A shows a list of ways that pupils with a disability or impairment participate in sport._x000d__x000a__x000d__x000a_Column B to D shows the the National, Regional Sport Partnership and Local Authority proportion of pupils who use these methods to participate._x000d__x000a__x000d__x000a_Additional technical notes and a link to the contents page sit beneath the table._x000d__x000a__x000d__x000a_Table with 9 columns."/>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11c" displayName="table11c" ref="A2:I64" totalsRowShown="0">
  <tableColumns count="9">
    <tableColumn id="1" xr3:uid="{00000000-0010-0000-1600-000001000000}" name=" "/>
    <tableColumn id="2" xr3:uid="{00000000-0010-0000-1600-000002000000}" name="Seated (using a chair or on the floor)"/>
    <tableColumn id="3" xr3:uid="{00000000-0010-0000-1600-000003000000}" name="Standing"/>
    <tableColumn id="4" xr3:uid="{00000000-0010-0000-1600-000004000000}" name="Supported by a person who is my guide/another person"/>
    <tableColumn id="5" xr3:uid="{00000000-0010-0000-1600-000005000000}" name="Using Makaton/British Sign Language"/>
    <tableColumn id="6" xr3:uid="{00000000-0010-0000-1600-000006000000}" name="Using a prosthetic, like a blade or arm"/>
    <tableColumn id="7" xr3:uid="{00000000-0010-0000-1600-000007000000}" name="Using equipment, like a frame or walking aid"/>
    <tableColumn id="8" xr3:uid="{00000000-0010-0000-1600-000008000000}" name="Other"/>
    <tableColumn id="9" xr3:uid="{00000000-0010-0000-1600-000009000000}" name="Prefer not to say"/>
  </tableColumns>
  <tableStyleInfo name="none" showFirstColumn="0" showLastColumn="0" showRowStripes="1" showColumnStripes="0"/>
  <extLst>
    <ext xmlns:x14="http://schemas.microsoft.com/office/spreadsheetml/2009/9/main" uri="{504A1905-F514-4f6f-8877-14C23A59335A}">
      <x14:table altText="Table 11c" altTextSummary="Table with 9 columns._x000d__x000a__x000d__x000a_Column A shows a list of sports_x000d__x000a__x000d__x000a_Columns B to I shows different ways that pupils with a disability or impairment may use to participate in sport._x000d__x000a_Table with 16 columns."/>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12a" displayName="table12a" ref="A2:P64" totalsRowShown="0">
  <tableColumns count="16">
    <tableColumn id="1" xr3:uid="{00000000-0010-0000-1700-000001000000}" name=" "/>
    <tableColumn id="2" xr3:uid="{00000000-0010-0000-1700-000002000000}" name="All"/>
    <tableColumn id="3" xr3:uid="{00000000-0010-0000-1700-000003000000}" name="All:_x000a_Years 3 to 6"/>
    <tableColumn id="4" xr3:uid="{00000000-0010-0000-1700-000004000000}" name="All:_x000a_Years 7 to 11"/>
    <tableColumn id="5" xr3:uid="{00000000-0010-0000-1700-000005000000}" name="Boy"/>
    <tableColumn id="6" xr3:uid="{00000000-0010-0000-1700-000006000000}" name="Boy:_x000a_Years 3 to 6"/>
    <tableColumn id="7" xr3:uid="{00000000-0010-0000-1700-000007000000}" name="Boy:_x000a_Years 7 to 11"/>
    <tableColumn id="8" xr3:uid="{00000000-0010-0000-1700-000008000000}" name="Girl"/>
    <tableColumn id="9" xr3:uid="{00000000-0010-0000-1700-000009000000}" name="Girl:_x000a_Years 3 to 6"/>
    <tableColumn id="10" xr3:uid="{00000000-0010-0000-1700-00000A000000}" name="Girl:_x000a_Years 7 to 11"/>
    <tableColumn id="11" xr3:uid="{00000000-0010-0000-1700-00000B000000}" name="Pupils identifying as 'Other'"/>
    <tableColumn id="12" xr3:uid="{00000000-0010-0000-1700-00000C000000}" name="Pupils identifying as 'Other':_x000a_Years 3 to 6"/>
    <tableColumn id="13" xr3:uid="{00000000-0010-0000-1700-00000D000000}" name="Pupils identifying as 'Other':_x000a_Years 7 to 11"/>
    <tableColumn id="14" xr3:uid="{00000000-0010-0000-1700-00000E000000}" name="I do not want to say"/>
    <tableColumn id="15" xr3:uid="{00000000-0010-0000-1700-00000F000000}" name="I do not want to say:_x000a_Years 3 to 6"/>
    <tableColumn id="16" xr3:uid="{00000000-0010-0000-1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2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12b" displayName="table12b" ref="A2:AI64" totalsRowShown="0">
  <tableColumns count="35">
    <tableColumn id="1" xr3:uid="{00000000-0010-0000-1800-000001000000}" name=" "/>
    <tableColumn id="2" xr3:uid="{00000000-0010-0000-1800-000002000000}" name="Wales"/>
    <tableColumn id="3" xr3:uid="{00000000-0010-0000-1800-000003000000}" name="Regional Sport Partnership: West Wales"/>
    <tableColumn id="4" xr3:uid="{00000000-0010-0000-1800-000004000000}" name="Swansea"/>
    <tableColumn id="5" xr3:uid="{00000000-0010-0000-1800-000005000000}" name="Primary in Swansea: _x000a_Years 3 to 6"/>
    <tableColumn id="6" xr3:uid="{00000000-0010-0000-1800-000006000000}" name="Bishopston Primary School"/>
    <tableColumn id="7" xr3:uid="{00000000-0010-0000-1800-000007000000}" name="Casllwchwr Primary School"/>
    <tableColumn id="8" xr3:uid="{00000000-0010-0000-1800-000008000000}" name="Clwyd Primary School"/>
    <tableColumn id="9" xr3:uid="{00000000-0010-0000-1800-000009000000}" name="Gowerton Primary School"/>
    <tableColumn id="10" xr3:uid="{00000000-0010-0000-1800-00000A000000}" name="Grange Primary School"/>
    <tableColumn id="11" xr3:uid="{00000000-0010-0000-1800-00000B000000}" name="Knelston Primary"/>
    <tableColumn id="12" xr3:uid="{00000000-0010-0000-1800-00000C000000}" name="Newton Primary School"/>
    <tableColumn id="13" xr3:uid="{00000000-0010-0000-1800-00000D000000}" name="Oystermouth Primary School"/>
    <tableColumn id="14" xr3:uid="{00000000-0010-0000-1800-00000E000000}" name="Penclawdd Primary School"/>
    <tableColumn id="15" xr3:uid="{00000000-0010-0000-1800-00000F000000}" name="Pennard Primary"/>
    <tableColumn id="16" xr3:uid="{00000000-0010-0000-1800-000010000000}" name="Pen-y-Fro"/>
    <tableColumn id="17" xr3:uid="{00000000-0010-0000-1800-000011000000}" name="Pontarddulais Primary School"/>
    <tableColumn id="18" xr3:uid="{00000000-0010-0000-1800-000012000000}" name="Pontlliw Primary"/>
    <tableColumn id="19" xr3:uid="{00000000-0010-0000-1800-000013000000}" name="Portmead Primary School"/>
    <tableColumn id="20" xr3:uid="{00000000-0010-0000-1800-000014000000}" name="Sea View Primary School"/>
    <tableColumn id="21" xr3:uid="{00000000-0010-0000-1800-000015000000}" name="Townhill Primary School"/>
    <tableColumn id="22" xr3:uid="{00000000-0010-0000-1800-000016000000}" name="Y.G.G. Bryniago"/>
    <tableColumn id="23" xr3:uid="{00000000-0010-0000-1800-000017000000}" name="Y.G.G. Gellionnen"/>
    <tableColumn id="24" xr3:uid="{00000000-0010-0000-1800-000018000000}" name="Y.G.G. Pontybrenin"/>
    <tableColumn id="25" xr3:uid="{00000000-0010-0000-1800-000019000000}" name="Ysgol Gymraeg Lon Las"/>
    <tableColumn id="26" xr3:uid="{00000000-0010-0000-1800-00001A000000}" name="Ysgol Gymraeg y Login Fach"/>
    <tableColumn id="27" xr3:uid="{00000000-0010-0000-1800-00001B000000}" name="Secondary in Swansea: _x000a_Years 7 to 11"/>
    <tableColumn id="28" xr3:uid="{00000000-0010-0000-1800-00001C000000}" name="Birchgrove"/>
    <tableColumn id="29" xr3:uid="{00000000-0010-0000-1800-00001D000000}" name="Bishopston Comprehensive"/>
    <tableColumn id="30" xr3:uid="{00000000-0010-0000-1800-00001E000000}" name="Dylan Thomas Community School"/>
    <tableColumn id="31" xr3:uid="{00000000-0010-0000-1800-00001F000000}" name="Morriston Comprehensive"/>
    <tableColumn id="32" xr3:uid="{00000000-0010-0000-1800-000020000000}" name="Olchfa School"/>
    <tableColumn id="33" xr3:uid="{00000000-0010-0000-1800-000021000000}" name="Pentrehafod School"/>
    <tableColumn id="34" xr3:uid="{00000000-0010-0000-1800-000022000000}" name="Ysgol Gyfun Gwyr"/>
    <tableColumn id="35" xr3:uid="{00000000-0010-0000-18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12b" altTextSummary="Table with 29 columns_x000d__x000a__x000d__x000a_Column A shows a list of sport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12c" displayName="table12c" ref="A2:D64" totalsRowShown="0">
  <tableColumns count="4">
    <tableColumn id="1" xr3:uid="{00000000-0010-0000-1900-000001000000}" name=" "/>
    <tableColumn id="2" xr3:uid="{00000000-0010-0000-1900-000002000000}" name="Wales"/>
    <tableColumn id="3" xr3:uid="{00000000-0010-0000-1900-000003000000}" name="Regional Sport Partnership: West Wales"/>
    <tableColumn id="4" xr3:uid="{00000000-0010-0000-1900-000004000000}" name="Swansea"/>
  </tableColumns>
  <tableStyleInfo name="none" showFirstColumn="0" showLastColumn="0" showRowStripes="1" showColumnStripes="0"/>
  <extLst>
    <ext xmlns:x14="http://schemas.microsoft.com/office/spreadsheetml/2009/9/main" uri="{504A1905-F514-4f6f-8877-14C23A59335A}">
      <x14:table altText="Table 12c" altTextSummary="Table with 4 columns._x000d__x000a__x000d__x000a_Column A shows a list of sports_x000d__x000a__x000d__x000a_Column B to D shows the National, Regional Sport Partnership and Local Authority proportion of pupils with a disability or impairment who have Latent Demand for each sport._x000d__x000a__x000d__x000a_Additional technical notes and a link to the contents page sit beneath the table._x000d__x000a__x000d__x000a__x000d__x000a_Table with 16 columns"/>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13a" displayName="table13a" ref="A2:P64" totalsRowShown="0">
  <tableColumns count="16">
    <tableColumn id="1" xr3:uid="{00000000-0010-0000-1A00-000001000000}" name=" "/>
    <tableColumn id="2" xr3:uid="{00000000-0010-0000-1A00-000002000000}" name="All"/>
    <tableColumn id="3" xr3:uid="{00000000-0010-0000-1A00-000003000000}" name="All:_x000a_Years 3 to 6"/>
    <tableColumn id="4" xr3:uid="{00000000-0010-0000-1A00-000004000000}" name="All:_x000a_Years 7 to 11"/>
    <tableColumn id="5" xr3:uid="{00000000-0010-0000-1A00-000005000000}" name="Boy"/>
    <tableColumn id="6" xr3:uid="{00000000-0010-0000-1A00-000006000000}" name="Boy:_x000a_Years 3 to 6"/>
    <tableColumn id="7" xr3:uid="{00000000-0010-0000-1A00-000007000000}" name="Boy:_x000a_Years 7 to 11"/>
    <tableColumn id="8" xr3:uid="{00000000-0010-0000-1A00-000008000000}" name="Girl"/>
    <tableColumn id="9" xr3:uid="{00000000-0010-0000-1A00-000009000000}" name="Girl:_x000a_Years 3 to 6"/>
    <tableColumn id="10" xr3:uid="{00000000-0010-0000-1A00-00000A000000}" name="Girl:_x000a_Years 7 to 11"/>
    <tableColumn id="11" xr3:uid="{00000000-0010-0000-1A00-00000B000000}" name="Pupils identifying as 'Other'"/>
    <tableColumn id="12" xr3:uid="{00000000-0010-0000-1A00-00000C000000}" name="Pupils identifying as 'Other':_x000a_Years 3 to 6"/>
    <tableColumn id="13" xr3:uid="{00000000-0010-0000-1A00-00000D000000}" name="Pupils identifying as 'Other':_x000a_Years 7 to 11"/>
    <tableColumn id="14" xr3:uid="{00000000-0010-0000-1A00-00000E000000}" name="I do not want to say"/>
    <tableColumn id="15" xr3:uid="{00000000-0010-0000-1A00-00000F000000}" name="I do not want to say:_x000a_Years 3 to 6"/>
    <tableColumn id="16" xr3:uid="{00000000-0010-0000-1A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3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13b" displayName="table13b" ref="A2:AI64" totalsRowShown="0">
  <tableColumns count="35">
    <tableColumn id="1" xr3:uid="{00000000-0010-0000-1B00-000001000000}" name=" "/>
    <tableColumn id="2" xr3:uid="{00000000-0010-0000-1B00-000002000000}" name="Wales"/>
    <tableColumn id="3" xr3:uid="{00000000-0010-0000-1B00-000003000000}" name="Regional Sport Partnership: West Wales"/>
    <tableColumn id="4" xr3:uid="{00000000-0010-0000-1B00-000004000000}" name="Swansea"/>
    <tableColumn id="5" xr3:uid="{00000000-0010-0000-1B00-000005000000}" name="Primary in Swansea: _x000a_Years 3 to 6"/>
    <tableColumn id="6" xr3:uid="{00000000-0010-0000-1B00-000006000000}" name="Bishopston Primary School"/>
    <tableColumn id="7" xr3:uid="{00000000-0010-0000-1B00-000007000000}" name="Casllwchwr Primary School"/>
    <tableColumn id="8" xr3:uid="{00000000-0010-0000-1B00-000008000000}" name="Clwyd Primary School"/>
    <tableColumn id="9" xr3:uid="{00000000-0010-0000-1B00-000009000000}" name="Gowerton Primary School"/>
    <tableColumn id="10" xr3:uid="{00000000-0010-0000-1B00-00000A000000}" name="Grange Primary School"/>
    <tableColumn id="11" xr3:uid="{00000000-0010-0000-1B00-00000B000000}" name="Knelston Primary"/>
    <tableColumn id="12" xr3:uid="{00000000-0010-0000-1B00-00000C000000}" name="Newton Primary School"/>
    <tableColumn id="13" xr3:uid="{00000000-0010-0000-1B00-00000D000000}" name="Oystermouth Primary School"/>
    <tableColumn id="14" xr3:uid="{00000000-0010-0000-1B00-00000E000000}" name="Penclawdd Primary School"/>
    <tableColumn id="15" xr3:uid="{00000000-0010-0000-1B00-00000F000000}" name="Pennard Primary"/>
    <tableColumn id="16" xr3:uid="{00000000-0010-0000-1B00-000010000000}" name="Pen-y-Fro"/>
    <tableColumn id="17" xr3:uid="{00000000-0010-0000-1B00-000011000000}" name="Pontarddulais Primary School"/>
    <tableColumn id="18" xr3:uid="{00000000-0010-0000-1B00-000012000000}" name="Pontlliw Primary"/>
    <tableColumn id="19" xr3:uid="{00000000-0010-0000-1B00-000013000000}" name="Portmead Primary School"/>
    <tableColumn id="20" xr3:uid="{00000000-0010-0000-1B00-000014000000}" name="Sea View Primary School"/>
    <tableColumn id="21" xr3:uid="{00000000-0010-0000-1B00-000015000000}" name="Townhill Primary School"/>
    <tableColumn id="22" xr3:uid="{00000000-0010-0000-1B00-000016000000}" name="Y.G.G. Bryniago"/>
    <tableColumn id="23" xr3:uid="{00000000-0010-0000-1B00-000017000000}" name="Y.G.G. Gellionnen"/>
    <tableColumn id="24" xr3:uid="{00000000-0010-0000-1B00-000018000000}" name="Y.G.G. Pontybrenin"/>
    <tableColumn id="25" xr3:uid="{00000000-0010-0000-1B00-000019000000}" name="Ysgol Gymraeg Lon Las"/>
    <tableColumn id="26" xr3:uid="{00000000-0010-0000-1B00-00001A000000}" name="Ysgol Gymraeg y Login Fach"/>
    <tableColumn id="27" xr3:uid="{00000000-0010-0000-1B00-00001B000000}" name="Secondary in Swansea: _x000a_Years 7 to 11"/>
    <tableColumn id="28" xr3:uid="{00000000-0010-0000-1B00-00001C000000}" name="Birchgrove"/>
    <tableColumn id="29" xr3:uid="{00000000-0010-0000-1B00-00001D000000}" name="Bishopston Comprehensive"/>
    <tableColumn id="30" xr3:uid="{00000000-0010-0000-1B00-00001E000000}" name="Dylan Thomas Community School"/>
    <tableColumn id="31" xr3:uid="{00000000-0010-0000-1B00-00001F000000}" name="Morriston Comprehensive"/>
    <tableColumn id="32" xr3:uid="{00000000-0010-0000-1B00-000020000000}" name="Olchfa School"/>
    <tableColumn id="33" xr3:uid="{00000000-0010-0000-1B00-000021000000}" name="Pentrehafod School"/>
    <tableColumn id="34" xr3:uid="{00000000-0010-0000-1B00-000022000000}" name="Ysgol Gyfun Gwyr"/>
    <tableColumn id="35" xr3:uid="{00000000-0010-0000-1B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13b"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2 columns."/>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13c" displayName="table13c" ref="A2:D64" totalsRowShown="0">
  <tableColumns count="4">
    <tableColumn id="1" xr3:uid="{00000000-0010-0000-1C00-000001000000}" name=" "/>
    <tableColumn id="2" xr3:uid="{00000000-0010-0000-1C00-000002000000}" name="Wales"/>
    <tableColumn id="3" xr3:uid="{00000000-0010-0000-1C00-000003000000}" name="Regional Sport Partnership: West Wales"/>
    <tableColumn id="4" xr3:uid="{00000000-0010-0000-1C00-000004000000}" name="Swansea"/>
  </tableColumns>
  <tableStyleInfo name="none" showFirstColumn="0" showLastColumn="0" showRowStripes="1" showColumnStripes="0"/>
  <extLst>
    <ext xmlns:x14="http://schemas.microsoft.com/office/spreadsheetml/2009/9/main" uri="{504A1905-F514-4f6f-8877-14C23A59335A}">
      <x14:table altText="Table 13c" altTextSummary="Table with 2 columns._x000d__x000a__x000d__x000a_Column A shows a list of sports_x000d__x000a__x000d__x000a_Column B shows the National, Regional Sport Partnership and Local Authority of pupils with a disability or impairment who have Unmet Demand for each sport._x000d__x000a__x000d__x000a_Additional technical notes and a link to the contents page sit beneath the table._x000d__x000a__x000d__x000a_Table with 16 columns"/>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14a" displayName="table14a" ref="A2:P37" totalsRowShown="0">
  <tableColumns count="16">
    <tableColumn id="1" xr3:uid="{00000000-0010-0000-1D00-000001000000}" name=" "/>
    <tableColumn id="2" xr3:uid="{00000000-0010-0000-1D00-000002000000}" name="All"/>
    <tableColumn id="3" xr3:uid="{00000000-0010-0000-1D00-000003000000}" name="All:_x000a_Years 3 to 6"/>
    <tableColumn id="4" xr3:uid="{00000000-0010-0000-1D00-000004000000}" name="All:_x000a_Years 7 to 11"/>
    <tableColumn id="5" xr3:uid="{00000000-0010-0000-1D00-000005000000}" name="Boy"/>
    <tableColumn id="6" xr3:uid="{00000000-0010-0000-1D00-000006000000}" name="Boy:_x000a_Years 3 to 6"/>
    <tableColumn id="7" xr3:uid="{00000000-0010-0000-1D00-000007000000}" name="Boy:_x000a_Years 7 to 11"/>
    <tableColumn id="8" xr3:uid="{00000000-0010-0000-1D00-000008000000}" name="Girl"/>
    <tableColumn id="9" xr3:uid="{00000000-0010-0000-1D00-000009000000}" name="Girl:_x000a_Years 3 to 6"/>
    <tableColumn id="10" xr3:uid="{00000000-0010-0000-1D00-00000A000000}" name="Girl:_x000a_Years 7 to 11"/>
    <tableColumn id="11" xr3:uid="{00000000-0010-0000-1D00-00000B000000}" name="Pupils identifying as 'Other'"/>
    <tableColumn id="12" xr3:uid="{00000000-0010-0000-1D00-00000C000000}" name="Pupils identifying as 'Other':_x000a_Years 3 to 6"/>
    <tableColumn id="13" xr3:uid="{00000000-0010-0000-1D00-00000D000000}" name="Pupils identifying as 'Other':_x000a_Years 7 to 11"/>
    <tableColumn id="14" xr3:uid="{00000000-0010-0000-1D00-00000E000000}" name="I do not want to say"/>
    <tableColumn id="15" xr3:uid="{00000000-0010-0000-1D00-00000F000000}" name="I do not want to say:_x000a_Years 3 to 6"/>
    <tableColumn id="16" xr3:uid="{00000000-0010-0000-1D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4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4b" displayName="table14b" ref="A2:AI37" totalsRowShown="0">
  <tableColumns count="35">
    <tableColumn id="1" xr3:uid="{00000000-0010-0000-1E00-000001000000}" name=" "/>
    <tableColumn id="2" xr3:uid="{00000000-0010-0000-1E00-000002000000}" name="Wales"/>
    <tableColumn id="3" xr3:uid="{00000000-0010-0000-1E00-000003000000}" name="Regional Sport Partnership: West Wales"/>
    <tableColumn id="4" xr3:uid="{00000000-0010-0000-1E00-000004000000}" name="Swansea"/>
    <tableColumn id="5" xr3:uid="{00000000-0010-0000-1E00-000005000000}" name="Primary in Swansea: _x000a_Years 3 to 6"/>
    <tableColumn id="6" xr3:uid="{00000000-0010-0000-1E00-000006000000}" name="Bishopston Primary School"/>
    <tableColumn id="7" xr3:uid="{00000000-0010-0000-1E00-000007000000}" name="Casllwchwr Primary School"/>
    <tableColumn id="8" xr3:uid="{00000000-0010-0000-1E00-000008000000}" name="Clwyd Primary School"/>
    <tableColumn id="9" xr3:uid="{00000000-0010-0000-1E00-000009000000}" name="Gowerton Primary School"/>
    <tableColumn id="10" xr3:uid="{00000000-0010-0000-1E00-00000A000000}" name="Grange Primary School"/>
    <tableColumn id="11" xr3:uid="{00000000-0010-0000-1E00-00000B000000}" name="Knelston Primary"/>
    <tableColumn id="12" xr3:uid="{00000000-0010-0000-1E00-00000C000000}" name="Newton Primary School"/>
    <tableColumn id="13" xr3:uid="{00000000-0010-0000-1E00-00000D000000}" name="Oystermouth Primary School"/>
    <tableColumn id="14" xr3:uid="{00000000-0010-0000-1E00-00000E000000}" name="Penclawdd Primary School"/>
    <tableColumn id="15" xr3:uid="{00000000-0010-0000-1E00-00000F000000}" name="Pennard Primary"/>
    <tableColumn id="16" xr3:uid="{00000000-0010-0000-1E00-000010000000}" name="Pen-y-Fro"/>
    <tableColumn id="17" xr3:uid="{00000000-0010-0000-1E00-000011000000}" name="Pontarddulais Primary School"/>
    <tableColumn id="18" xr3:uid="{00000000-0010-0000-1E00-000012000000}" name="Pontlliw Primary"/>
    <tableColumn id="19" xr3:uid="{00000000-0010-0000-1E00-000013000000}" name="Portmead Primary School"/>
    <tableColumn id="20" xr3:uid="{00000000-0010-0000-1E00-000014000000}" name="Sea View Primary School"/>
    <tableColumn id="21" xr3:uid="{00000000-0010-0000-1E00-000015000000}" name="Townhill Primary School"/>
    <tableColumn id="22" xr3:uid="{00000000-0010-0000-1E00-000016000000}" name="Y.G.G. Bryniago"/>
    <tableColumn id="23" xr3:uid="{00000000-0010-0000-1E00-000017000000}" name="Y.G.G. Gellionnen"/>
    <tableColumn id="24" xr3:uid="{00000000-0010-0000-1E00-000018000000}" name="Y.G.G. Pontybrenin"/>
    <tableColumn id="25" xr3:uid="{00000000-0010-0000-1E00-000019000000}" name="Ysgol Gymraeg Lon Las"/>
    <tableColumn id="26" xr3:uid="{00000000-0010-0000-1E00-00001A000000}" name="Ysgol Gymraeg y Login Fach"/>
    <tableColumn id="27" xr3:uid="{00000000-0010-0000-1E00-00001B000000}" name="Secondary in Swansea: _x000a_Years 7 to 11"/>
    <tableColumn id="28" xr3:uid="{00000000-0010-0000-1E00-00001C000000}" name="Birchgrove"/>
    <tableColumn id="29" xr3:uid="{00000000-0010-0000-1E00-00001D000000}" name="Bishopston Comprehensive"/>
    <tableColumn id="30" xr3:uid="{00000000-0010-0000-1E00-00001E000000}" name="Dylan Thomas Community School"/>
    <tableColumn id="31" xr3:uid="{00000000-0010-0000-1E00-00001F000000}" name="Morriston Comprehensive"/>
    <tableColumn id="32" xr3:uid="{00000000-0010-0000-1E00-000020000000}" name="Olchfa School"/>
    <tableColumn id="33" xr3:uid="{00000000-0010-0000-1E00-000021000000}" name="Pentrehafod School"/>
    <tableColumn id="34" xr3:uid="{00000000-0010-0000-1E00-000022000000}" name="Ysgol Gyfun Gwyr"/>
    <tableColumn id="35" xr3:uid="{00000000-0010-0000-1E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14b" altTextSummary="Table with 29 columns._x000d__x000a__x000d__x000a_Column A shows a list of questions and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15a" displayName="table15a" ref="A2:P21" totalsRowShown="0">
  <tableColumns count="16">
    <tableColumn id="1" xr3:uid="{00000000-0010-0000-1F00-000001000000}" name=" "/>
    <tableColumn id="2" xr3:uid="{00000000-0010-0000-1F00-000002000000}" name="All"/>
    <tableColumn id="3" xr3:uid="{00000000-0010-0000-1F00-000003000000}" name="All:_x000a_Years 3 to 6"/>
    <tableColumn id="4" xr3:uid="{00000000-0010-0000-1F00-000004000000}" name="All:_x000a_Years 7 to 11"/>
    <tableColumn id="5" xr3:uid="{00000000-0010-0000-1F00-000005000000}" name="Boy"/>
    <tableColumn id="6" xr3:uid="{00000000-0010-0000-1F00-000006000000}" name="Boy:_x000a_Years 3 to 6"/>
    <tableColumn id="7" xr3:uid="{00000000-0010-0000-1F00-000007000000}" name="Boy:_x000a_Years 7 to 11"/>
    <tableColumn id="8" xr3:uid="{00000000-0010-0000-1F00-000008000000}" name="Girl"/>
    <tableColumn id="9" xr3:uid="{00000000-0010-0000-1F00-000009000000}" name="Girl:_x000a_Years 3 to 6"/>
    <tableColumn id="10" xr3:uid="{00000000-0010-0000-1F00-00000A000000}" name="Girl:_x000a_Years 7 to 11"/>
    <tableColumn id="11" xr3:uid="{00000000-0010-0000-1F00-00000B000000}" name="Pupils identifying as 'Other'"/>
    <tableColumn id="12" xr3:uid="{00000000-0010-0000-1F00-00000C000000}" name="Pupils identifying as 'Other':_x000a_Years 3 to 6"/>
    <tableColumn id="13" xr3:uid="{00000000-0010-0000-1F00-00000D000000}" name="Pupils identifying as 'Other':_x000a_Years 7 to 11"/>
    <tableColumn id="14" xr3:uid="{00000000-0010-0000-1F00-00000E000000}" name="I do not want to say"/>
    <tableColumn id="15" xr3:uid="{00000000-0010-0000-1F00-00000F000000}" name="I do not want to say:_x000a_Years 3 to 6"/>
    <tableColumn id="16" xr3:uid="{00000000-0010-0000-1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5a" altTextSummary="Table with 16 columns_x000d__x000a__x000d__x000a_Column A shows a question and a list of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15b" displayName="table15b" ref="A2:AI21" totalsRowShown="0">
  <tableColumns count="35">
    <tableColumn id="1" xr3:uid="{00000000-0010-0000-2000-000001000000}" name=" "/>
    <tableColumn id="2" xr3:uid="{00000000-0010-0000-2000-000002000000}" name="Wales"/>
    <tableColumn id="3" xr3:uid="{00000000-0010-0000-2000-000003000000}" name="Regional Sport Partnership: West Wales"/>
    <tableColumn id="4" xr3:uid="{00000000-0010-0000-2000-000004000000}" name="Swansea"/>
    <tableColumn id="5" xr3:uid="{00000000-0010-0000-2000-000005000000}" name="Primary in Swansea: _x000a_Years 3 to 6"/>
    <tableColumn id="6" xr3:uid="{00000000-0010-0000-2000-000006000000}" name="Bishopston Primary School"/>
    <tableColumn id="7" xr3:uid="{00000000-0010-0000-2000-000007000000}" name="Casllwchwr Primary School"/>
    <tableColumn id="8" xr3:uid="{00000000-0010-0000-2000-000008000000}" name="Clwyd Primary School"/>
    <tableColumn id="9" xr3:uid="{00000000-0010-0000-2000-000009000000}" name="Gowerton Primary School"/>
    <tableColumn id="10" xr3:uid="{00000000-0010-0000-2000-00000A000000}" name="Grange Primary School"/>
    <tableColumn id="11" xr3:uid="{00000000-0010-0000-2000-00000B000000}" name="Knelston Primary"/>
    <tableColumn id="12" xr3:uid="{00000000-0010-0000-2000-00000C000000}" name="Newton Primary School"/>
    <tableColumn id="13" xr3:uid="{00000000-0010-0000-2000-00000D000000}" name="Oystermouth Primary School"/>
    <tableColumn id="14" xr3:uid="{00000000-0010-0000-2000-00000E000000}" name="Penclawdd Primary School"/>
    <tableColumn id="15" xr3:uid="{00000000-0010-0000-2000-00000F000000}" name="Pennard Primary"/>
    <tableColumn id="16" xr3:uid="{00000000-0010-0000-2000-000010000000}" name="Pen-y-Fro"/>
    <tableColumn id="17" xr3:uid="{00000000-0010-0000-2000-000011000000}" name="Pontarddulais Primary School"/>
    <tableColumn id="18" xr3:uid="{00000000-0010-0000-2000-000012000000}" name="Pontlliw Primary"/>
    <tableColumn id="19" xr3:uid="{00000000-0010-0000-2000-000013000000}" name="Portmead Primary School"/>
    <tableColumn id="20" xr3:uid="{00000000-0010-0000-2000-000014000000}" name="Sea View Primary School"/>
    <tableColumn id="21" xr3:uid="{00000000-0010-0000-2000-000015000000}" name="Townhill Primary School"/>
    <tableColumn id="22" xr3:uid="{00000000-0010-0000-2000-000016000000}" name="Y.G.G. Bryniago"/>
    <tableColumn id="23" xr3:uid="{00000000-0010-0000-2000-000017000000}" name="Y.G.G. Gellionnen"/>
    <tableColumn id="24" xr3:uid="{00000000-0010-0000-2000-000018000000}" name="Y.G.G. Pontybrenin"/>
    <tableColumn id="25" xr3:uid="{00000000-0010-0000-2000-000019000000}" name="Ysgol Gymraeg Lon Las"/>
    <tableColumn id="26" xr3:uid="{00000000-0010-0000-2000-00001A000000}" name="Ysgol Gymraeg y Login Fach"/>
    <tableColumn id="27" xr3:uid="{00000000-0010-0000-2000-00001B000000}" name="Secondary in Swansea: _x000a_Years 7 to 11"/>
    <tableColumn id="28" xr3:uid="{00000000-0010-0000-2000-00001C000000}" name="Birchgrove"/>
    <tableColumn id="29" xr3:uid="{00000000-0010-0000-2000-00001D000000}" name="Bishopston Comprehensive"/>
    <tableColumn id="30" xr3:uid="{00000000-0010-0000-2000-00001E000000}" name="Dylan Thomas Community School"/>
    <tableColumn id="31" xr3:uid="{00000000-0010-0000-2000-00001F000000}" name="Morriston Comprehensive"/>
    <tableColumn id="32" xr3:uid="{00000000-0010-0000-2000-000020000000}" name="Olchfa School"/>
    <tableColumn id="33" xr3:uid="{00000000-0010-0000-2000-000021000000}" name="Pentrehafod School"/>
    <tableColumn id="34" xr3:uid="{00000000-0010-0000-2000-000022000000}" name="Ysgol Gyfun Gwyr"/>
    <tableColumn id="35" xr3:uid="{00000000-0010-0000-20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15b" altTextSummary="Table with 29 columns._x000d__x000a__x000d__x000a_Column A shows a question and a list of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16a" displayName="table16a" ref="A2:P7" totalsRowShown="0">
  <tableColumns count="16">
    <tableColumn id="1" xr3:uid="{00000000-0010-0000-2100-000001000000}" name=" "/>
    <tableColumn id="2" xr3:uid="{00000000-0010-0000-2100-000002000000}" name="All"/>
    <tableColumn id="3" xr3:uid="{00000000-0010-0000-2100-000003000000}" name="All:_x000a_Years 3 to 6"/>
    <tableColumn id="4" xr3:uid="{00000000-0010-0000-2100-000004000000}" name="All:_x000a_Years 7 to 11"/>
    <tableColumn id="5" xr3:uid="{00000000-0010-0000-2100-000005000000}" name="Boy"/>
    <tableColumn id="6" xr3:uid="{00000000-0010-0000-2100-000006000000}" name="Boy:_x000a_Years 3 to 6"/>
    <tableColumn id="7" xr3:uid="{00000000-0010-0000-2100-000007000000}" name="Boy:_x000a_Years 7 to 11"/>
    <tableColumn id="8" xr3:uid="{00000000-0010-0000-2100-000008000000}" name="Girl"/>
    <tableColumn id="9" xr3:uid="{00000000-0010-0000-2100-000009000000}" name="Girl:_x000a_Years 3 to 6"/>
    <tableColumn id="10" xr3:uid="{00000000-0010-0000-2100-00000A000000}" name="Girl:_x000a_Years 7 to 11"/>
    <tableColumn id="11" xr3:uid="{00000000-0010-0000-2100-00000B000000}" name="Pupils identifying as 'Other'"/>
    <tableColumn id="12" xr3:uid="{00000000-0010-0000-2100-00000C000000}" name="Pupils identifying as 'Other':_x000a_Years 3 to 6"/>
    <tableColumn id="13" xr3:uid="{00000000-0010-0000-2100-00000D000000}" name="Pupils identifying as 'Other':_x000a_Years 7 to 11"/>
    <tableColumn id="14" xr3:uid="{00000000-0010-0000-2100-00000E000000}" name="I do not want to say"/>
    <tableColumn id="15" xr3:uid="{00000000-0010-0000-2100-00000F000000}" name="I do not want to say:_x000a_Years 3 to 6"/>
    <tableColumn id="16" xr3:uid="{00000000-0010-0000-2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6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16b" displayName="table16b" ref="A2:AI7" totalsRowShown="0">
  <tableColumns count="35">
    <tableColumn id="1" xr3:uid="{00000000-0010-0000-2200-000001000000}" name=" "/>
    <tableColumn id="2" xr3:uid="{00000000-0010-0000-2200-000002000000}" name="Wales"/>
    <tableColumn id="3" xr3:uid="{00000000-0010-0000-2200-000003000000}" name="Regional Sport Partnership: West Wales"/>
    <tableColumn id="4" xr3:uid="{00000000-0010-0000-2200-000004000000}" name="Swansea"/>
    <tableColumn id="5" xr3:uid="{00000000-0010-0000-2200-000005000000}" name="Primary in Swansea: _x000a_Years 3 to 6"/>
    <tableColumn id="6" xr3:uid="{00000000-0010-0000-2200-000006000000}" name="Bishopston Primary School"/>
    <tableColumn id="7" xr3:uid="{00000000-0010-0000-2200-000007000000}" name="Casllwchwr Primary School"/>
    <tableColumn id="8" xr3:uid="{00000000-0010-0000-2200-000008000000}" name="Clwyd Primary School"/>
    <tableColumn id="9" xr3:uid="{00000000-0010-0000-2200-000009000000}" name="Gowerton Primary School"/>
    <tableColumn id="10" xr3:uid="{00000000-0010-0000-2200-00000A000000}" name="Grange Primary School"/>
    <tableColumn id="11" xr3:uid="{00000000-0010-0000-2200-00000B000000}" name="Knelston Primary"/>
    <tableColumn id="12" xr3:uid="{00000000-0010-0000-2200-00000C000000}" name="Newton Primary School"/>
    <tableColumn id="13" xr3:uid="{00000000-0010-0000-2200-00000D000000}" name="Oystermouth Primary School"/>
    <tableColumn id="14" xr3:uid="{00000000-0010-0000-2200-00000E000000}" name="Penclawdd Primary School"/>
    <tableColumn id="15" xr3:uid="{00000000-0010-0000-2200-00000F000000}" name="Pennard Primary"/>
    <tableColumn id="16" xr3:uid="{00000000-0010-0000-2200-000010000000}" name="Pen-y-Fro"/>
    <tableColumn id="17" xr3:uid="{00000000-0010-0000-2200-000011000000}" name="Pontarddulais Primary School"/>
    <tableColumn id="18" xr3:uid="{00000000-0010-0000-2200-000012000000}" name="Pontlliw Primary"/>
    <tableColumn id="19" xr3:uid="{00000000-0010-0000-2200-000013000000}" name="Portmead Primary School"/>
    <tableColumn id="20" xr3:uid="{00000000-0010-0000-2200-000014000000}" name="Sea View Primary School"/>
    <tableColumn id="21" xr3:uid="{00000000-0010-0000-2200-000015000000}" name="Townhill Primary School"/>
    <tableColumn id="22" xr3:uid="{00000000-0010-0000-2200-000016000000}" name="Y.G.G. Bryniago"/>
    <tableColumn id="23" xr3:uid="{00000000-0010-0000-2200-000017000000}" name="Y.G.G. Gellionnen"/>
    <tableColumn id="24" xr3:uid="{00000000-0010-0000-2200-000018000000}" name="Y.G.G. Pontybrenin"/>
    <tableColumn id="25" xr3:uid="{00000000-0010-0000-2200-000019000000}" name="Ysgol Gymraeg Lon Las"/>
    <tableColumn id="26" xr3:uid="{00000000-0010-0000-2200-00001A000000}" name="Ysgol Gymraeg y Login Fach"/>
    <tableColumn id="27" xr3:uid="{00000000-0010-0000-2200-00001B000000}" name="Secondary in Swansea: _x000a_Years 7 to 11"/>
    <tableColumn id="28" xr3:uid="{00000000-0010-0000-2200-00001C000000}" name="Birchgrove"/>
    <tableColumn id="29" xr3:uid="{00000000-0010-0000-2200-00001D000000}" name="Bishopston Comprehensive"/>
    <tableColumn id="30" xr3:uid="{00000000-0010-0000-2200-00001E000000}" name="Dylan Thomas Community School"/>
    <tableColumn id="31" xr3:uid="{00000000-0010-0000-2200-00001F000000}" name="Morriston Comprehensive"/>
    <tableColumn id="32" xr3:uid="{00000000-0010-0000-2200-000020000000}" name="Olchfa School"/>
    <tableColumn id="33" xr3:uid="{00000000-0010-0000-2200-000021000000}" name="Pentrehafod School"/>
    <tableColumn id="34" xr3:uid="{00000000-0010-0000-2200-000022000000}" name="Ysgol Gyfun Gwyr"/>
    <tableColumn id="35" xr3:uid="{00000000-0010-0000-2200-000023000000}" name="Ysgol Pen-y-Bryn (years 7 to 11)"/>
  </tableColumns>
  <tableStyleInfo name="none" showFirstColumn="0" showLastColumn="0" showRowStripes="1" showColumnStripes="0"/>
  <extLst>
    <ext xmlns:x14="http://schemas.microsoft.com/office/spreadsheetml/2009/9/main" uri="{504A1905-F514-4f6f-8877-14C23A59335A}">
      <x14:table altText="Table 16b" altTextSummary="Table with 29 columns._x000d__x000a__x000d__x000a_Column A shows a list of questions and response option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3 columns"/>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p1" displayName="tablep1" ref="A2:C26" totalsRowShown="0">
  <tableColumns count="3">
    <tableColumn id="1" xr3:uid="{00000000-0010-0000-2300-000001000000}" name=" "/>
    <tableColumn id="2" xr3:uid="{00000000-0010-0000-2300-000002000000}" name="Average (mean) total number of minutes dedicated to PE per week"/>
    <tableColumn id="3" xr3:uid="{00000000-0010-0000-23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P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p2" displayName="tablep2" ref="A2:G56" totalsRowShown="0">
  <tableColumns count="7">
    <tableColumn id="1" xr3:uid="{00000000-0010-0000-2400-000001000000}" name=" "/>
    <tableColumn id="2" xr3:uid="{00000000-0010-0000-2400-000002000000}" name="Activity is provided for any of year groups 3-6"/>
    <tableColumn id="3" xr3:uid="{00000000-0010-0000-2400-000003000000}" name="Activity is provided for all year groups 3-6"/>
    <tableColumn id="4" xr3:uid="{00000000-0010-0000-2400-000004000000}" name="Activities provided: Year 3 groups"/>
    <tableColumn id="5" xr3:uid="{00000000-0010-0000-2400-000005000000}" name="Activities provided: Year 4 groups"/>
    <tableColumn id="6" xr3:uid="{00000000-0010-0000-2400-000006000000}" name="Activities provided: Year 5 groups"/>
    <tableColumn id="7" xr3:uid="{00000000-0010-0000-2400-000007000000}" name="Activities provided: Year 6 groups"/>
  </tableColumns>
  <tableStyleInfo name="none" showFirstColumn="0" showLastColumn="0" showRowStripes="1" showColumnStripes="0"/>
  <extLst>
    <ext xmlns:x14="http://schemas.microsoft.com/office/spreadsheetml/2009/9/main" uri="{504A1905-F514-4f6f-8877-14C23A59335A}">
      <x14:table altText="Table P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p3" displayName="tablep3" ref="A2:E56" totalsRowShown="0">
  <tableColumns count="5">
    <tableColumn id="1" xr3:uid="{00000000-0010-0000-2500-000001000000}" name=" "/>
    <tableColumn id="2" xr3:uid="{00000000-0010-0000-2500-000002000000}" name="Activity is provided for any of year groups 3-6"/>
    <tableColumn id="3" xr3:uid="{00000000-0010-0000-2500-000003000000}" name="Mixed Sessions"/>
    <tableColumn id="4" xr3:uid="{00000000-0010-0000-2500-000004000000}" name="Male Only Sessions"/>
    <tableColumn id="5" xr3:uid="{00000000-0010-0000-2500-000005000000}" name="Female only Sessions"/>
  </tableColumns>
  <tableStyleInfo name="none" showFirstColumn="0" showLastColumn="0" showRowStripes="1" showColumnStripes="0"/>
  <extLst>
    <ext xmlns:x14="http://schemas.microsoft.com/office/spreadsheetml/2009/9/main" uri="{504A1905-F514-4f6f-8877-14C23A59335A}">
      <x14:table altText="Table P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p4" displayName="tablep4" ref="A2:D14" totalsRowShown="0">
  <tableColumns count="4">
    <tableColumn id="1" xr3:uid="{00000000-0010-0000-2600-000001000000}" name=" "/>
    <tableColumn id="2" xr3:uid="{00000000-0010-0000-2600-000002000000}" name="Wales"/>
    <tableColumn id="3" xr3:uid="{00000000-0010-0000-2600-000003000000}" name="Regional Sport Partnership: West Wales"/>
    <tableColumn id="4" xr3:uid="{00000000-0010-0000-2600-000004000000}" name="Swansea"/>
  </tableColumns>
  <tableStyleInfo name="none" showFirstColumn="0" showLastColumn="0" showRowStripes="1" showColumnStripes="0"/>
  <extLst>
    <ext xmlns:x14="http://schemas.microsoft.com/office/spreadsheetml/2009/9/main" uri="{504A1905-F514-4f6f-8877-14C23A59335A}">
      <x14:table altText="Table P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p5" displayName="tablep5" ref="A2:D20" totalsRowShown="0">
  <tableColumns count="4">
    <tableColumn id="1" xr3:uid="{00000000-0010-0000-2700-000001000000}" name=" "/>
    <tableColumn id="2" xr3:uid="{00000000-0010-0000-2700-000002000000}" name="Wales"/>
    <tableColumn id="3" xr3:uid="{00000000-0010-0000-2700-000003000000}" name="Regional Sport Partnership: West Wales"/>
    <tableColumn id="4" xr3:uid="{00000000-0010-0000-2700-000004000000}" name="Swansea"/>
  </tableColumns>
  <tableStyleInfo name="none" showFirstColumn="0" showLastColumn="0" showRowStripes="1" showColumnStripes="0"/>
  <extLst>
    <ext xmlns:x14="http://schemas.microsoft.com/office/spreadsheetml/2009/9/main" uri="{504A1905-F514-4f6f-8877-14C23A59335A}">
      <x14:table altText="Table P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p6" displayName="tablep6" ref="A2:G27" totalsRowShown="0">
  <tableColumns count="7">
    <tableColumn id="1" xr3:uid="{00000000-0010-0000-2800-000001000000}" name=" "/>
    <tableColumn id="2" xr3:uid="{00000000-0010-0000-2800-000002000000}" name="Agree strongly"/>
    <tableColumn id="3" xr3:uid="{00000000-0010-0000-2800-000003000000}" name="Agree slightly"/>
    <tableColumn id="4" xr3:uid="{00000000-0010-0000-2800-000004000000}" name="Neither agree nor disagree"/>
    <tableColumn id="5" xr3:uid="{00000000-0010-0000-2800-000005000000}" name="Disagree slightly"/>
    <tableColumn id="6" xr3:uid="{00000000-0010-0000-2800-000006000000}" name="Disagree strongly"/>
    <tableColumn id="7" xr3:uid="{00000000-0010-0000-2800-000007000000}" name="Don't know"/>
  </tableColumns>
  <tableStyleInfo name="none" showFirstColumn="0" showLastColumn="0" showRowStripes="1" showColumnStripes="0"/>
  <extLst>
    <ext xmlns:x14="http://schemas.microsoft.com/office/spreadsheetml/2009/9/main" uri="{504A1905-F514-4f6f-8877-14C23A59335A}">
      <x14:table altText="Table P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p7" displayName="tablep7" ref="A2:E27" totalsRowShown="0">
  <tableColumns count="5">
    <tableColumn id="1" xr3:uid="{00000000-0010-0000-2900-000001000000}" name=" "/>
    <tableColumn id="2" xr3:uid="{00000000-0010-0000-2900-000002000000}" name="Facilities used during previous 12 months by schools"/>
    <tableColumn id="3" xr3:uid="{00000000-0010-0000-2900-000003000000}" name="Facilities Owned by Schools"/>
    <tableColumn id="4" xr3:uid="{00000000-0010-0000-2900-000004000000}" name="School-owned facilities frequently used by pupils"/>
    <tableColumn id="5" xr3:uid="{00000000-0010-0000-29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P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p8" displayName="tablep8" ref="A2:B23" totalsRowShown="0">
  <tableColumns count="2">
    <tableColumn id="1" xr3:uid="{00000000-0010-0000-2A00-000001000000}" name=" "/>
    <tableColumn id="2" xr3:uid="{00000000-0010-0000-2A00-000002000000}" name="Years 3-6"/>
  </tableColumns>
  <tableStyleInfo name="none" showFirstColumn="0" showLastColumn="0" showRowStripes="1" showColumnStripes="0"/>
  <extLst>
    <ext xmlns:x14="http://schemas.microsoft.com/office/spreadsheetml/2009/9/main" uri="{504A1905-F514-4f6f-8877-14C23A59335A}">
      <x14:table altText="Table P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Table with 6 columns."/>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p9" displayName="tablep9" ref="A2:F21" totalsRowShown="0">
  <tableColumns count="6">
    <tableColumn id="1" xr3:uid="{00000000-0010-0000-2B00-000001000000}" name=" "/>
    <tableColumn id="2" xr3:uid="{00000000-0010-0000-2B00-000002000000}" name="Years 3-6"/>
    <tableColumn id="3" xr3:uid="{00000000-0010-0000-2B00-000003000000}" name="Year 3"/>
    <tableColumn id="4" xr3:uid="{00000000-0010-0000-2B00-000004000000}" name="Year 4"/>
    <tableColumn id="5" xr3:uid="{00000000-0010-0000-2B00-000005000000}" name="Year 5"/>
    <tableColumn id="6" xr3:uid="{00000000-0010-0000-2B00-000006000000}" name="Year 6"/>
  </tableColumns>
  <tableStyleInfo name="none" showFirstColumn="0" showLastColumn="0" showRowStripes="1" showColumnStripes="0"/>
  <extLst>
    <ext xmlns:x14="http://schemas.microsoft.com/office/spreadsheetml/2009/9/main" uri="{504A1905-F514-4f6f-8877-14C23A59335A}">
      <x14:table altText="Table P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_x000d__x000a__x000d__x000a_Table with 3 columns"/>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s1" displayName="tables1" ref="A2:C13" totalsRowShown="0">
  <tableColumns count="3">
    <tableColumn id="1" xr3:uid="{00000000-0010-0000-2C00-000001000000}" name=" "/>
    <tableColumn id="2" xr3:uid="{00000000-0010-0000-2C00-000002000000}" name="Average (mean) total number of minutes dedicated to PE per week"/>
    <tableColumn id="3" xr3:uid="{00000000-0010-0000-2C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S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s2" displayName="tables2" ref="A2:H56" totalsRowShown="0">
  <tableColumns count="8">
    <tableColumn id="1" xr3:uid="{00000000-0010-0000-2D00-000001000000}" name=" "/>
    <tableColumn id="2" xr3:uid="{00000000-0010-0000-2D00-000002000000}" name="Activity is provided for any of year groups 7-11"/>
    <tableColumn id="3" xr3:uid="{00000000-0010-0000-2D00-000003000000}" name="Activity is provided for all year groups 7-11"/>
    <tableColumn id="4" xr3:uid="{00000000-0010-0000-2D00-000004000000}" name="Activities provided: Year 7 groups"/>
    <tableColumn id="5" xr3:uid="{00000000-0010-0000-2D00-000005000000}" name="Activities provided: Year 8 groups"/>
    <tableColumn id="6" xr3:uid="{00000000-0010-0000-2D00-000006000000}" name="Activities provided: Year 9 groups"/>
    <tableColumn id="7" xr3:uid="{00000000-0010-0000-2D00-000007000000}" name="Activities provided: Year 10 groups"/>
    <tableColumn id="8" xr3:uid="{00000000-0010-0000-2D00-000008000000}" name="Activities provided: Year 11 groups"/>
  </tableColumns>
  <tableStyleInfo name="none" showFirstColumn="0" showLastColumn="0" showRowStripes="1" showColumnStripes="0"/>
  <extLst>
    <ext xmlns:x14="http://schemas.microsoft.com/office/spreadsheetml/2009/9/main" uri="{504A1905-F514-4f6f-8877-14C23A59335A}">
      <x14:table altText="Table S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s3" displayName="tables3" ref="A2:E56" totalsRowShown="0">
  <tableColumns count="5">
    <tableColumn id="1" xr3:uid="{00000000-0010-0000-2E00-000001000000}" name=" "/>
    <tableColumn id="2" xr3:uid="{00000000-0010-0000-2E00-000002000000}" name="Activity is provided for any of year groups 7-11"/>
    <tableColumn id="3" xr3:uid="{00000000-0010-0000-2E00-000003000000}" name="Mixed Sessions"/>
    <tableColumn id="4" xr3:uid="{00000000-0010-0000-2E00-000004000000}" name="Male Only Sessions"/>
    <tableColumn id="5" xr3:uid="{00000000-0010-0000-2E00-000005000000}" name="Female only Sessions"/>
  </tableColumns>
  <tableStyleInfo name="none" showFirstColumn="0" showLastColumn="0" showRowStripes="1" showColumnStripes="0"/>
  <extLst>
    <ext xmlns:x14="http://schemas.microsoft.com/office/spreadsheetml/2009/9/main" uri="{504A1905-F514-4f6f-8877-14C23A59335A}">
      <x14:table altText="Table S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s4" displayName="tables4" ref="A2:D14" totalsRowShown="0">
  <tableColumns count="4">
    <tableColumn id="1" xr3:uid="{00000000-0010-0000-2F00-000001000000}" name=" "/>
    <tableColumn id="2" xr3:uid="{00000000-0010-0000-2F00-000002000000}" name="Wales"/>
    <tableColumn id="3" xr3:uid="{00000000-0010-0000-2F00-000003000000}" name="Regional Sport Partnership: West Wales"/>
    <tableColumn id="4" xr3:uid="{00000000-0010-0000-2F00-000004000000}" name="Swansea"/>
  </tableColumns>
  <tableStyleInfo name="none" showFirstColumn="0" showLastColumn="0" showRowStripes="1" showColumnStripes="0"/>
  <extLst>
    <ext xmlns:x14="http://schemas.microsoft.com/office/spreadsheetml/2009/9/main" uri="{504A1905-F514-4f6f-8877-14C23A59335A}">
      <x14:table altText="Table S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s5" displayName="tables5" ref="A2:D20" totalsRowShown="0">
  <tableColumns count="4">
    <tableColumn id="1" xr3:uid="{00000000-0010-0000-3000-000001000000}" name=" "/>
    <tableColumn id="2" xr3:uid="{00000000-0010-0000-3000-000002000000}" name="Wales"/>
    <tableColumn id="3" xr3:uid="{00000000-0010-0000-3000-000003000000}" name="Regional Sport Partnership: West Wales"/>
    <tableColumn id="4" xr3:uid="{00000000-0010-0000-3000-000004000000}" name="Swansea"/>
  </tableColumns>
  <tableStyleInfo name="none" showFirstColumn="0" showLastColumn="0" showRowStripes="1" showColumnStripes="0"/>
  <extLst>
    <ext xmlns:x14="http://schemas.microsoft.com/office/spreadsheetml/2009/9/main" uri="{504A1905-F514-4f6f-8877-14C23A59335A}">
      <x14:table altText="Table S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s6" displayName="tables6" ref="A2:G27" totalsRowShown="0">
  <tableColumns count="7">
    <tableColumn id="1" xr3:uid="{00000000-0010-0000-3100-000001000000}" name=" "/>
    <tableColumn id="2" xr3:uid="{00000000-0010-0000-3100-000002000000}" name="Agree strongly"/>
    <tableColumn id="3" xr3:uid="{00000000-0010-0000-3100-000003000000}" name="Agree slightly"/>
    <tableColumn id="4" xr3:uid="{00000000-0010-0000-3100-000004000000}" name="Neither agree nor disagree"/>
    <tableColumn id="5" xr3:uid="{00000000-0010-0000-3100-000005000000}" name="Disagree slightly"/>
    <tableColumn id="6" xr3:uid="{00000000-0010-0000-3100-000006000000}" name="Disagree strongly"/>
    <tableColumn id="7" xr3:uid="{00000000-0010-0000-3100-000007000000}" name="Don't know"/>
  </tableColumns>
  <tableStyleInfo name="none" showFirstColumn="0" showLastColumn="0" showRowStripes="1" showColumnStripes="0"/>
  <extLst>
    <ext xmlns:x14="http://schemas.microsoft.com/office/spreadsheetml/2009/9/main" uri="{504A1905-F514-4f6f-8877-14C23A59335A}">
      <x14:table altText="Table S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s7" displayName="tables7" ref="A2:E27" totalsRowShown="0">
  <tableColumns count="5">
    <tableColumn id="1" xr3:uid="{00000000-0010-0000-3200-000001000000}" name=" "/>
    <tableColumn id="2" xr3:uid="{00000000-0010-0000-3200-000002000000}" name="Facilities used during previous 12 months by schools"/>
    <tableColumn id="3" xr3:uid="{00000000-0010-0000-3200-000003000000}" name="Facilities Owned by Schools"/>
    <tableColumn id="4" xr3:uid="{00000000-0010-0000-3200-000004000000}" name="School-owned facilities frequently used by pupils"/>
    <tableColumn id="5" xr3:uid="{00000000-0010-0000-32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S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s8" displayName="tables8" ref="A2:B23" totalsRowShown="0">
  <tableColumns count="2">
    <tableColumn id="1" xr3:uid="{00000000-0010-0000-3300-000001000000}" name=" "/>
    <tableColumn id="2" xr3:uid="{00000000-0010-0000-3300-000002000000}" name="Years 7-11"/>
  </tableColumns>
  <tableStyleInfo name="none" showFirstColumn="0" showLastColumn="0" showRowStripes="1" showColumnStripes="0"/>
  <extLst>
    <ext xmlns:x14="http://schemas.microsoft.com/office/spreadsheetml/2009/9/main" uri="{504A1905-F514-4f6f-8877-14C23A59335A}">
      <x14:table altText="Table S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_x000d__x000a_Table with 6 columns."/>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s9" displayName="tables9" ref="A2:G21" totalsRowShown="0">
  <tableColumns count="7">
    <tableColumn id="1" xr3:uid="{00000000-0010-0000-3400-000001000000}" name=" "/>
    <tableColumn id="2" xr3:uid="{00000000-0010-0000-3400-000002000000}" name="Years 7-11"/>
    <tableColumn id="3" xr3:uid="{00000000-0010-0000-3400-000003000000}" name="Year 7"/>
    <tableColumn id="4" xr3:uid="{00000000-0010-0000-3400-000004000000}" name="Year 8"/>
    <tableColumn id="5" xr3:uid="{00000000-0010-0000-3400-000005000000}" name="Year 9"/>
    <tableColumn id="6" xr3:uid="{00000000-0010-0000-3400-000006000000}" name="Year 10"/>
    <tableColumn id="7" xr3:uid="{00000000-0010-0000-3400-000007000000}" name="Year 11"/>
  </tableColumns>
  <tableStyleInfo name="none" showFirstColumn="0" showLastColumn="0" showRowStripes="1" showColumnStripes="0"/>
  <extLst>
    <ext xmlns:x14="http://schemas.microsoft.com/office/spreadsheetml/2009/9/main" uri="{504A1905-F514-4f6f-8877-14C23A59335A}">
      <x14:table altText="Table S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workbookViewId="0"/>
  </sheetViews>
  <sheetFormatPr defaultColWidth="10.90625" defaultRowHeight="15"/>
  <cols>
    <col min="1" max="1" width="9.6796875" customWidth="1"/>
    <col min="2" max="2" width="100.6796875" customWidth="1"/>
  </cols>
  <sheetData>
    <row r="1" spans="1:2" ht="30" customHeight="1">
      <c r="A1" s="41" t="s">
        <v>503</v>
      </c>
      <c r="B1" s="44"/>
    </row>
    <row r="2" spans="1:2" ht="30" customHeight="1">
      <c r="A2" s="42" t="s">
        <v>504</v>
      </c>
      <c r="B2" s="44"/>
    </row>
    <row r="3" spans="1:2">
      <c r="A3" s="3" t="s">
        <v>505</v>
      </c>
      <c r="B3" s="45"/>
    </row>
    <row r="4" spans="1:2" ht="30" customHeight="1">
      <c r="A4" s="43" t="str">
        <f>HYPERLINK("#'Table 1'!A1", "Table 1")</f>
        <v>Table 1</v>
      </c>
      <c r="B4" s="46" t="s">
        <v>506</v>
      </c>
    </row>
    <row r="5" spans="1:2">
      <c r="A5" s="3" t="s">
        <v>507</v>
      </c>
      <c r="B5" s="45"/>
    </row>
    <row r="6" spans="1:2">
      <c r="A6" s="43" t="str">
        <f>HYPERLINK("#'Table 2'!A1", "Table 2")</f>
        <v>Table 2</v>
      </c>
      <c r="B6" s="46" t="s">
        <v>508</v>
      </c>
    </row>
    <row r="7" spans="1:2">
      <c r="A7" s="43" t="str">
        <f>HYPERLINK("#'Table 3'!A1", "Table 3")</f>
        <v>Table 3</v>
      </c>
      <c r="B7" s="46" t="s">
        <v>509</v>
      </c>
    </row>
    <row r="8" spans="1:2">
      <c r="A8" s="43" t="str">
        <f>HYPERLINK("#'Table 4'!A1", "Table 4")</f>
        <v>Table 4</v>
      </c>
      <c r="B8" s="46" t="s">
        <v>510</v>
      </c>
    </row>
    <row r="9" spans="1:2">
      <c r="A9" s="43" t="str">
        <f>HYPERLINK("#'Table 5'!A1", "Table 5")</f>
        <v>Table 5</v>
      </c>
      <c r="B9" s="46" t="s">
        <v>511</v>
      </c>
    </row>
    <row r="10" spans="1:2" ht="30" customHeight="1">
      <c r="A10" s="43" t="str">
        <f>HYPERLINK("#'Table 6'!A1", "Table 6")</f>
        <v>Table 6</v>
      </c>
      <c r="B10" s="46" t="s">
        <v>512</v>
      </c>
    </row>
    <row r="11" spans="1:2">
      <c r="A11" s="3" t="s">
        <v>513</v>
      </c>
      <c r="B11" s="45"/>
    </row>
    <row r="12" spans="1:2">
      <c r="A12" s="43" t="str">
        <f>HYPERLINK("#'Table 7a'!A1", "Table 7a")</f>
        <v>Table 7a</v>
      </c>
      <c r="B12" s="46" t="s">
        <v>514</v>
      </c>
    </row>
    <row r="13" spans="1:2">
      <c r="A13" s="43" t="str">
        <f>HYPERLINK("#'Table 7b'!A1", "Table 7b")</f>
        <v>Table 7b</v>
      </c>
      <c r="B13" s="46" t="s">
        <v>515</v>
      </c>
    </row>
    <row r="14" spans="1:2">
      <c r="A14" s="43" t="str">
        <f>HYPERLINK("#'Table 7c'!A1", "Table 7c")</f>
        <v>Table 7c</v>
      </c>
      <c r="B14" s="46" t="s">
        <v>516</v>
      </c>
    </row>
    <row r="15" spans="1:2">
      <c r="A15" s="43" t="str">
        <f>HYPERLINK("#'Table 8a'!A1", "Table 8a")</f>
        <v>Table 8a</v>
      </c>
      <c r="B15" s="46" t="s">
        <v>517</v>
      </c>
    </row>
    <row r="16" spans="1:2">
      <c r="A16" s="43" t="str">
        <f>HYPERLINK("#'Table 8b'!A1", "Table 8b")</f>
        <v>Table 8b</v>
      </c>
      <c r="B16" s="46" t="s">
        <v>515</v>
      </c>
    </row>
    <row r="17" spans="1:2">
      <c r="A17" s="43" t="str">
        <f>HYPERLINK("#'Table 8c'!A1", "Table 8c")</f>
        <v>Table 8c</v>
      </c>
      <c r="B17" s="46" t="s">
        <v>516</v>
      </c>
    </row>
    <row r="18" spans="1:2">
      <c r="A18" s="43" t="str">
        <f>HYPERLINK("#'Table 9a'!A1", "Table 9a")</f>
        <v>Table 9a</v>
      </c>
      <c r="B18" s="46" t="s">
        <v>518</v>
      </c>
    </row>
    <row r="19" spans="1:2">
      <c r="A19" s="43" t="str">
        <f>HYPERLINK("#'Table 9b'!A1", "Table 9b")</f>
        <v>Table 9b</v>
      </c>
      <c r="B19" s="46" t="s">
        <v>515</v>
      </c>
    </row>
    <row r="20" spans="1:2">
      <c r="A20" s="43" t="str">
        <f>HYPERLINK("#'Table 9c'!A1", "Table 9c")</f>
        <v>Table 9c</v>
      </c>
      <c r="B20" s="46" t="s">
        <v>516</v>
      </c>
    </row>
    <row r="21" spans="1:2">
      <c r="A21" s="43" t="str">
        <f>HYPERLINK("#'Table 10a'!A1", "Table 10a")</f>
        <v>Table 10a</v>
      </c>
      <c r="B21" s="46" t="s">
        <v>519</v>
      </c>
    </row>
    <row r="22" spans="1:2">
      <c r="A22" s="43" t="str">
        <f>HYPERLINK("#'Table 10b'!A1", "Table 10b")</f>
        <v>Table 10b</v>
      </c>
      <c r="B22" s="46" t="s">
        <v>515</v>
      </c>
    </row>
    <row r="23" spans="1:2" ht="30" customHeight="1">
      <c r="A23" s="43" t="str">
        <f>HYPERLINK("#'Table 10c'!A1", "Table 10c")</f>
        <v>Table 10c</v>
      </c>
      <c r="B23" s="46" t="s">
        <v>516</v>
      </c>
    </row>
    <row r="24" spans="1:2">
      <c r="A24" s="3" t="s">
        <v>520</v>
      </c>
      <c r="B24" s="45"/>
    </row>
    <row r="25" spans="1:2">
      <c r="A25" s="43" t="str">
        <f>HYPERLINK("#'Table 11a'!A1", "Table 11a")</f>
        <v>Table 11a</v>
      </c>
      <c r="B25" s="46" t="s">
        <v>521</v>
      </c>
    </row>
    <row r="26" spans="1:2">
      <c r="A26" s="43" t="str">
        <f>HYPERLINK("#'Table 11b'!A1", "Table 11b")</f>
        <v>Table 11b</v>
      </c>
      <c r="B26" s="46" t="s">
        <v>522</v>
      </c>
    </row>
    <row r="27" spans="1:2" ht="30" customHeight="1">
      <c r="A27" s="43" t="str">
        <f>HYPERLINK("#'Table 11c'!A1", "Table 11c")</f>
        <v>Table 11c</v>
      </c>
      <c r="B27" s="46" t="s">
        <v>523</v>
      </c>
    </row>
    <row r="28" spans="1:2">
      <c r="A28" s="3" t="s">
        <v>524</v>
      </c>
      <c r="B28" s="45"/>
    </row>
    <row r="29" spans="1:2">
      <c r="A29" s="43" t="str">
        <f>HYPERLINK("#'Table 12a'!A1", "Table 12a")</f>
        <v>Table 12a</v>
      </c>
      <c r="B29" s="46" t="s">
        <v>525</v>
      </c>
    </row>
    <row r="30" spans="1:2">
      <c r="A30" s="43" t="str">
        <f>HYPERLINK("#'Table 12b'!A1", "Table 12b")</f>
        <v>Table 12b</v>
      </c>
      <c r="B30" s="46" t="s">
        <v>516</v>
      </c>
    </row>
    <row r="31" spans="1:2">
      <c r="A31" s="43" t="str">
        <f>HYPERLINK("#'Table 12c'!A1", "Table 12c")</f>
        <v>Table 12c</v>
      </c>
      <c r="B31" s="46" t="s">
        <v>526</v>
      </c>
    </row>
    <row r="32" spans="1:2">
      <c r="A32" s="43" t="str">
        <f>HYPERLINK("#'Table 13a'!A1", "Table 13a")</f>
        <v>Table 13a</v>
      </c>
      <c r="B32" s="46" t="s">
        <v>527</v>
      </c>
    </row>
    <row r="33" spans="1:2">
      <c r="A33" s="43" t="str">
        <f>HYPERLINK("#'Table 13b'!A1", "Table 13b")</f>
        <v>Table 13b</v>
      </c>
      <c r="B33" s="46" t="s">
        <v>516</v>
      </c>
    </row>
    <row r="34" spans="1:2" ht="30" customHeight="1">
      <c r="A34" s="43" t="str">
        <f>HYPERLINK("#'Table 13c'!A1", "Table 13c")</f>
        <v>Table 13c</v>
      </c>
      <c r="B34" s="46" t="s">
        <v>526</v>
      </c>
    </row>
    <row r="35" spans="1:2">
      <c r="A35" s="3" t="s">
        <v>528</v>
      </c>
      <c r="B35" s="45"/>
    </row>
    <row r="36" spans="1:2">
      <c r="A36" s="43" t="str">
        <f>HYPERLINK("#'Table 14a'!A1", "Table 14a")</f>
        <v>Table 14a</v>
      </c>
      <c r="B36" s="46" t="s">
        <v>529</v>
      </c>
    </row>
    <row r="37" spans="1:2">
      <c r="A37" s="43" t="str">
        <f>HYPERLINK("#'Table 14b'!A1", "Table 14b")</f>
        <v>Table 14b</v>
      </c>
      <c r="B37" s="46" t="s">
        <v>530</v>
      </c>
    </row>
    <row r="38" spans="1:2">
      <c r="A38" s="43" t="str">
        <f>HYPERLINK("#'Table 15a'!A1", "Table 15a")</f>
        <v>Table 15a</v>
      </c>
      <c r="B38" s="46" t="s">
        <v>531</v>
      </c>
    </row>
    <row r="39" spans="1:2">
      <c r="A39" s="43" t="str">
        <f>HYPERLINK("#'Table 15b'!A1", "Table 15b")</f>
        <v>Table 15b</v>
      </c>
      <c r="B39" s="46" t="s">
        <v>530</v>
      </c>
    </row>
    <row r="40" spans="1:2">
      <c r="A40" s="43" t="str">
        <f>HYPERLINK("#'Table 16a'!A1", "Table 16a")</f>
        <v>Table 16a</v>
      </c>
      <c r="B40" s="46" t="s">
        <v>532</v>
      </c>
    </row>
    <row r="41" spans="1:2" ht="30" customHeight="1">
      <c r="A41" s="43" t="str">
        <f>HYPERLINK("#'Table 16b'!A1", "Table 16b")</f>
        <v>Table 16b</v>
      </c>
      <c r="B41" s="46" t="s">
        <v>530</v>
      </c>
    </row>
    <row r="42" spans="1:2">
      <c r="A42" s="3" t="s">
        <v>533</v>
      </c>
      <c r="B42" s="45"/>
    </row>
    <row r="43" spans="1:2">
      <c r="A43" s="43" t="str">
        <f>HYPERLINK("#'Table P1'!A1", "Table P1")</f>
        <v>Table P1</v>
      </c>
      <c r="B43" s="46" t="s">
        <v>534</v>
      </c>
    </row>
    <row r="44" spans="1:2">
      <c r="A44" s="43" t="str">
        <f>HYPERLINK("#'Table P2'!A1", "Table P2")</f>
        <v>Table P2</v>
      </c>
      <c r="B44" s="46" t="s">
        <v>535</v>
      </c>
    </row>
    <row r="45" spans="1:2">
      <c r="A45" s="43" t="str">
        <f>HYPERLINK("#'Table P3'!A1", "Table P3")</f>
        <v>Table P3</v>
      </c>
      <c r="B45" s="46" t="s">
        <v>536</v>
      </c>
    </row>
    <row r="46" spans="1:2">
      <c r="A46" s="43" t="str">
        <f>HYPERLINK("#'Table P4'!A1", "Table P4")</f>
        <v>Table P4</v>
      </c>
      <c r="B46" s="46" t="s">
        <v>537</v>
      </c>
    </row>
    <row r="47" spans="1:2">
      <c r="A47" s="43" t="str">
        <f>HYPERLINK("#'Table P5'!A1", "Table P5")</f>
        <v>Table P5</v>
      </c>
      <c r="B47" s="46" t="s">
        <v>538</v>
      </c>
    </row>
    <row r="48" spans="1:2">
      <c r="A48" s="43" t="str">
        <f>HYPERLINK("#'Table P6'!A1", "Table P6")</f>
        <v>Table P6</v>
      </c>
      <c r="B48" s="46" t="s">
        <v>539</v>
      </c>
    </row>
    <row r="49" spans="1:2">
      <c r="A49" s="43" t="str">
        <f>HYPERLINK("#'Table P7'!A1", "Table P7")</f>
        <v>Table P7</v>
      </c>
      <c r="B49" s="46" t="s">
        <v>540</v>
      </c>
    </row>
    <row r="50" spans="1:2">
      <c r="A50" s="43" t="str">
        <f>HYPERLINK("#'Table P8'!A1", "Table P8")</f>
        <v>Table P8</v>
      </c>
      <c r="B50" s="46" t="s">
        <v>541</v>
      </c>
    </row>
    <row r="51" spans="1:2">
      <c r="A51" s="43" t="str">
        <f>HYPERLINK("#'Table P9'!A1", "Table P9")</f>
        <v>Table P9</v>
      </c>
      <c r="B51" s="46" t="s">
        <v>542</v>
      </c>
    </row>
    <row r="52" spans="1:2">
      <c r="A52" s="43" t="str">
        <f>HYPERLINK("#'Table S1'!A1", "Table S1")</f>
        <v>Table S1</v>
      </c>
      <c r="B52" s="46" t="s">
        <v>543</v>
      </c>
    </row>
    <row r="53" spans="1:2">
      <c r="A53" s="43" t="str">
        <f>HYPERLINK("#'Table S2'!A1", "Table S2")</f>
        <v>Table S2</v>
      </c>
      <c r="B53" s="46" t="s">
        <v>544</v>
      </c>
    </row>
    <row r="54" spans="1:2">
      <c r="A54" s="43" t="str">
        <f>HYPERLINK("#'Table S3'!A1", "Table S3")</f>
        <v>Table S3</v>
      </c>
      <c r="B54" s="46" t="s">
        <v>545</v>
      </c>
    </row>
    <row r="55" spans="1:2">
      <c r="A55" s="43" t="str">
        <f>HYPERLINK("#'Table S4'!A1", "Table S4")</f>
        <v>Table S4</v>
      </c>
      <c r="B55" s="46" t="s">
        <v>546</v>
      </c>
    </row>
    <row r="56" spans="1:2">
      <c r="A56" s="43" t="str">
        <f>HYPERLINK("#'Table S5'!A1", "Table S5")</f>
        <v>Table S5</v>
      </c>
      <c r="B56" s="46" t="s">
        <v>547</v>
      </c>
    </row>
    <row r="57" spans="1:2">
      <c r="A57" s="43" t="str">
        <f>HYPERLINK("#'Table S6'!A1", "Table S6")</f>
        <v>Table S6</v>
      </c>
      <c r="B57" s="46" t="s">
        <v>548</v>
      </c>
    </row>
    <row r="58" spans="1:2">
      <c r="A58" s="43" t="str">
        <f>HYPERLINK("#'Table S7'!A1", "Table S7")</f>
        <v>Table S7</v>
      </c>
      <c r="B58" s="46" t="s">
        <v>549</v>
      </c>
    </row>
    <row r="59" spans="1:2">
      <c r="A59" s="43" t="str">
        <f>HYPERLINK("#'Table S8'!A1", "Table S8")</f>
        <v>Table S8</v>
      </c>
      <c r="B59" s="46" t="s">
        <v>550</v>
      </c>
    </row>
    <row r="60" spans="1:2" ht="30" customHeight="1">
      <c r="A60" s="47" t="str">
        <f>HYPERLINK("#'Table S9'!A1", "Table S9")</f>
        <v>Table S9</v>
      </c>
      <c r="B60" s="49" t="s">
        <v>551</v>
      </c>
    </row>
    <row r="61" spans="1:2" ht="45" customHeight="1">
      <c r="A61" s="50" t="s">
        <v>552</v>
      </c>
      <c r="B61" s="48"/>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ColWidth="10.90625" defaultRowHeight="15"/>
  <cols>
    <col min="1" max="1" width="23.6796875" customWidth="1"/>
    <col min="2" max="2" width="140.6796875" customWidth="1"/>
  </cols>
  <sheetData>
    <row r="1" spans="1:2" ht="30" customHeight="1">
      <c r="A1" s="1" t="s">
        <v>0</v>
      </c>
    </row>
    <row r="2" spans="1:2">
      <c r="A2" s="3" t="s">
        <v>1</v>
      </c>
      <c r="B2" s="2" t="s">
        <v>2</v>
      </c>
    </row>
    <row r="3" spans="1:2">
      <c r="A3" s="4" t="s">
        <v>3</v>
      </c>
      <c r="B3" s="5" t="s">
        <v>4</v>
      </c>
    </row>
    <row r="4" spans="1:2" ht="105">
      <c r="A4" s="4" t="s">
        <v>5</v>
      </c>
      <c r="B4" s="5" t="s">
        <v>6</v>
      </c>
    </row>
    <row r="5" spans="1:2" ht="195">
      <c r="A5" s="4" t="s">
        <v>7</v>
      </c>
      <c r="B5" s="5" t="s">
        <v>8</v>
      </c>
    </row>
    <row r="6" spans="1:2" ht="45">
      <c r="A6" s="4" t="s">
        <v>9</v>
      </c>
      <c r="B6" s="5" t="s">
        <v>10</v>
      </c>
    </row>
    <row r="7" spans="1:2" ht="75">
      <c r="A7" s="4" t="s">
        <v>11</v>
      </c>
      <c r="B7" s="5" t="s">
        <v>12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zoomScale="70" workbookViewId="0"/>
  </sheetViews>
  <sheetFormatPr defaultColWidth="10.90625" defaultRowHeight="15"/>
  <cols>
    <col min="1" max="1" width="51.6796875" customWidth="1"/>
    <col min="2" max="5" width="15.90625" customWidth="1"/>
  </cols>
  <sheetData>
    <row r="1" spans="1:5" ht="39.9" customHeight="1">
      <c r="A1" s="10" t="s">
        <v>13</v>
      </c>
      <c r="B1" s="12"/>
      <c r="C1" s="12"/>
      <c r="D1" s="12"/>
      <c r="E1" s="12"/>
    </row>
    <row r="2" spans="1:5" ht="30">
      <c r="A2" s="7" t="s">
        <v>14</v>
      </c>
      <c r="B2" s="6" t="s">
        <v>15</v>
      </c>
      <c r="C2" s="6" t="s">
        <v>16</v>
      </c>
      <c r="D2" s="6" t="s">
        <v>17</v>
      </c>
      <c r="E2" s="8" t="s">
        <v>7</v>
      </c>
    </row>
    <row r="3" spans="1:5" ht="21.9" customHeight="1">
      <c r="A3" s="22" t="s">
        <v>18</v>
      </c>
      <c r="B3" s="13">
        <v>115167</v>
      </c>
      <c r="C3" s="13">
        <v>313088</v>
      </c>
      <c r="D3" s="15">
        <v>36.7842267988553</v>
      </c>
      <c r="E3" s="17">
        <v>2.2960094893883102E-3</v>
      </c>
    </row>
    <row r="4" spans="1:5">
      <c r="A4" s="22" t="s">
        <v>19</v>
      </c>
      <c r="B4" s="13">
        <v>24572</v>
      </c>
      <c r="C4" s="13">
        <v>68079</v>
      </c>
      <c r="D4" s="15">
        <v>36.093362123415403</v>
      </c>
      <c r="E4" s="17">
        <v>4.9977418106933198E-3</v>
      </c>
    </row>
    <row r="5" spans="1:5">
      <c r="A5" s="22" t="s">
        <v>20</v>
      </c>
      <c r="B5" s="13">
        <v>5894</v>
      </c>
      <c r="C5" s="13">
        <v>23705</v>
      </c>
      <c r="D5" s="15">
        <v>24.863952752583799</v>
      </c>
      <c r="E5" s="17">
        <v>1.1064530488667399E-2</v>
      </c>
    </row>
    <row r="6" spans="1:5">
      <c r="A6" s="23" t="s">
        <v>21</v>
      </c>
      <c r="B6" s="13"/>
      <c r="C6" s="13"/>
      <c r="D6" s="15"/>
      <c r="E6" s="17"/>
    </row>
    <row r="7" spans="1:5" ht="21.9" customHeight="1">
      <c r="A7" s="22" t="s">
        <v>22</v>
      </c>
      <c r="B7" s="13"/>
      <c r="C7" s="13"/>
      <c r="D7" s="15"/>
      <c r="E7" s="17"/>
    </row>
    <row r="8" spans="1:5">
      <c r="A8" s="9" t="s">
        <v>23</v>
      </c>
      <c r="B8" s="13">
        <v>2853</v>
      </c>
      <c r="C8" s="13">
        <v>12288</v>
      </c>
      <c r="D8" s="15">
        <v>23.2177734375</v>
      </c>
      <c r="E8" s="17">
        <v>1.60761675722631E-2</v>
      </c>
    </row>
    <row r="9" spans="1:5">
      <c r="A9" s="9" t="s">
        <v>24</v>
      </c>
      <c r="B9" s="13">
        <v>2830</v>
      </c>
      <c r="C9" s="13">
        <v>11417</v>
      </c>
      <c r="D9" s="15">
        <v>24.787597442410402</v>
      </c>
      <c r="E9" s="17">
        <v>1.5975420541602801E-2</v>
      </c>
    </row>
    <row r="10" spans="1:5">
      <c r="A10" s="9" t="s">
        <v>25</v>
      </c>
      <c r="B10" s="13">
        <v>78</v>
      </c>
      <c r="C10" s="19" t="s">
        <v>80</v>
      </c>
      <c r="D10" s="20" t="s">
        <v>80</v>
      </c>
      <c r="E10" s="21" t="s">
        <v>80</v>
      </c>
    </row>
    <row r="11" spans="1:5">
      <c r="A11" s="9" t="s">
        <v>26</v>
      </c>
      <c r="B11" s="13">
        <v>133</v>
      </c>
      <c r="C11" s="19" t="s">
        <v>80</v>
      </c>
      <c r="D11" s="20" t="s">
        <v>80</v>
      </c>
      <c r="E11" s="21" t="s">
        <v>80</v>
      </c>
    </row>
    <row r="12" spans="1:5" ht="21.9" customHeight="1">
      <c r="A12" s="22" t="s">
        <v>27</v>
      </c>
      <c r="B12" s="13"/>
      <c r="C12" s="13"/>
      <c r="D12" s="15"/>
      <c r="E12" s="17"/>
    </row>
    <row r="13" spans="1:5">
      <c r="A13" s="9" t="s">
        <v>28</v>
      </c>
      <c r="B13" s="13">
        <v>1153</v>
      </c>
      <c r="C13" s="13">
        <v>5133</v>
      </c>
      <c r="D13" s="15">
        <v>22.4624975647769</v>
      </c>
      <c r="E13" s="17">
        <v>2.5410473599330501E-2</v>
      </c>
    </row>
    <row r="14" spans="1:5">
      <c r="A14" s="9" t="s">
        <v>29</v>
      </c>
      <c r="B14" s="13">
        <v>1506</v>
      </c>
      <c r="C14" s="13">
        <v>5600</v>
      </c>
      <c r="D14" s="15">
        <v>26.8928571428571</v>
      </c>
      <c r="E14" s="17">
        <v>2.1589393822680901E-2</v>
      </c>
    </row>
    <row r="15" spans="1:5">
      <c r="A15" s="9" t="s">
        <v>30</v>
      </c>
      <c r="B15" s="13">
        <v>2557</v>
      </c>
      <c r="C15" s="13">
        <v>7911</v>
      </c>
      <c r="D15" s="15">
        <v>32.322083175325503</v>
      </c>
      <c r="E15" s="17">
        <v>1.5942030699527598E-2</v>
      </c>
    </row>
    <row r="16" spans="1:5">
      <c r="A16" s="9" t="s">
        <v>31</v>
      </c>
      <c r="B16" s="13">
        <v>678</v>
      </c>
      <c r="C16" s="13">
        <v>5061</v>
      </c>
      <c r="D16" s="15">
        <v>13.396561944279799</v>
      </c>
      <c r="E16" s="17">
        <v>3.5021056755208398E-2</v>
      </c>
    </row>
    <row r="17" spans="1:5" ht="21.9" customHeight="1">
      <c r="A17" s="22" t="s">
        <v>32</v>
      </c>
      <c r="B17" s="13"/>
      <c r="C17" s="13"/>
      <c r="D17" s="15"/>
      <c r="E17" s="17"/>
    </row>
    <row r="18" spans="1:5">
      <c r="A18" s="9" t="s">
        <v>33</v>
      </c>
      <c r="B18" s="13">
        <v>2659</v>
      </c>
      <c r="C18" s="13">
        <v>10733</v>
      </c>
      <c r="D18" s="15">
        <v>24.774061306251699</v>
      </c>
      <c r="E18" s="17">
        <v>1.6482527863599699E-2</v>
      </c>
    </row>
    <row r="19" spans="1:5">
      <c r="A19" s="9" t="s">
        <v>34</v>
      </c>
      <c r="B19" s="13">
        <v>3235</v>
      </c>
      <c r="C19" s="13">
        <v>12972</v>
      </c>
      <c r="D19" s="15">
        <v>24.9383287079864</v>
      </c>
      <c r="E19" s="17">
        <v>1.49271104328338E-2</v>
      </c>
    </row>
    <row r="20" spans="1:5" ht="21.9" customHeight="1">
      <c r="A20" s="22" t="s">
        <v>35</v>
      </c>
      <c r="B20" s="13"/>
      <c r="C20" s="13"/>
      <c r="D20" s="15"/>
      <c r="E20" s="17"/>
    </row>
    <row r="21" spans="1:5">
      <c r="A21" s="9" t="s">
        <v>36</v>
      </c>
      <c r="B21" s="13">
        <v>4691</v>
      </c>
      <c r="C21" s="13">
        <v>20790</v>
      </c>
      <c r="D21" s="15">
        <v>22.5637325637326</v>
      </c>
      <c r="E21" s="17">
        <v>1.25907637809745E-2</v>
      </c>
    </row>
    <row r="22" spans="1:5">
      <c r="A22" s="9" t="s">
        <v>37</v>
      </c>
      <c r="B22" s="13">
        <v>4427</v>
      </c>
      <c r="C22" s="13">
        <v>19795</v>
      </c>
      <c r="D22" s="15">
        <v>22.364233392270801</v>
      </c>
      <c r="E22" s="17">
        <v>1.29774124389856E-2</v>
      </c>
    </row>
    <row r="23" spans="1:5">
      <c r="A23" s="9" t="s">
        <v>38</v>
      </c>
      <c r="B23" s="13">
        <v>24</v>
      </c>
      <c r="C23" s="19" t="s">
        <v>80</v>
      </c>
      <c r="D23" s="20" t="s">
        <v>80</v>
      </c>
      <c r="E23" s="21" t="s">
        <v>80</v>
      </c>
    </row>
    <row r="24" spans="1:5">
      <c r="A24" s="9" t="s">
        <v>39</v>
      </c>
      <c r="B24" s="13">
        <v>16</v>
      </c>
      <c r="C24" s="13">
        <v>20</v>
      </c>
      <c r="D24" s="15">
        <v>80</v>
      </c>
      <c r="E24" s="17">
        <v>9.4888091982081701E-2</v>
      </c>
    </row>
    <row r="25" spans="1:5">
      <c r="A25" s="9" t="s">
        <v>40</v>
      </c>
      <c r="B25" s="13">
        <v>12</v>
      </c>
      <c r="C25" s="19" t="s">
        <v>80</v>
      </c>
      <c r="D25" s="20" t="s">
        <v>80</v>
      </c>
      <c r="E25" s="21" t="s">
        <v>80</v>
      </c>
    </row>
    <row r="26" spans="1:5">
      <c r="A26" s="9" t="s">
        <v>41</v>
      </c>
      <c r="B26" s="13">
        <v>212</v>
      </c>
      <c r="C26" s="13">
        <v>970</v>
      </c>
      <c r="D26" s="15">
        <v>21.855670103092798</v>
      </c>
      <c r="E26" s="17">
        <v>5.9459358295009403E-2</v>
      </c>
    </row>
    <row r="27" spans="1:5">
      <c r="A27" s="9" t="s">
        <v>42</v>
      </c>
      <c r="B27" s="13">
        <v>194</v>
      </c>
      <c r="C27" s="13">
        <v>870</v>
      </c>
      <c r="D27" s="15">
        <v>22.298850574712599</v>
      </c>
      <c r="E27" s="17">
        <v>6.1975133483364399E-2</v>
      </c>
    </row>
    <row r="28" spans="1:5">
      <c r="A28" s="9" t="s">
        <v>43</v>
      </c>
      <c r="B28" s="13">
        <v>21</v>
      </c>
      <c r="C28" s="13">
        <v>75</v>
      </c>
      <c r="D28" s="15">
        <v>28</v>
      </c>
      <c r="E28" s="17">
        <v>0.17977269598640999</v>
      </c>
    </row>
    <row r="29" spans="1:5">
      <c r="A29" s="9" t="s">
        <v>44</v>
      </c>
      <c r="B29" s="13">
        <v>44</v>
      </c>
      <c r="C29" s="13">
        <v>185</v>
      </c>
      <c r="D29" s="15">
        <v>23.7837837837838</v>
      </c>
      <c r="E29" s="17">
        <v>0.128522123068117</v>
      </c>
    </row>
    <row r="30" spans="1:5">
      <c r="A30" s="9" t="s">
        <v>45</v>
      </c>
      <c r="B30" s="13">
        <v>39</v>
      </c>
      <c r="C30" s="13">
        <v>200</v>
      </c>
      <c r="D30" s="15">
        <v>19.5</v>
      </c>
      <c r="E30" s="17">
        <v>0.14035851531172899</v>
      </c>
    </row>
    <row r="31" spans="1:5">
      <c r="A31" s="9" t="s">
        <v>46</v>
      </c>
      <c r="B31" s="13">
        <v>90</v>
      </c>
      <c r="C31" s="13">
        <v>410</v>
      </c>
      <c r="D31" s="15">
        <v>21.951219512195099</v>
      </c>
      <c r="E31" s="17">
        <v>9.1118850884160399E-2</v>
      </c>
    </row>
    <row r="32" spans="1:5">
      <c r="A32" s="9" t="s">
        <v>47</v>
      </c>
      <c r="B32" s="13">
        <v>358</v>
      </c>
      <c r="C32" s="13">
        <v>985</v>
      </c>
      <c r="D32" s="15">
        <v>36.345177664974599</v>
      </c>
      <c r="E32" s="17">
        <v>4.1290830083108798E-2</v>
      </c>
    </row>
    <row r="33" spans="1:5">
      <c r="A33" s="9" t="s">
        <v>48</v>
      </c>
      <c r="B33" s="13">
        <v>64</v>
      </c>
      <c r="C33" s="13">
        <v>225</v>
      </c>
      <c r="D33" s="15">
        <v>28.4444444444444</v>
      </c>
      <c r="E33" s="17">
        <v>0.103301070232167</v>
      </c>
    </row>
    <row r="34" spans="1:5">
      <c r="A34" s="9" t="s">
        <v>49</v>
      </c>
      <c r="B34" s="13">
        <v>19</v>
      </c>
      <c r="C34" s="13">
        <v>105</v>
      </c>
      <c r="D34" s="15">
        <v>18.095238095238098</v>
      </c>
      <c r="E34" s="17">
        <v>0.202285190376394</v>
      </c>
    </row>
    <row r="35" spans="1:5">
      <c r="A35" s="9" t="s">
        <v>50</v>
      </c>
      <c r="B35" s="13">
        <v>100</v>
      </c>
      <c r="C35" s="13">
        <v>450</v>
      </c>
      <c r="D35" s="15">
        <v>22.2222222222222</v>
      </c>
      <c r="E35" s="17">
        <v>8.6304319449003006E-2</v>
      </c>
    </row>
    <row r="36" spans="1:5">
      <c r="A36" s="9" t="s">
        <v>51</v>
      </c>
      <c r="B36" s="13">
        <v>62</v>
      </c>
      <c r="C36" s="13">
        <v>90</v>
      </c>
      <c r="D36" s="15">
        <v>68.8888888888889</v>
      </c>
      <c r="E36" s="17">
        <v>6.8169617676744704E-2</v>
      </c>
    </row>
    <row r="37" spans="1:5">
      <c r="A37" s="9" t="s">
        <v>52</v>
      </c>
      <c r="B37" s="13">
        <v>113</v>
      </c>
      <c r="C37" s="13">
        <v>115</v>
      </c>
      <c r="D37" s="15">
        <v>98.260869565217405</v>
      </c>
      <c r="E37" s="17">
        <v>8.5968219832011396E-3</v>
      </c>
    </row>
    <row r="38" spans="1:5">
      <c r="A38" s="9" t="s">
        <v>53</v>
      </c>
      <c r="B38" s="13">
        <v>136</v>
      </c>
      <c r="C38" s="13">
        <v>325</v>
      </c>
      <c r="D38" s="15">
        <v>41.846153846153797</v>
      </c>
      <c r="E38" s="17">
        <v>6.3913686140122605E-2</v>
      </c>
    </row>
    <row r="39" spans="1:5">
      <c r="A39" s="9" t="s">
        <v>54</v>
      </c>
      <c r="B39" s="13">
        <v>8</v>
      </c>
      <c r="C39" s="13">
        <v>20</v>
      </c>
      <c r="D39" s="15">
        <v>40</v>
      </c>
      <c r="E39" s="17">
        <v>0.25695816780168701</v>
      </c>
    </row>
    <row r="40" spans="1:5">
      <c r="A40" s="9" t="s">
        <v>55</v>
      </c>
      <c r="B40" s="13">
        <v>110</v>
      </c>
      <c r="C40" s="13">
        <v>270</v>
      </c>
      <c r="D40" s="15">
        <v>40.740740740740698</v>
      </c>
      <c r="E40" s="17">
        <v>7.1704500232100898E-2</v>
      </c>
    </row>
    <row r="41" spans="1:5">
      <c r="A41" s="9" t="s">
        <v>56</v>
      </c>
      <c r="B41" s="13">
        <v>18</v>
      </c>
      <c r="C41" s="13">
        <v>35</v>
      </c>
      <c r="D41" s="15">
        <v>51.428571428571402</v>
      </c>
      <c r="E41" s="17">
        <v>0.15617653828636099</v>
      </c>
    </row>
    <row r="42" spans="1:5">
      <c r="A42" s="9" t="s">
        <v>57</v>
      </c>
      <c r="B42" s="13">
        <v>94</v>
      </c>
      <c r="C42" s="13">
        <v>655</v>
      </c>
      <c r="D42" s="15">
        <v>14.3511450381679</v>
      </c>
      <c r="E42" s="17">
        <v>9.3462095144744198E-2</v>
      </c>
    </row>
    <row r="43" spans="1:5">
      <c r="A43" s="9" t="s">
        <v>58</v>
      </c>
      <c r="B43" s="13">
        <v>45</v>
      </c>
      <c r="C43" s="13">
        <v>185</v>
      </c>
      <c r="D43" s="15">
        <v>24.324324324324301</v>
      </c>
      <c r="E43" s="17">
        <v>0.12663138437017701</v>
      </c>
    </row>
    <row r="44" spans="1:5">
      <c r="A44" s="9" t="s">
        <v>59</v>
      </c>
      <c r="B44" s="13">
        <v>49</v>
      </c>
      <c r="C44" s="13">
        <v>470</v>
      </c>
      <c r="D44" s="15">
        <v>10.4255319148936</v>
      </c>
      <c r="E44" s="17">
        <v>0.13234384616226499</v>
      </c>
    </row>
    <row r="45" spans="1:5">
      <c r="A45" s="9" t="s">
        <v>60</v>
      </c>
      <c r="B45" s="13">
        <v>421</v>
      </c>
      <c r="C45" s="13">
        <v>80</v>
      </c>
      <c r="D45" s="20" t="s">
        <v>80</v>
      </c>
      <c r="E45" s="21" t="s">
        <v>80</v>
      </c>
    </row>
    <row r="46" spans="1:5" ht="21.9" customHeight="1">
      <c r="A46" s="22" t="s">
        <v>61</v>
      </c>
      <c r="B46" s="13"/>
      <c r="C46" s="13"/>
      <c r="D46" s="15"/>
      <c r="E46" s="17"/>
    </row>
    <row r="47" spans="1:5">
      <c r="A47" s="9" t="s">
        <v>62</v>
      </c>
      <c r="B47" s="13">
        <v>274</v>
      </c>
      <c r="C47" s="19" t="s">
        <v>80</v>
      </c>
      <c r="D47" s="20" t="s">
        <v>80</v>
      </c>
      <c r="E47" s="21" t="s">
        <v>80</v>
      </c>
    </row>
    <row r="48" spans="1:5">
      <c r="A48" s="9" t="s">
        <v>63</v>
      </c>
      <c r="B48" s="13">
        <v>5368</v>
      </c>
      <c r="C48" s="19" t="s">
        <v>80</v>
      </c>
      <c r="D48" s="20" t="s">
        <v>80</v>
      </c>
      <c r="E48" s="21" t="s">
        <v>80</v>
      </c>
    </row>
    <row r="49" spans="1:5">
      <c r="A49" s="9" t="s">
        <v>60</v>
      </c>
      <c r="B49" s="13">
        <v>252</v>
      </c>
      <c r="C49" s="19" t="s">
        <v>80</v>
      </c>
      <c r="D49" s="20" t="s">
        <v>80</v>
      </c>
      <c r="E49" s="21" t="s">
        <v>80</v>
      </c>
    </row>
    <row r="50" spans="1:5" ht="21.9" customHeight="1">
      <c r="A50" s="22" t="s">
        <v>64</v>
      </c>
      <c r="B50" s="13"/>
      <c r="C50" s="13"/>
      <c r="D50" s="15"/>
      <c r="E50" s="17"/>
    </row>
    <row r="51" spans="1:5">
      <c r="A51" s="9" t="s">
        <v>65</v>
      </c>
      <c r="B51" s="13">
        <v>657</v>
      </c>
      <c r="C51" s="19" t="s">
        <v>80</v>
      </c>
      <c r="D51" s="20" t="s">
        <v>80</v>
      </c>
      <c r="E51" s="21" t="s">
        <v>80</v>
      </c>
    </row>
    <row r="52" spans="1:5">
      <c r="A52" s="9" t="s">
        <v>66</v>
      </c>
      <c r="B52" s="13">
        <v>4855</v>
      </c>
      <c r="C52" s="19" t="s">
        <v>80</v>
      </c>
      <c r="D52" s="20" t="s">
        <v>80</v>
      </c>
      <c r="E52" s="21" t="s">
        <v>80</v>
      </c>
    </row>
    <row r="53" spans="1:5">
      <c r="A53" s="9" t="s">
        <v>60</v>
      </c>
      <c r="B53" s="13">
        <v>382</v>
      </c>
      <c r="C53" s="19" t="s">
        <v>80</v>
      </c>
      <c r="D53" s="20" t="s">
        <v>80</v>
      </c>
      <c r="E53" s="21" t="s">
        <v>80</v>
      </c>
    </row>
    <row r="54" spans="1:5" ht="21.9" customHeight="1">
      <c r="A54" s="22" t="s">
        <v>67</v>
      </c>
      <c r="B54" s="13"/>
      <c r="C54" s="13"/>
      <c r="D54" s="15"/>
      <c r="E54" s="17"/>
    </row>
    <row r="55" spans="1:5">
      <c r="A55" s="9" t="s">
        <v>68</v>
      </c>
      <c r="B55" s="13">
        <v>2682</v>
      </c>
      <c r="C55" s="13">
        <v>6608</v>
      </c>
      <c r="D55" s="15">
        <v>40.587167070217902</v>
      </c>
      <c r="E55" s="17">
        <v>1.4584162756529399E-2</v>
      </c>
    </row>
    <row r="56" spans="1:5">
      <c r="A56" s="9" t="s">
        <v>69</v>
      </c>
      <c r="B56" s="13">
        <v>806</v>
      </c>
      <c r="C56" s="13">
        <v>4546</v>
      </c>
      <c r="D56" s="15">
        <v>17.729872415310201</v>
      </c>
      <c r="E56" s="17">
        <v>3.1305566828999598E-2</v>
      </c>
    </row>
    <row r="57" spans="1:5">
      <c r="A57" s="9" t="s">
        <v>70</v>
      </c>
      <c r="B57" s="13">
        <v>1316</v>
      </c>
      <c r="C57" s="13">
        <v>6821</v>
      </c>
      <c r="D57" s="15">
        <v>19.293358745052</v>
      </c>
      <c r="E57" s="17">
        <v>2.4266845152701302E-2</v>
      </c>
    </row>
    <row r="58" spans="1:5">
      <c r="A58" s="9" t="s">
        <v>71</v>
      </c>
      <c r="B58" s="13">
        <v>1072</v>
      </c>
      <c r="C58" s="13">
        <v>5730</v>
      </c>
      <c r="D58" s="15">
        <v>18.708551483420599</v>
      </c>
      <c r="E58" s="17">
        <v>2.69838858505465E-2</v>
      </c>
    </row>
    <row r="59" spans="1:5" ht="21.9" customHeight="1">
      <c r="A59" s="22" t="s">
        <v>72</v>
      </c>
      <c r="B59" s="13"/>
      <c r="C59" s="13"/>
      <c r="D59" s="15"/>
      <c r="E59" s="17"/>
    </row>
    <row r="60" spans="1:5">
      <c r="A60" s="9" t="s">
        <v>73</v>
      </c>
      <c r="B60" s="13">
        <v>2512</v>
      </c>
      <c r="C60" s="19" t="s">
        <v>80</v>
      </c>
      <c r="D60" s="20" t="s">
        <v>80</v>
      </c>
      <c r="E60" s="21" t="s">
        <v>80</v>
      </c>
    </row>
    <row r="61" spans="1:5">
      <c r="A61" s="9" t="s">
        <v>74</v>
      </c>
      <c r="B61" s="13">
        <v>3382</v>
      </c>
      <c r="C61" s="19" t="s">
        <v>80</v>
      </c>
      <c r="D61" s="20" t="s">
        <v>80</v>
      </c>
      <c r="E61" s="21" t="s">
        <v>80</v>
      </c>
    </row>
    <row r="62" spans="1:5" ht="21.9" customHeight="1">
      <c r="A62" s="22" t="s">
        <v>75</v>
      </c>
      <c r="B62" s="13"/>
      <c r="C62" s="13"/>
      <c r="D62" s="15"/>
      <c r="E62" s="17"/>
    </row>
    <row r="63" spans="1:5">
      <c r="A63" s="9" t="s">
        <v>76</v>
      </c>
      <c r="B63" s="13">
        <v>1283</v>
      </c>
      <c r="C63" s="13">
        <v>5619</v>
      </c>
      <c r="D63" s="15">
        <v>22.8332443495284</v>
      </c>
      <c r="E63" s="17">
        <v>2.40313286232198E-2</v>
      </c>
    </row>
    <row r="64" spans="1:5">
      <c r="A64" s="9" t="s">
        <v>77</v>
      </c>
      <c r="B64" s="13">
        <v>1570</v>
      </c>
      <c r="C64" s="13">
        <v>6669</v>
      </c>
      <c r="D64" s="15">
        <v>23.541760383865601</v>
      </c>
      <c r="E64" s="17">
        <v>2.1624486646485301E-2</v>
      </c>
    </row>
    <row r="65" spans="1:5">
      <c r="A65" s="9" t="s">
        <v>78</v>
      </c>
      <c r="B65" s="13">
        <v>1287</v>
      </c>
      <c r="C65" s="13">
        <v>5114</v>
      </c>
      <c r="D65" s="15">
        <v>25.1662104028158</v>
      </c>
      <c r="E65" s="17">
        <v>2.3628106692382699E-2</v>
      </c>
    </row>
    <row r="66" spans="1:5">
      <c r="A66" s="11" t="s">
        <v>79</v>
      </c>
      <c r="B66" s="14">
        <v>1543</v>
      </c>
      <c r="C66" s="14">
        <v>6303</v>
      </c>
      <c r="D66" s="16">
        <v>24.4804061557988</v>
      </c>
      <c r="E66" s="18">
        <v>2.16784042961609E-2</v>
      </c>
    </row>
    <row r="67" spans="1:5">
      <c r="A67" t="s">
        <v>81</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zoomScale="70" workbookViewId="0"/>
  </sheetViews>
  <sheetFormatPr defaultColWidth="10.90625" defaultRowHeight="15"/>
  <cols>
    <col min="1" max="1" width="51.6796875" customWidth="1"/>
    <col min="2" max="7" width="23.1796875" customWidth="1"/>
  </cols>
  <sheetData>
    <row r="1" spans="1:7" ht="39.9" customHeight="1">
      <c r="A1" s="10" t="s">
        <v>82</v>
      </c>
      <c r="B1" s="12"/>
      <c r="C1" s="12"/>
      <c r="D1" s="12"/>
      <c r="E1" s="12"/>
      <c r="F1" s="12"/>
      <c r="G1" s="12"/>
    </row>
    <row r="2" spans="1:7" ht="60">
      <c r="A2" s="7" t="s">
        <v>2</v>
      </c>
      <c r="B2" s="6" t="s">
        <v>83</v>
      </c>
      <c r="C2" s="6" t="s">
        <v>84</v>
      </c>
      <c r="D2" s="6" t="s">
        <v>85</v>
      </c>
      <c r="E2" s="6" t="s">
        <v>86</v>
      </c>
      <c r="F2" s="6" t="s">
        <v>87</v>
      </c>
      <c r="G2" s="8" t="s">
        <v>88</v>
      </c>
    </row>
    <row r="3" spans="1:7" ht="21.9" customHeight="1">
      <c r="A3" s="22" t="s">
        <v>18</v>
      </c>
      <c r="B3" s="15">
        <v>39.470113608276201</v>
      </c>
      <c r="C3" s="15">
        <v>57.3251753061665</v>
      </c>
      <c r="D3" s="15">
        <v>69.304044090253598</v>
      </c>
      <c r="E3" s="15">
        <v>51.412597068578997</v>
      </c>
      <c r="F3" s="15">
        <v>15.3555012742789</v>
      </c>
      <c r="G3" s="24">
        <v>55.725851211528997</v>
      </c>
    </row>
    <row r="4" spans="1:7">
      <c r="A4" s="22" t="s">
        <v>19</v>
      </c>
      <c r="B4" s="15">
        <v>42.0011119167266</v>
      </c>
      <c r="C4" s="15">
        <v>59.5234638904805</v>
      </c>
      <c r="D4" s="15">
        <v>69.478300526662295</v>
      </c>
      <c r="E4" s="15">
        <v>52.564848192151501</v>
      </c>
      <c r="F4" s="15">
        <v>15.2308857961863</v>
      </c>
      <c r="G4" s="24">
        <v>57.930304624100501</v>
      </c>
    </row>
    <row r="5" spans="1:7">
      <c r="A5" s="22" t="s">
        <v>20</v>
      </c>
      <c r="B5" s="15">
        <v>40.585021209056599</v>
      </c>
      <c r="C5" s="15">
        <v>58.511305693563898</v>
      </c>
      <c r="D5" s="15">
        <v>68.3352971651682</v>
      </c>
      <c r="E5" s="15">
        <v>50.388484904716798</v>
      </c>
      <c r="F5" s="15">
        <v>15.2441238964078</v>
      </c>
      <c r="G5" s="24">
        <v>54.312281132501901</v>
      </c>
    </row>
    <row r="6" spans="1:7">
      <c r="A6" s="23" t="s">
        <v>21</v>
      </c>
      <c r="B6" s="15"/>
      <c r="C6" s="15"/>
      <c r="D6" s="15"/>
      <c r="E6" s="15"/>
      <c r="F6" s="15"/>
      <c r="G6" s="24"/>
    </row>
    <row r="7" spans="1:7" ht="21.9" customHeight="1">
      <c r="A7" s="22" t="s">
        <v>22</v>
      </c>
      <c r="B7" s="15"/>
      <c r="C7" s="15"/>
      <c r="D7" s="15"/>
      <c r="E7" s="15"/>
      <c r="F7" s="15"/>
      <c r="G7" s="24"/>
    </row>
    <row r="8" spans="1:7">
      <c r="A8" s="9" t="s">
        <v>23</v>
      </c>
      <c r="B8" s="15">
        <v>44.470884627686203</v>
      </c>
      <c r="C8" s="15">
        <v>68.210823096035199</v>
      </c>
      <c r="D8" s="15">
        <v>75.414357752117397</v>
      </c>
      <c r="E8" s="15">
        <v>55.107711649409197</v>
      </c>
      <c r="F8" s="15">
        <v>17.950737162044899</v>
      </c>
      <c r="G8" s="24">
        <v>57.035232182109098</v>
      </c>
    </row>
    <row r="9" spans="1:7">
      <c r="A9" s="9" t="s">
        <v>24</v>
      </c>
      <c r="B9" s="15">
        <v>37.630711497248001</v>
      </c>
      <c r="C9" s="15">
        <v>50.142816154642603</v>
      </c>
      <c r="D9" s="15">
        <v>62.137387826492301</v>
      </c>
      <c r="E9" s="15">
        <v>46.207561478287502</v>
      </c>
      <c r="F9" s="15">
        <v>12.6868144459074</v>
      </c>
      <c r="G9" s="24">
        <v>52.403782846106601</v>
      </c>
    </row>
    <row r="10" spans="1:7">
      <c r="A10" s="9" t="s">
        <v>25</v>
      </c>
      <c r="B10" s="20" t="s">
        <v>80</v>
      </c>
      <c r="C10" s="20" t="s">
        <v>80</v>
      </c>
      <c r="D10" s="15">
        <v>51.101589952103701</v>
      </c>
      <c r="E10" s="15">
        <v>42.734182151837999</v>
      </c>
      <c r="F10" s="20" t="s">
        <v>80</v>
      </c>
      <c r="G10" s="24">
        <v>36.838778802804299</v>
      </c>
    </row>
    <row r="11" spans="1:7">
      <c r="A11" s="9" t="s">
        <v>26</v>
      </c>
      <c r="B11" s="15">
        <v>24.2922882703417</v>
      </c>
      <c r="C11" s="15">
        <v>31.585355934520301</v>
      </c>
      <c r="D11" s="15">
        <v>49.419422439113703</v>
      </c>
      <c r="E11" s="15">
        <v>36.547216220184197</v>
      </c>
      <c r="F11" s="20" t="s">
        <v>80</v>
      </c>
      <c r="G11" s="24">
        <v>43.524389529404203</v>
      </c>
    </row>
    <row r="12" spans="1:7" ht="21.9" customHeight="1">
      <c r="A12" s="22" t="s">
        <v>27</v>
      </c>
      <c r="B12" s="15"/>
      <c r="C12" s="15"/>
      <c r="D12" s="15"/>
      <c r="E12" s="15"/>
      <c r="F12" s="15"/>
      <c r="G12" s="24"/>
    </row>
    <row r="13" spans="1:7">
      <c r="A13" s="9" t="s">
        <v>28</v>
      </c>
      <c r="B13" s="15">
        <v>38.068186262907197</v>
      </c>
      <c r="C13" s="15">
        <v>71.746500876695805</v>
      </c>
      <c r="D13" s="15">
        <v>73.954745786474902</v>
      </c>
      <c r="E13" s="15">
        <v>59.1662466408971</v>
      </c>
      <c r="F13" s="15">
        <v>25.049977820141699</v>
      </c>
      <c r="G13" s="24">
        <v>53.3022199483691</v>
      </c>
    </row>
    <row r="14" spans="1:7">
      <c r="A14" s="9" t="s">
        <v>29</v>
      </c>
      <c r="B14" s="15">
        <v>44.033368135187203</v>
      </c>
      <c r="C14" s="15">
        <v>65.236138803687695</v>
      </c>
      <c r="D14" s="15">
        <v>71.724422079487596</v>
      </c>
      <c r="E14" s="15">
        <v>61.4281532503759</v>
      </c>
      <c r="F14" s="15">
        <v>16.050595743451101</v>
      </c>
      <c r="G14" s="24">
        <v>57.558699429465101</v>
      </c>
    </row>
    <row r="15" spans="1:7">
      <c r="A15" s="9" t="s">
        <v>30</v>
      </c>
      <c r="B15" s="15">
        <v>40.213434513628002</v>
      </c>
      <c r="C15" s="15">
        <v>53.761365787799399</v>
      </c>
      <c r="D15" s="15">
        <v>65.112079071537806</v>
      </c>
      <c r="E15" s="15">
        <v>46.777632380719901</v>
      </c>
      <c r="F15" s="15">
        <v>12.4338034525193</v>
      </c>
      <c r="G15" s="24">
        <v>54.061874179513602</v>
      </c>
    </row>
    <row r="16" spans="1:7">
      <c r="A16" s="9" t="s">
        <v>31</v>
      </c>
      <c r="B16" s="15">
        <v>39.896047999750799</v>
      </c>
      <c r="C16" s="15">
        <v>44.973891108937799</v>
      </c>
      <c r="D16" s="15">
        <v>63.879040641581902</v>
      </c>
      <c r="E16" s="15">
        <v>34.815452008466004</v>
      </c>
      <c r="F16" s="15">
        <v>8.7491013047297592</v>
      </c>
      <c r="G16" s="24">
        <v>52.123485009869398</v>
      </c>
    </row>
    <row r="17" spans="1:7" ht="21.9" customHeight="1">
      <c r="A17" s="22" t="s">
        <v>32</v>
      </c>
      <c r="B17" s="15"/>
      <c r="C17" s="15"/>
      <c r="D17" s="15"/>
      <c r="E17" s="15"/>
      <c r="F17" s="15"/>
      <c r="G17" s="24"/>
    </row>
    <row r="18" spans="1:7">
      <c r="A18" s="9" t="s">
        <v>33</v>
      </c>
      <c r="B18" s="15">
        <v>41.180939797606001</v>
      </c>
      <c r="C18" s="15">
        <v>68.349261196696006</v>
      </c>
      <c r="D18" s="15">
        <v>72.790917398490905</v>
      </c>
      <c r="E18" s="15">
        <v>60.3465556313961</v>
      </c>
      <c r="F18" s="15">
        <v>20.353916749565101</v>
      </c>
      <c r="G18" s="24">
        <v>55.523337733850902</v>
      </c>
    </row>
    <row r="19" spans="1:7">
      <c r="A19" s="9" t="s">
        <v>34</v>
      </c>
      <c r="B19" s="15">
        <v>40.089572151790897</v>
      </c>
      <c r="C19" s="15">
        <v>50.331990812123699</v>
      </c>
      <c r="D19" s="15">
        <v>64.630876986721702</v>
      </c>
      <c r="E19" s="15">
        <v>42.1093057542083</v>
      </c>
      <c r="F19" s="15">
        <v>10.9958220300698</v>
      </c>
      <c r="G19" s="24">
        <v>53.305403913091197</v>
      </c>
    </row>
    <row r="20" spans="1:7" ht="21.9" customHeight="1">
      <c r="A20" s="22" t="s">
        <v>35</v>
      </c>
      <c r="B20" s="15"/>
      <c r="C20" s="15"/>
      <c r="D20" s="15"/>
      <c r="E20" s="15"/>
      <c r="F20" s="15"/>
      <c r="G20" s="24"/>
    </row>
    <row r="21" spans="1:7">
      <c r="A21" s="9" t="s">
        <v>36</v>
      </c>
      <c r="B21" s="15">
        <v>43.122748892598302</v>
      </c>
      <c r="C21" s="15">
        <v>58.233420992093301</v>
      </c>
      <c r="D21" s="15">
        <v>67.607140120582301</v>
      </c>
      <c r="E21" s="15">
        <v>50.141065678670202</v>
      </c>
      <c r="F21" s="15">
        <v>14.8478757144269</v>
      </c>
      <c r="G21" s="24">
        <v>57.542823976618699</v>
      </c>
    </row>
    <row r="22" spans="1:7">
      <c r="A22" s="9" t="s">
        <v>37</v>
      </c>
      <c r="B22" s="15">
        <v>43.2091837948158</v>
      </c>
      <c r="C22" s="15">
        <v>58.389951164854203</v>
      </c>
      <c r="D22" s="15">
        <v>67.844979846833297</v>
      </c>
      <c r="E22" s="15">
        <v>50.5018599512035</v>
      </c>
      <c r="F22" s="15">
        <v>15.0982617914621</v>
      </c>
      <c r="G22" s="24">
        <v>58.007270029020901</v>
      </c>
    </row>
    <row r="23" spans="1:7">
      <c r="A23" s="9" t="s">
        <v>38</v>
      </c>
      <c r="B23" s="20" t="s">
        <v>80</v>
      </c>
      <c r="C23" s="20" t="s">
        <v>80</v>
      </c>
      <c r="D23" s="20" t="s">
        <v>80</v>
      </c>
      <c r="E23" s="20" t="s">
        <v>80</v>
      </c>
      <c r="F23" s="20" t="s">
        <v>80</v>
      </c>
      <c r="G23" s="26" t="s">
        <v>80</v>
      </c>
    </row>
    <row r="24" spans="1:7">
      <c r="A24" s="9" t="s">
        <v>39</v>
      </c>
      <c r="B24" s="20" t="s">
        <v>80</v>
      </c>
      <c r="C24" s="20" t="s">
        <v>80</v>
      </c>
      <c r="D24" s="20" t="s">
        <v>80</v>
      </c>
      <c r="E24" s="20" t="s">
        <v>80</v>
      </c>
      <c r="F24" s="20" t="s">
        <v>80</v>
      </c>
      <c r="G24" s="26" t="s">
        <v>80</v>
      </c>
    </row>
    <row r="25" spans="1:7">
      <c r="A25" s="9" t="s">
        <v>40</v>
      </c>
      <c r="B25" s="20" t="s">
        <v>80</v>
      </c>
      <c r="C25" s="20" t="s">
        <v>80</v>
      </c>
      <c r="D25" s="20" t="s">
        <v>80</v>
      </c>
      <c r="E25" s="20" t="s">
        <v>80</v>
      </c>
      <c r="F25" s="20" t="s">
        <v>80</v>
      </c>
      <c r="G25" s="26" t="s">
        <v>80</v>
      </c>
    </row>
    <row r="26" spans="1:7">
      <c r="A26" s="9" t="s">
        <v>41</v>
      </c>
      <c r="B26" s="15">
        <v>38.890808856985998</v>
      </c>
      <c r="C26" s="15">
        <v>54.397930480895901</v>
      </c>
      <c r="D26" s="15">
        <v>61.694851755859297</v>
      </c>
      <c r="E26" s="15">
        <v>44.762704028093097</v>
      </c>
      <c r="F26" s="20" t="s">
        <v>80</v>
      </c>
      <c r="G26" s="24">
        <v>46.929527198279402</v>
      </c>
    </row>
    <row r="27" spans="1:7">
      <c r="A27" s="9" t="s">
        <v>42</v>
      </c>
      <c r="B27" s="15">
        <v>43.726383628640598</v>
      </c>
      <c r="C27" s="15">
        <v>59.791729126594397</v>
      </c>
      <c r="D27" s="15">
        <v>71.275883245303902</v>
      </c>
      <c r="E27" s="15">
        <v>50.811821432732401</v>
      </c>
      <c r="F27" s="20" t="s">
        <v>80</v>
      </c>
      <c r="G27" s="24">
        <v>57.721513303205697</v>
      </c>
    </row>
    <row r="28" spans="1:7">
      <c r="A28" s="9" t="s">
        <v>43</v>
      </c>
      <c r="B28" s="20" t="s">
        <v>80</v>
      </c>
      <c r="C28" s="20" t="s">
        <v>80</v>
      </c>
      <c r="D28" s="20" t="s">
        <v>80</v>
      </c>
      <c r="E28" s="20" t="s">
        <v>80</v>
      </c>
      <c r="F28" s="20" t="s">
        <v>80</v>
      </c>
      <c r="G28" s="26" t="s">
        <v>80</v>
      </c>
    </row>
    <row r="29" spans="1:7">
      <c r="A29" s="9" t="s">
        <v>44</v>
      </c>
      <c r="B29" s="20" t="s">
        <v>80</v>
      </c>
      <c r="C29" s="20" t="s">
        <v>80</v>
      </c>
      <c r="D29" s="15">
        <v>81.515140629452205</v>
      </c>
      <c r="E29" s="20" t="s">
        <v>80</v>
      </c>
      <c r="F29" s="20" t="s">
        <v>80</v>
      </c>
      <c r="G29" s="26" t="s">
        <v>80</v>
      </c>
    </row>
    <row r="30" spans="1:7">
      <c r="A30" s="9" t="s">
        <v>45</v>
      </c>
      <c r="B30" s="20" t="s">
        <v>80</v>
      </c>
      <c r="C30" s="20" t="s">
        <v>80</v>
      </c>
      <c r="D30" s="15">
        <v>80.022199859729199</v>
      </c>
      <c r="E30" s="20" t="s">
        <v>80</v>
      </c>
      <c r="F30" s="20" t="s">
        <v>80</v>
      </c>
      <c r="G30" s="26" t="s">
        <v>80</v>
      </c>
    </row>
    <row r="31" spans="1:7">
      <c r="A31" s="9" t="s">
        <v>46</v>
      </c>
      <c r="B31" s="15">
        <v>32.029375667011799</v>
      </c>
      <c r="C31" s="15">
        <v>61.319385829534497</v>
      </c>
      <c r="D31" s="15">
        <v>68.301983345650498</v>
      </c>
      <c r="E31" s="15">
        <v>55.1356662685603</v>
      </c>
      <c r="F31" s="20" t="s">
        <v>80</v>
      </c>
      <c r="G31" s="24">
        <v>51.159478171916298</v>
      </c>
    </row>
    <row r="32" spans="1:7">
      <c r="A32" s="9" t="s">
        <v>47</v>
      </c>
      <c r="B32" s="15">
        <v>31.151304307636</v>
      </c>
      <c r="C32" s="15">
        <v>54.257097452288903</v>
      </c>
      <c r="D32" s="15">
        <v>73.081032468247599</v>
      </c>
      <c r="E32" s="15">
        <v>53.6597513326479</v>
      </c>
      <c r="F32" s="15">
        <v>12.3706097907853</v>
      </c>
      <c r="G32" s="24">
        <v>41.010151548459497</v>
      </c>
    </row>
    <row r="33" spans="1:7">
      <c r="A33" s="9" t="s">
        <v>48</v>
      </c>
      <c r="B33" s="20" t="s">
        <v>80</v>
      </c>
      <c r="C33" s="15">
        <v>58.078337243067899</v>
      </c>
      <c r="D33" s="15">
        <v>81.989314775786198</v>
      </c>
      <c r="E33" s="15">
        <v>51.510484000058</v>
      </c>
      <c r="F33" s="20" t="s">
        <v>80</v>
      </c>
      <c r="G33" s="24">
        <v>50.793803065499397</v>
      </c>
    </row>
    <row r="34" spans="1:7">
      <c r="A34" s="9" t="s">
        <v>49</v>
      </c>
      <c r="B34" s="20" t="s">
        <v>80</v>
      </c>
      <c r="C34" s="20" t="s">
        <v>80</v>
      </c>
      <c r="D34" s="20" t="s">
        <v>80</v>
      </c>
      <c r="E34" s="20" t="s">
        <v>80</v>
      </c>
      <c r="F34" s="20" t="s">
        <v>80</v>
      </c>
      <c r="G34" s="26" t="s">
        <v>80</v>
      </c>
    </row>
    <row r="35" spans="1:7">
      <c r="A35" s="9" t="s">
        <v>50</v>
      </c>
      <c r="B35" s="20" t="s">
        <v>80</v>
      </c>
      <c r="C35" s="15">
        <v>56.622854600388301</v>
      </c>
      <c r="D35" s="15">
        <v>64.525308332635802</v>
      </c>
      <c r="E35" s="15">
        <v>58.266348103832598</v>
      </c>
      <c r="F35" s="20" t="s">
        <v>80</v>
      </c>
      <c r="G35" s="26" t="s">
        <v>80</v>
      </c>
    </row>
    <row r="36" spans="1:7">
      <c r="A36" s="9" t="s">
        <v>51</v>
      </c>
      <c r="B36" s="20" t="s">
        <v>80</v>
      </c>
      <c r="C36" s="15">
        <v>57.831900027435701</v>
      </c>
      <c r="D36" s="15">
        <v>73.512037333296107</v>
      </c>
      <c r="E36" s="15">
        <v>53.861348217713299</v>
      </c>
      <c r="F36" s="20" t="s">
        <v>80</v>
      </c>
      <c r="G36" s="24">
        <v>50.9762559582813</v>
      </c>
    </row>
    <row r="37" spans="1:7">
      <c r="A37" s="9" t="s">
        <v>52</v>
      </c>
      <c r="B37" s="15">
        <v>36.770191587211897</v>
      </c>
      <c r="C37" s="15">
        <v>48.838382757280897</v>
      </c>
      <c r="D37" s="15">
        <v>76.107634743695598</v>
      </c>
      <c r="E37" s="15">
        <v>51.541075148987602</v>
      </c>
      <c r="F37" s="20" t="s">
        <v>80</v>
      </c>
      <c r="G37" s="24">
        <v>42.162892948025402</v>
      </c>
    </row>
    <row r="38" spans="1:7">
      <c r="A38" s="9" t="s">
        <v>53</v>
      </c>
      <c r="B38" s="15">
        <v>36.777487711174501</v>
      </c>
      <c r="C38" s="15">
        <v>73.073780646244003</v>
      </c>
      <c r="D38" s="15">
        <v>84.210341733333706</v>
      </c>
      <c r="E38" s="15">
        <v>57.158682683878901</v>
      </c>
      <c r="F38" s="20" t="s">
        <v>80</v>
      </c>
      <c r="G38" s="24">
        <v>51.290579199661302</v>
      </c>
    </row>
    <row r="39" spans="1:7">
      <c r="A39" s="9" t="s">
        <v>54</v>
      </c>
      <c r="B39" s="20" t="s">
        <v>80</v>
      </c>
      <c r="C39" s="20" t="s">
        <v>80</v>
      </c>
      <c r="D39" s="20" t="s">
        <v>80</v>
      </c>
      <c r="E39" s="20" t="s">
        <v>80</v>
      </c>
      <c r="F39" s="20" t="s">
        <v>80</v>
      </c>
      <c r="G39" s="26" t="s">
        <v>80</v>
      </c>
    </row>
    <row r="40" spans="1:7">
      <c r="A40" s="9" t="s">
        <v>55</v>
      </c>
      <c r="B40" s="15">
        <v>35.9867381727016</v>
      </c>
      <c r="C40" s="15">
        <v>70.5490175117218</v>
      </c>
      <c r="D40" s="15">
        <v>84.204620952884994</v>
      </c>
      <c r="E40" s="15">
        <v>54.212448823476201</v>
      </c>
      <c r="F40" s="20" t="s">
        <v>80</v>
      </c>
      <c r="G40" s="24">
        <v>49.133652061000099</v>
      </c>
    </row>
    <row r="41" spans="1:7">
      <c r="A41" s="9" t="s">
        <v>56</v>
      </c>
      <c r="B41" s="20" t="s">
        <v>80</v>
      </c>
      <c r="C41" s="20" t="s">
        <v>80</v>
      </c>
      <c r="D41" s="20" t="s">
        <v>80</v>
      </c>
      <c r="E41" s="20" t="s">
        <v>80</v>
      </c>
      <c r="F41" s="20" t="s">
        <v>80</v>
      </c>
      <c r="G41" s="26" t="s">
        <v>80</v>
      </c>
    </row>
    <row r="42" spans="1:7">
      <c r="A42" s="9" t="s">
        <v>57</v>
      </c>
      <c r="B42" s="20" t="s">
        <v>80</v>
      </c>
      <c r="C42" s="15">
        <v>59.034153226090602</v>
      </c>
      <c r="D42" s="15">
        <v>67.673594637359997</v>
      </c>
      <c r="E42" s="15">
        <v>43.9912921421923</v>
      </c>
      <c r="F42" s="20" t="s">
        <v>80</v>
      </c>
      <c r="G42" s="24">
        <v>31.865845205105199</v>
      </c>
    </row>
    <row r="43" spans="1:7">
      <c r="A43" s="9" t="s">
        <v>58</v>
      </c>
      <c r="B43" s="20" t="s">
        <v>80</v>
      </c>
      <c r="C43" s="20" t="s">
        <v>80</v>
      </c>
      <c r="D43" s="15">
        <v>71.406593159761897</v>
      </c>
      <c r="E43" s="20" t="s">
        <v>80</v>
      </c>
      <c r="F43" s="20" t="s">
        <v>80</v>
      </c>
      <c r="G43" s="26" t="s">
        <v>80</v>
      </c>
    </row>
    <row r="44" spans="1:7">
      <c r="A44" s="9" t="s">
        <v>59</v>
      </c>
      <c r="B44" s="20" t="s">
        <v>80</v>
      </c>
      <c r="C44" s="20" t="s">
        <v>80</v>
      </c>
      <c r="D44" s="15">
        <v>64.204375707014094</v>
      </c>
      <c r="E44" s="20" t="s">
        <v>80</v>
      </c>
      <c r="F44" s="20" t="s">
        <v>80</v>
      </c>
      <c r="G44" s="26" t="s">
        <v>80</v>
      </c>
    </row>
    <row r="45" spans="1:7">
      <c r="A45" s="9" t="s">
        <v>60</v>
      </c>
      <c r="B45" s="15">
        <v>25.1923726077891</v>
      </c>
      <c r="C45" s="15">
        <v>59.218545697735898</v>
      </c>
      <c r="D45" s="15">
        <v>66.066853461807497</v>
      </c>
      <c r="E45" s="15">
        <v>49.5377181437159</v>
      </c>
      <c r="F45" s="15">
        <v>20.554593781416202</v>
      </c>
      <c r="G45" s="24">
        <v>34.769884614075799</v>
      </c>
    </row>
    <row r="46" spans="1:7" ht="21.9" customHeight="1">
      <c r="A46" s="22" t="s">
        <v>61</v>
      </c>
      <c r="B46" s="15"/>
      <c r="C46" s="15"/>
      <c r="D46" s="15"/>
      <c r="E46" s="15"/>
      <c r="F46" s="15"/>
      <c r="G46" s="24"/>
    </row>
    <row r="47" spans="1:7">
      <c r="A47" s="9" t="s">
        <v>62</v>
      </c>
      <c r="B47" s="15">
        <v>32.037558228376</v>
      </c>
      <c r="C47" s="15">
        <v>55.7077491054185</v>
      </c>
      <c r="D47" s="15">
        <v>61.6170191608661</v>
      </c>
      <c r="E47" s="15">
        <v>52.2753807164964</v>
      </c>
      <c r="F47" s="15">
        <v>18.2260583046458</v>
      </c>
      <c r="G47" s="24">
        <v>43.628120068410396</v>
      </c>
    </row>
    <row r="48" spans="1:7">
      <c r="A48" s="9" t="s">
        <v>63</v>
      </c>
      <c r="B48" s="15">
        <v>41.592594853921398</v>
      </c>
      <c r="C48" s="15">
        <v>59.055008505700897</v>
      </c>
      <c r="D48" s="15">
        <v>69.439638162233194</v>
      </c>
      <c r="E48" s="15">
        <v>50.633881911093397</v>
      </c>
      <c r="F48" s="15">
        <v>15.232756887001401</v>
      </c>
      <c r="G48" s="24">
        <v>55.403834915532997</v>
      </c>
    </row>
    <row r="49" spans="1:7">
      <c r="A49" s="9" t="s">
        <v>60</v>
      </c>
      <c r="B49" s="15">
        <v>29.211045396314798</v>
      </c>
      <c r="C49" s="15">
        <v>50.359493635361403</v>
      </c>
      <c r="D49" s="15">
        <v>52.917885332948501</v>
      </c>
      <c r="E49" s="15">
        <v>43.198914891530201</v>
      </c>
      <c r="F49" s="15">
        <v>12.159198773017099</v>
      </c>
      <c r="G49" s="24">
        <v>43.576343074454797</v>
      </c>
    </row>
    <row r="50" spans="1:7" ht="21.9" customHeight="1">
      <c r="A50" s="22" t="s">
        <v>64</v>
      </c>
      <c r="B50" s="15"/>
      <c r="C50" s="15"/>
      <c r="D50" s="15"/>
      <c r="E50" s="15"/>
      <c r="F50" s="15"/>
      <c r="G50" s="24"/>
    </row>
    <row r="51" spans="1:7">
      <c r="A51" s="9" t="s">
        <v>65</v>
      </c>
      <c r="B51" s="15">
        <v>31.502075596596999</v>
      </c>
      <c r="C51" s="15">
        <v>53.253542391665498</v>
      </c>
      <c r="D51" s="15">
        <v>57.390789900183002</v>
      </c>
      <c r="E51" s="15">
        <v>48.7127900681079</v>
      </c>
      <c r="F51" s="15">
        <v>17.044350920250899</v>
      </c>
      <c r="G51" s="24">
        <v>41.600919344227002</v>
      </c>
    </row>
    <row r="52" spans="1:7">
      <c r="A52" s="9" t="s">
        <v>66</v>
      </c>
      <c r="B52" s="15">
        <v>42.9929156023722</v>
      </c>
      <c r="C52" s="15">
        <v>60.215217432728899</v>
      </c>
      <c r="D52" s="15">
        <v>70.822775251199104</v>
      </c>
      <c r="E52" s="15">
        <v>51.279844888125297</v>
      </c>
      <c r="F52" s="15">
        <v>15.1298877038569</v>
      </c>
      <c r="G52" s="24">
        <v>57.3148565560032</v>
      </c>
    </row>
    <row r="53" spans="1:7">
      <c r="A53" s="9" t="s">
        <v>60</v>
      </c>
      <c r="B53" s="15">
        <v>26.8872678971846</v>
      </c>
      <c r="C53" s="15">
        <v>46.789146336080698</v>
      </c>
      <c r="D53" s="15">
        <v>56.893503260257098</v>
      </c>
      <c r="E53" s="15">
        <v>42.391773826856202</v>
      </c>
      <c r="F53" s="15">
        <v>13.518463322632799</v>
      </c>
      <c r="G53" s="24">
        <v>39.6346341481525</v>
      </c>
    </row>
    <row r="54" spans="1:7" ht="21.9" customHeight="1">
      <c r="A54" s="22" t="s">
        <v>67</v>
      </c>
      <c r="B54" s="15"/>
      <c r="C54" s="15"/>
      <c r="D54" s="15"/>
      <c r="E54" s="15"/>
      <c r="F54" s="15"/>
      <c r="G54" s="24"/>
    </row>
    <row r="55" spans="1:7">
      <c r="A55" s="9" t="s">
        <v>89</v>
      </c>
      <c r="B55" s="15">
        <v>49.713099563502801</v>
      </c>
      <c r="C55" s="15">
        <v>61.8566195318514</v>
      </c>
      <c r="D55" s="15">
        <v>73.229708908223103</v>
      </c>
      <c r="E55" s="15">
        <v>54.149239036287298</v>
      </c>
      <c r="F55" s="15">
        <v>16.446104598159302</v>
      </c>
      <c r="G55" s="24">
        <v>66.530389365327196</v>
      </c>
    </row>
    <row r="56" spans="1:7">
      <c r="A56" s="9" t="s">
        <v>69</v>
      </c>
      <c r="B56" s="15">
        <v>41.046593256201099</v>
      </c>
      <c r="C56" s="15">
        <v>63.631134637708598</v>
      </c>
      <c r="D56" s="15">
        <v>68.936395433154402</v>
      </c>
      <c r="E56" s="15">
        <v>50.987700478254503</v>
      </c>
      <c r="F56" s="15">
        <v>15.719693292115799</v>
      </c>
      <c r="G56" s="24">
        <v>57.691560652579497</v>
      </c>
    </row>
    <row r="57" spans="1:7">
      <c r="A57" s="9" t="s">
        <v>70</v>
      </c>
      <c r="B57" s="15">
        <v>36.784541975102599</v>
      </c>
      <c r="C57" s="15">
        <v>54.378150202569202</v>
      </c>
      <c r="D57" s="15">
        <v>66.252935422040906</v>
      </c>
      <c r="E57" s="15">
        <v>45.472523678424999</v>
      </c>
      <c r="F57" s="15">
        <v>10.7791799527187</v>
      </c>
      <c r="G57" s="24">
        <v>49.5663569611391</v>
      </c>
    </row>
    <row r="58" spans="1:7">
      <c r="A58" s="9" t="s">
        <v>90</v>
      </c>
      <c r="B58" s="15">
        <v>31.6278315822039</v>
      </c>
      <c r="C58" s="15">
        <v>54.4757228343625</v>
      </c>
      <c r="D58" s="15">
        <v>63.3163706205602</v>
      </c>
      <c r="E58" s="15">
        <v>49.991294776167102</v>
      </c>
      <c r="F58" s="15">
        <v>18.0133968466243</v>
      </c>
      <c r="G58" s="24">
        <v>39.894688229074603</v>
      </c>
    </row>
    <row r="59" spans="1:7" ht="21.9" customHeight="1">
      <c r="A59" s="22" t="s">
        <v>72</v>
      </c>
      <c r="B59" s="15"/>
      <c r="C59" s="15"/>
      <c r="D59" s="15"/>
      <c r="E59" s="15"/>
      <c r="F59" s="15"/>
      <c r="G59" s="24"/>
    </row>
    <row r="60" spans="1:7" ht="18">
      <c r="A60" s="9" t="s">
        <v>91</v>
      </c>
      <c r="B60" s="15">
        <v>50.271290888082397</v>
      </c>
      <c r="C60" s="15">
        <v>63.1666586409251</v>
      </c>
      <c r="D60" s="15">
        <v>73.7143990188532</v>
      </c>
      <c r="E60" s="15">
        <v>56.248489987207797</v>
      </c>
      <c r="F60" s="15">
        <v>17.545120060401398</v>
      </c>
      <c r="G60" s="24">
        <v>65.340969238152297</v>
      </c>
    </row>
    <row r="61" spans="1:7">
      <c r="A61" s="11" t="s">
        <v>74</v>
      </c>
      <c r="B61" s="16">
        <v>34.389021319332201</v>
      </c>
      <c r="C61" s="16">
        <v>55.533423876899597</v>
      </c>
      <c r="D61" s="16">
        <v>64.894456098723694</v>
      </c>
      <c r="E61" s="16">
        <v>46.640025275978601</v>
      </c>
      <c r="F61" s="16">
        <v>13.7722495370523</v>
      </c>
      <c r="G61" s="25">
        <v>47.257578697943302</v>
      </c>
    </row>
    <row r="62" spans="1:7" ht="30" customHeight="1">
      <c r="A62" t="s">
        <v>92</v>
      </c>
    </row>
    <row r="63" spans="1:7">
      <c r="A63" t="s">
        <v>93</v>
      </c>
    </row>
    <row r="64" spans="1:7">
      <c r="A64" t="s">
        <v>94</v>
      </c>
    </row>
    <row r="65" spans="1:1">
      <c r="A65" t="s">
        <v>95</v>
      </c>
    </row>
    <row r="66" spans="1:1">
      <c r="A66" t="s">
        <v>96</v>
      </c>
    </row>
    <row r="67" spans="1:1">
      <c r="A67" t="s">
        <v>97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8"/>
  <sheetViews>
    <sheetView zoomScale="70" workbookViewId="0"/>
  </sheetViews>
  <sheetFormatPr defaultColWidth="10.90625" defaultRowHeight="15"/>
  <cols>
    <col min="1" max="1" width="51.6796875" customWidth="1"/>
    <col min="2" max="5" width="15.90625" customWidth="1"/>
  </cols>
  <sheetData>
    <row r="1" spans="1:5" ht="39.9" customHeight="1">
      <c r="A1" s="10" t="s">
        <v>98</v>
      </c>
      <c r="B1" s="12"/>
      <c r="C1" s="12"/>
      <c r="D1" s="12"/>
      <c r="E1" s="12"/>
    </row>
    <row r="2" spans="1:5" ht="30">
      <c r="A2" s="7" t="s">
        <v>2</v>
      </c>
      <c r="B2" s="6" t="s">
        <v>99</v>
      </c>
      <c r="C2" s="6" t="s">
        <v>100</v>
      </c>
      <c r="D2" s="6" t="s">
        <v>101</v>
      </c>
      <c r="E2" s="8" t="s">
        <v>102</v>
      </c>
    </row>
    <row r="3" spans="1:5" ht="21.9" customHeight="1">
      <c r="A3" s="22" t="s">
        <v>18</v>
      </c>
      <c r="B3" s="15">
        <v>35.541075826307697</v>
      </c>
      <c r="C3" s="15">
        <v>11.8395129915867</v>
      </c>
      <c r="D3" s="15">
        <v>13.149297573829401</v>
      </c>
      <c r="E3" s="24">
        <v>39.470113608276201</v>
      </c>
    </row>
    <row r="4" spans="1:5">
      <c r="A4" s="22" t="s">
        <v>19</v>
      </c>
      <c r="B4" s="15">
        <v>33.854688614232302</v>
      </c>
      <c r="C4" s="15">
        <v>11.273237644932401</v>
      </c>
      <c r="D4" s="15">
        <v>12.870961824108701</v>
      </c>
      <c r="E4" s="24">
        <v>42.0011119167266</v>
      </c>
    </row>
    <row r="5" spans="1:5">
      <c r="A5" s="22" t="s">
        <v>20</v>
      </c>
      <c r="B5" s="15">
        <v>36.342010066701299</v>
      </c>
      <c r="C5" s="15">
        <v>11.0693722664325</v>
      </c>
      <c r="D5" s="15">
        <v>12.0035964578096</v>
      </c>
      <c r="E5" s="24">
        <v>40.585021209056599</v>
      </c>
    </row>
    <row r="6" spans="1:5">
      <c r="A6" s="23" t="s">
        <v>21</v>
      </c>
      <c r="B6" s="15"/>
      <c r="C6" s="15"/>
      <c r="D6" s="15"/>
      <c r="E6" s="24"/>
    </row>
    <row r="7" spans="1:5" ht="21.9" customHeight="1">
      <c r="A7" s="22" t="s">
        <v>22</v>
      </c>
      <c r="B7" s="15"/>
      <c r="C7" s="15"/>
      <c r="D7" s="15"/>
      <c r="E7" s="24"/>
    </row>
    <row r="8" spans="1:5">
      <c r="A8" s="9" t="s">
        <v>23</v>
      </c>
      <c r="B8" s="15">
        <v>33.886771153467102</v>
      </c>
      <c r="C8" s="15">
        <v>9.0634995173305892</v>
      </c>
      <c r="D8" s="15">
        <v>12.5788447015161</v>
      </c>
      <c r="E8" s="24">
        <v>44.470884627686203</v>
      </c>
    </row>
    <row r="9" spans="1:5">
      <c r="A9" s="9" t="s">
        <v>24</v>
      </c>
      <c r="B9" s="15">
        <v>37.732543413519799</v>
      </c>
      <c r="C9" s="15">
        <v>13.0209002421441</v>
      </c>
      <c r="D9" s="15">
        <v>11.6158448470881</v>
      </c>
      <c r="E9" s="24">
        <v>37.630711497248001</v>
      </c>
    </row>
    <row r="10" spans="1:5">
      <c r="A10" s="9" t="s">
        <v>25</v>
      </c>
      <c r="B10" s="15">
        <v>54.023106508589898</v>
      </c>
      <c r="C10" s="20" t="s">
        <v>80</v>
      </c>
      <c r="D10" s="20" t="s">
        <v>80</v>
      </c>
      <c r="E10" s="26" t="s">
        <v>80</v>
      </c>
    </row>
    <row r="11" spans="1:5">
      <c r="A11" s="9" t="s">
        <v>26</v>
      </c>
      <c r="B11" s="15">
        <v>51.801569185705702</v>
      </c>
      <c r="C11" s="20" t="s">
        <v>80</v>
      </c>
      <c r="D11" s="20" t="s">
        <v>80</v>
      </c>
      <c r="E11" s="24">
        <v>24.2922882703417</v>
      </c>
    </row>
    <row r="12" spans="1:5" ht="21.9" customHeight="1">
      <c r="A12" s="22" t="s">
        <v>27</v>
      </c>
      <c r="B12" s="15"/>
      <c r="C12" s="15"/>
      <c r="D12" s="15"/>
      <c r="E12" s="24"/>
    </row>
    <row r="13" spans="1:5">
      <c r="A13" s="9" t="s">
        <v>28</v>
      </c>
      <c r="B13" s="15">
        <v>34.908872592949002</v>
      </c>
      <c r="C13" s="15">
        <v>13.469389302547601</v>
      </c>
      <c r="D13" s="15">
        <v>13.5535518415962</v>
      </c>
      <c r="E13" s="24">
        <v>38.068186262907197</v>
      </c>
    </row>
    <row r="14" spans="1:5">
      <c r="A14" s="9" t="s">
        <v>29</v>
      </c>
      <c r="B14" s="15">
        <v>29.782020910637101</v>
      </c>
      <c r="C14" s="15">
        <v>13.780250083056901</v>
      </c>
      <c r="D14" s="15">
        <v>12.404360871118699</v>
      </c>
      <c r="E14" s="24">
        <v>44.033368135187203</v>
      </c>
    </row>
    <row r="15" spans="1:5">
      <c r="A15" s="9" t="s">
        <v>30</v>
      </c>
      <c r="B15" s="15">
        <v>38.8107738430392</v>
      </c>
      <c r="C15" s="15">
        <v>9.2467295311224103</v>
      </c>
      <c r="D15" s="15">
        <v>11.7290621122104</v>
      </c>
      <c r="E15" s="24">
        <v>40.213434513628002</v>
      </c>
    </row>
    <row r="16" spans="1:5">
      <c r="A16" s="9" t="s">
        <v>31</v>
      </c>
      <c r="B16" s="15">
        <v>41.237388482777703</v>
      </c>
      <c r="C16" s="15">
        <v>8.4585164601178295</v>
      </c>
      <c r="D16" s="15">
        <v>10.408047057353601</v>
      </c>
      <c r="E16" s="24">
        <v>39.896047999750799</v>
      </c>
    </row>
    <row r="17" spans="1:5" ht="21.9" customHeight="1">
      <c r="A17" s="22" t="s">
        <v>32</v>
      </c>
      <c r="B17" s="15"/>
      <c r="C17" s="15"/>
      <c r="D17" s="15"/>
      <c r="E17" s="24"/>
    </row>
    <row r="18" spans="1:5">
      <c r="A18" s="9" t="s">
        <v>33</v>
      </c>
      <c r="B18" s="15">
        <v>32.233576845446002</v>
      </c>
      <c r="C18" s="15">
        <v>13.631602796460699</v>
      </c>
      <c r="D18" s="15">
        <v>12.953880560487301</v>
      </c>
      <c r="E18" s="24">
        <v>41.180939797606001</v>
      </c>
    </row>
    <row r="19" spans="1:5">
      <c r="A19" s="9" t="s">
        <v>34</v>
      </c>
      <c r="B19" s="15">
        <v>39.757777598412297</v>
      </c>
      <c r="C19" s="15">
        <v>8.9391237308228195</v>
      </c>
      <c r="D19" s="15">
        <v>11.213526518974</v>
      </c>
      <c r="E19" s="24">
        <v>40.089572151790897</v>
      </c>
    </row>
    <row r="20" spans="1:5" ht="21.9" customHeight="1">
      <c r="A20" s="22" t="s">
        <v>35</v>
      </c>
      <c r="B20" s="15"/>
      <c r="C20" s="15"/>
      <c r="D20" s="15"/>
      <c r="E20" s="24"/>
    </row>
    <row r="21" spans="1:5">
      <c r="A21" s="9" t="s">
        <v>36</v>
      </c>
      <c r="B21" s="15">
        <v>33.701173252007401</v>
      </c>
      <c r="C21" s="15">
        <v>10.660039338008801</v>
      </c>
      <c r="D21" s="15">
        <v>12.5160385173855</v>
      </c>
      <c r="E21" s="24">
        <v>43.122748892598302</v>
      </c>
    </row>
    <row r="22" spans="1:5">
      <c r="A22" s="9" t="s">
        <v>37</v>
      </c>
      <c r="B22" s="15">
        <v>33.391470010632297</v>
      </c>
      <c r="C22" s="15">
        <v>10.8520485777651</v>
      </c>
      <c r="D22" s="15">
        <v>12.5472976167868</v>
      </c>
      <c r="E22" s="24">
        <v>43.2091837948158</v>
      </c>
    </row>
    <row r="23" spans="1:5">
      <c r="A23" s="9" t="s">
        <v>38</v>
      </c>
      <c r="B23" s="20" t="s">
        <v>80</v>
      </c>
      <c r="C23" s="20" t="s">
        <v>80</v>
      </c>
      <c r="D23" s="20" t="s">
        <v>80</v>
      </c>
      <c r="E23" s="26" t="s">
        <v>80</v>
      </c>
    </row>
    <row r="24" spans="1:5">
      <c r="A24" s="9" t="s">
        <v>39</v>
      </c>
      <c r="B24" s="20" t="s">
        <v>80</v>
      </c>
      <c r="C24" s="20" t="s">
        <v>80</v>
      </c>
      <c r="D24" s="20" t="s">
        <v>80</v>
      </c>
      <c r="E24" s="26" t="s">
        <v>80</v>
      </c>
    </row>
    <row r="25" spans="1:5">
      <c r="A25" s="9" t="s">
        <v>40</v>
      </c>
      <c r="B25" s="20" t="s">
        <v>80</v>
      </c>
      <c r="C25" s="20" t="s">
        <v>80</v>
      </c>
      <c r="D25" s="20" t="s">
        <v>80</v>
      </c>
      <c r="E25" s="26" t="s">
        <v>80</v>
      </c>
    </row>
    <row r="26" spans="1:5">
      <c r="A26" s="9" t="s">
        <v>41</v>
      </c>
      <c r="B26" s="15">
        <v>41.180901655203897</v>
      </c>
      <c r="C26" s="20" t="s">
        <v>80</v>
      </c>
      <c r="D26" s="20" t="s">
        <v>80</v>
      </c>
      <c r="E26" s="24">
        <v>38.890808856985998</v>
      </c>
    </row>
    <row r="27" spans="1:5">
      <c r="A27" s="9" t="s">
        <v>42</v>
      </c>
      <c r="B27" s="15">
        <v>27.599496327240001</v>
      </c>
      <c r="C27" s="15">
        <v>16.774129660812299</v>
      </c>
      <c r="D27" s="20" t="s">
        <v>80</v>
      </c>
      <c r="E27" s="24">
        <v>43.726383628640598</v>
      </c>
    </row>
    <row r="28" spans="1:5">
      <c r="A28" s="9" t="s">
        <v>43</v>
      </c>
      <c r="B28" s="20" t="s">
        <v>80</v>
      </c>
      <c r="C28" s="20" t="s">
        <v>80</v>
      </c>
      <c r="D28" s="20" t="s">
        <v>80</v>
      </c>
      <c r="E28" s="26" t="s">
        <v>80</v>
      </c>
    </row>
    <row r="29" spans="1:5">
      <c r="A29" s="9" t="s">
        <v>44</v>
      </c>
      <c r="B29" s="20" t="s">
        <v>80</v>
      </c>
      <c r="C29" s="20" t="s">
        <v>80</v>
      </c>
      <c r="D29" s="20" t="s">
        <v>80</v>
      </c>
      <c r="E29" s="26" t="s">
        <v>80</v>
      </c>
    </row>
    <row r="30" spans="1:5">
      <c r="A30" s="9" t="s">
        <v>45</v>
      </c>
      <c r="B30" s="20" t="s">
        <v>80</v>
      </c>
      <c r="C30" s="20" t="s">
        <v>80</v>
      </c>
      <c r="D30" s="20" t="s">
        <v>80</v>
      </c>
      <c r="E30" s="26" t="s">
        <v>80</v>
      </c>
    </row>
    <row r="31" spans="1:5">
      <c r="A31" s="9" t="s">
        <v>46</v>
      </c>
      <c r="B31" s="20" t="s">
        <v>80</v>
      </c>
      <c r="C31" s="20" t="s">
        <v>80</v>
      </c>
      <c r="D31" s="20" t="s">
        <v>80</v>
      </c>
      <c r="E31" s="24">
        <v>32.029375667011799</v>
      </c>
    </row>
    <row r="32" spans="1:5">
      <c r="A32" s="9" t="s">
        <v>47</v>
      </c>
      <c r="B32" s="15">
        <v>48.439086183185402</v>
      </c>
      <c r="C32" s="15">
        <v>10.995908439819599</v>
      </c>
      <c r="D32" s="15">
        <v>9.4137010693590195</v>
      </c>
      <c r="E32" s="24">
        <v>31.151304307636</v>
      </c>
    </row>
    <row r="33" spans="1:5">
      <c r="A33" s="9" t="s">
        <v>48</v>
      </c>
      <c r="B33" s="20" t="s">
        <v>80</v>
      </c>
      <c r="C33" s="20" t="s">
        <v>80</v>
      </c>
      <c r="D33" s="20" t="s">
        <v>80</v>
      </c>
      <c r="E33" s="26" t="s">
        <v>80</v>
      </c>
    </row>
    <row r="34" spans="1:5">
      <c r="A34" s="9" t="s">
        <v>49</v>
      </c>
      <c r="B34" s="20" t="s">
        <v>80</v>
      </c>
      <c r="C34" s="20" t="s">
        <v>80</v>
      </c>
      <c r="D34" s="20" t="s">
        <v>80</v>
      </c>
      <c r="E34" s="26" t="s">
        <v>80</v>
      </c>
    </row>
    <row r="35" spans="1:5">
      <c r="A35" s="9" t="s">
        <v>50</v>
      </c>
      <c r="B35" s="15">
        <v>66.533959581907894</v>
      </c>
      <c r="C35" s="20" t="s">
        <v>80</v>
      </c>
      <c r="D35" s="20" t="s">
        <v>80</v>
      </c>
      <c r="E35" s="26" t="s">
        <v>80</v>
      </c>
    </row>
    <row r="36" spans="1:5">
      <c r="A36" s="9" t="s">
        <v>51</v>
      </c>
      <c r="B36" s="20" t="s">
        <v>80</v>
      </c>
      <c r="C36" s="20" t="s">
        <v>80</v>
      </c>
      <c r="D36" s="20" t="s">
        <v>80</v>
      </c>
      <c r="E36" s="26" t="s">
        <v>80</v>
      </c>
    </row>
    <row r="37" spans="1:5">
      <c r="A37" s="9" t="s">
        <v>52</v>
      </c>
      <c r="B37" s="15">
        <v>45.5891010765557</v>
      </c>
      <c r="C37" s="20" t="s">
        <v>80</v>
      </c>
      <c r="D37" s="20" t="s">
        <v>80</v>
      </c>
      <c r="E37" s="24">
        <v>36.770191587211897</v>
      </c>
    </row>
    <row r="38" spans="1:5">
      <c r="A38" s="9" t="s">
        <v>53</v>
      </c>
      <c r="B38" s="15">
        <v>38.117340288816202</v>
      </c>
      <c r="C38" s="20" t="s">
        <v>80</v>
      </c>
      <c r="D38" s="20" t="s">
        <v>80</v>
      </c>
      <c r="E38" s="24">
        <v>36.777487711174501</v>
      </c>
    </row>
    <row r="39" spans="1:5">
      <c r="A39" s="9" t="s">
        <v>54</v>
      </c>
      <c r="B39" s="20" t="s">
        <v>80</v>
      </c>
      <c r="C39" s="20" t="s">
        <v>80</v>
      </c>
      <c r="D39" s="20" t="s">
        <v>80</v>
      </c>
      <c r="E39" s="26" t="s">
        <v>80</v>
      </c>
    </row>
    <row r="40" spans="1:5">
      <c r="A40" s="9" t="s">
        <v>55</v>
      </c>
      <c r="B40" s="15">
        <v>37.820343691176298</v>
      </c>
      <c r="C40" s="20" t="s">
        <v>80</v>
      </c>
      <c r="D40" s="20" t="s">
        <v>80</v>
      </c>
      <c r="E40" s="24">
        <v>35.9867381727016</v>
      </c>
    </row>
    <row r="41" spans="1:5">
      <c r="A41" s="9" t="s">
        <v>56</v>
      </c>
      <c r="B41" s="20" t="s">
        <v>80</v>
      </c>
      <c r="C41" s="20" t="s">
        <v>80</v>
      </c>
      <c r="D41" s="20" t="s">
        <v>80</v>
      </c>
      <c r="E41" s="26" t="s">
        <v>80</v>
      </c>
    </row>
    <row r="42" spans="1:5">
      <c r="A42" s="9" t="s">
        <v>57</v>
      </c>
      <c r="B42" s="15">
        <v>55.447265605298902</v>
      </c>
      <c r="C42" s="20" t="s">
        <v>80</v>
      </c>
      <c r="D42" s="20" t="s">
        <v>80</v>
      </c>
      <c r="E42" s="26" t="s">
        <v>80</v>
      </c>
    </row>
    <row r="43" spans="1:5">
      <c r="A43" s="9" t="s">
        <v>58</v>
      </c>
      <c r="B43" s="20" t="s">
        <v>80</v>
      </c>
      <c r="C43" s="20" t="s">
        <v>80</v>
      </c>
      <c r="D43" s="20" t="s">
        <v>80</v>
      </c>
      <c r="E43" s="26" t="s">
        <v>80</v>
      </c>
    </row>
    <row r="44" spans="1:5">
      <c r="A44" s="9" t="s">
        <v>59</v>
      </c>
      <c r="B44" s="20" t="s">
        <v>80</v>
      </c>
      <c r="C44" s="20" t="s">
        <v>80</v>
      </c>
      <c r="D44" s="20" t="s">
        <v>80</v>
      </c>
      <c r="E44" s="26" t="s">
        <v>80</v>
      </c>
    </row>
    <row r="45" spans="1:5">
      <c r="A45" s="9" t="s">
        <v>60</v>
      </c>
      <c r="B45" s="15">
        <v>54.055143724169099</v>
      </c>
      <c r="C45" s="15">
        <v>12.6451526643476</v>
      </c>
      <c r="D45" s="15">
        <v>8.1073310036942008</v>
      </c>
      <c r="E45" s="24">
        <v>25.1923726077891</v>
      </c>
    </row>
    <row r="46" spans="1:5" ht="21.9" customHeight="1">
      <c r="A46" s="22" t="s">
        <v>61</v>
      </c>
      <c r="B46" s="15"/>
      <c r="C46" s="15"/>
      <c r="D46" s="15"/>
      <c r="E46" s="24"/>
    </row>
    <row r="47" spans="1:5">
      <c r="A47" s="9" t="s">
        <v>62</v>
      </c>
      <c r="B47" s="15">
        <v>41.538873742588898</v>
      </c>
      <c r="C47" s="15">
        <v>15.104454641839499</v>
      </c>
      <c r="D47" s="15">
        <v>11.3191133871956</v>
      </c>
      <c r="E47" s="24">
        <v>32.037558228376</v>
      </c>
    </row>
    <row r="48" spans="1:5">
      <c r="A48" s="9" t="s">
        <v>63</v>
      </c>
      <c r="B48" s="15">
        <v>35.4889519674377</v>
      </c>
      <c r="C48" s="15">
        <v>10.900823011052699</v>
      </c>
      <c r="D48" s="15">
        <v>12.0176301675882</v>
      </c>
      <c r="E48" s="24">
        <v>41.592594853921398</v>
      </c>
    </row>
    <row r="49" spans="1:5">
      <c r="A49" s="9" t="s">
        <v>60</v>
      </c>
      <c r="B49" s="15">
        <v>48.2432326801028</v>
      </c>
      <c r="C49" s="20" t="s">
        <v>80</v>
      </c>
      <c r="D49" s="15">
        <v>12.4748310830986</v>
      </c>
      <c r="E49" s="24">
        <v>29.211045396314798</v>
      </c>
    </row>
    <row r="50" spans="1:5" ht="21.9" customHeight="1">
      <c r="A50" s="22" t="s">
        <v>64</v>
      </c>
      <c r="B50" s="15"/>
      <c r="C50" s="15"/>
      <c r="D50" s="15"/>
      <c r="E50" s="24"/>
    </row>
    <row r="51" spans="1:5">
      <c r="A51" s="9" t="s">
        <v>65</v>
      </c>
      <c r="B51" s="15">
        <v>46.765470762283499</v>
      </c>
      <c r="C51" s="15">
        <v>10.9689205597822</v>
      </c>
      <c r="D51" s="15">
        <v>10.763533081337201</v>
      </c>
      <c r="E51" s="24">
        <v>31.502075596596999</v>
      </c>
    </row>
    <row r="52" spans="1:5">
      <c r="A52" s="9" t="s">
        <v>66</v>
      </c>
      <c r="B52" s="15">
        <v>33.446932230838797</v>
      </c>
      <c r="C52" s="15">
        <v>11.067406061617101</v>
      </c>
      <c r="D52" s="15">
        <v>12.492746105171999</v>
      </c>
      <c r="E52" s="24">
        <v>42.9929156023722</v>
      </c>
    </row>
    <row r="53" spans="1:5">
      <c r="A53" s="9" t="s">
        <v>60</v>
      </c>
      <c r="B53" s="15">
        <v>53.673778181872699</v>
      </c>
      <c r="C53" s="15">
        <v>11.2676904099471</v>
      </c>
      <c r="D53" s="15">
        <v>8.1712635109956206</v>
      </c>
      <c r="E53" s="24">
        <v>26.8872678971846</v>
      </c>
    </row>
    <row r="54" spans="1:5" ht="21.9" customHeight="1">
      <c r="A54" s="22" t="s">
        <v>67</v>
      </c>
      <c r="B54" s="15"/>
      <c r="C54" s="15"/>
      <c r="D54" s="15"/>
      <c r="E54" s="24"/>
    </row>
    <row r="55" spans="1:5">
      <c r="A55" s="9" t="s">
        <v>89</v>
      </c>
      <c r="B55" s="15">
        <v>27.570131290570899</v>
      </c>
      <c r="C55" s="15">
        <v>9.9715102749554703</v>
      </c>
      <c r="D55" s="15">
        <v>12.745258870970799</v>
      </c>
      <c r="E55" s="24">
        <v>49.713099563502801</v>
      </c>
    </row>
    <row r="56" spans="1:5">
      <c r="A56" s="9" t="s">
        <v>69</v>
      </c>
      <c r="B56" s="15">
        <v>36.211434792177002</v>
      </c>
      <c r="C56" s="15">
        <v>8.9588534489242804</v>
      </c>
      <c r="D56" s="15">
        <v>13.783118502697601</v>
      </c>
      <c r="E56" s="24">
        <v>41.046593256201099</v>
      </c>
    </row>
    <row r="57" spans="1:5">
      <c r="A57" s="9" t="s">
        <v>70</v>
      </c>
      <c r="B57" s="15">
        <v>39.845940856770703</v>
      </c>
      <c r="C57" s="15">
        <v>11.953279009187201</v>
      </c>
      <c r="D57" s="15">
        <v>11.4162381589395</v>
      </c>
      <c r="E57" s="24">
        <v>36.784541975102599</v>
      </c>
    </row>
    <row r="58" spans="1:5">
      <c r="A58" s="9" t="s">
        <v>90</v>
      </c>
      <c r="B58" s="15">
        <v>44.875214739872199</v>
      </c>
      <c r="C58" s="15">
        <v>13.222591587958799</v>
      </c>
      <c r="D58" s="15">
        <v>10.2743620899651</v>
      </c>
      <c r="E58" s="24">
        <v>31.6278315822039</v>
      </c>
    </row>
    <row r="59" spans="1:5" ht="21.9" customHeight="1">
      <c r="A59" s="22" t="s">
        <v>72</v>
      </c>
      <c r="B59" s="15"/>
      <c r="C59" s="15"/>
      <c r="D59" s="15"/>
      <c r="E59" s="24"/>
    </row>
    <row r="60" spans="1:5" ht="18">
      <c r="A60" s="9" t="s">
        <v>91</v>
      </c>
      <c r="B60" s="15">
        <v>26.432744450543499</v>
      </c>
      <c r="C60" s="15">
        <v>10.6442857189019</v>
      </c>
      <c r="D60" s="15">
        <v>12.6516789424722</v>
      </c>
      <c r="E60" s="24">
        <v>50.271290888082397</v>
      </c>
    </row>
    <row r="61" spans="1:5">
      <c r="A61" s="11" t="s">
        <v>74</v>
      </c>
      <c r="B61" s="16">
        <v>42.6806533937512</v>
      </c>
      <c r="C61" s="16">
        <v>11.341286665773</v>
      </c>
      <c r="D61" s="16">
        <v>11.5890386211435</v>
      </c>
      <c r="E61" s="25">
        <v>34.389021319332201</v>
      </c>
    </row>
    <row r="62" spans="1:5" ht="30" customHeight="1">
      <c r="A62" t="s">
        <v>92</v>
      </c>
    </row>
    <row r="63" spans="1:5">
      <c r="A63" t="s">
        <v>93</v>
      </c>
    </row>
    <row r="64" spans="1:5">
      <c r="A64" t="s">
        <v>94</v>
      </c>
    </row>
    <row r="65" spans="1:1">
      <c r="A65" t="s">
        <v>95</v>
      </c>
    </row>
    <row r="66" spans="1:1">
      <c r="A66" t="s">
        <v>96</v>
      </c>
    </row>
    <row r="67" spans="1:1">
      <c r="A67" t="s">
        <v>97</v>
      </c>
    </row>
    <row r="68" spans="1:1">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103</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39.470113608276201</v>
      </c>
      <c r="C3" s="15">
        <v>37.400873122462102</v>
      </c>
      <c r="D3" s="24">
        <v>41.180133250510103</v>
      </c>
      <c r="E3" s="15">
        <v>43.214721747690398</v>
      </c>
      <c r="F3" s="15">
        <v>40.345937427291503</v>
      </c>
      <c r="G3" s="24">
        <v>45.621163244746299</v>
      </c>
      <c r="H3" s="15">
        <v>36.420748716953703</v>
      </c>
      <c r="I3" s="15">
        <v>34.661612354777702</v>
      </c>
      <c r="J3" s="24">
        <v>37.899402655959399</v>
      </c>
      <c r="K3" s="15">
        <v>28.0897272983383</v>
      </c>
      <c r="L3" s="15">
        <v>36.996062026125202</v>
      </c>
      <c r="M3" s="24">
        <v>25.8440127890815</v>
      </c>
      <c r="N3" s="15">
        <v>26.1883832059887</v>
      </c>
      <c r="O3" s="15">
        <v>28.817341160690699</v>
      </c>
      <c r="P3" s="24">
        <v>24.287043931016299</v>
      </c>
    </row>
    <row r="4" spans="1:16" ht="21.9" customHeight="1">
      <c r="A4" s="22" t="s">
        <v>19</v>
      </c>
      <c r="B4" s="15">
        <v>42.0011119167266</v>
      </c>
      <c r="C4" s="15">
        <v>40.789881526632399</v>
      </c>
      <c r="D4" s="24">
        <v>42.9945566866379</v>
      </c>
      <c r="E4" s="15">
        <v>45.8450289581654</v>
      </c>
      <c r="F4" s="15">
        <v>44.672722119277601</v>
      </c>
      <c r="G4" s="24">
        <v>46.824903488139597</v>
      </c>
      <c r="H4" s="15">
        <v>38.862269678174002</v>
      </c>
      <c r="I4" s="15">
        <v>37.143161554306602</v>
      </c>
      <c r="J4" s="24">
        <v>40.275432173562002</v>
      </c>
      <c r="K4" s="15">
        <v>28.6163807538749</v>
      </c>
      <c r="L4" s="20" t="s">
        <v>80</v>
      </c>
      <c r="M4" s="24">
        <v>24.440130963566901</v>
      </c>
      <c r="N4" s="15">
        <v>28.022935934646</v>
      </c>
      <c r="O4" s="15">
        <v>28.953270168162899</v>
      </c>
      <c r="P4" s="24">
        <v>27.294251229824098</v>
      </c>
    </row>
    <row r="5" spans="1:16" ht="21.9" customHeight="1">
      <c r="A5" s="22" t="s">
        <v>20</v>
      </c>
      <c r="B5" s="15">
        <v>40.585021209056599</v>
      </c>
      <c r="C5" s="15">
        <v>41.180939797606001</v>
      </c>
      <c r="D5" s="24">
        <v>40.089572151790897</v>
      </c>
      <c r="E5" s="15">
        <v>44.470884627686203</v>
      </c>
      <c r="F5" s="15">
        <v>45.397677413526601</v>
      </c>
      <c r="G5" s="24">
        <v>43.682942268743403</v>
      </c>
      <c r="H5" s="15">
        <v>37.630711497248001</v>
      </c>
      <c r="I5" s="15">
        <v>37.481597691220699</v>
      </c>
      <c r="J5" s="24">
        <v>37.752914346290297</v>
      </c>
      <c r="K5" s="20" t="s">
        <v>80</v>
      </c>
      <c r="L5" s="20" t="s">
        <v>80</v>
      </c>
      <c r="M5" s="26" t="s">
        <v>80</v>
      </c>
      <c r="N5" s="15">
        <v>24.2922882703417</v>
      </c>
      <c r="O5" s="20" t="s">
        <v>80</v>
      </c>
      <c r="P5" s="26" t="s">
        <v>80</v>
      </c>
    </row>
    <row r="6" spans="1:16" ht="21.9" customHeight="1">
      <c r="A6" s="22" t="s">
        <v>115</v>
      </c>
      <c r="B6" s="15">
        <v>41.180939797606001</v>
      </c>
      <c r="C6" s="15">
        <v>41.180939797606001</v>
      </c>
      <c r="D6" s="26" t="s">
        <v>80</v>
      </c>
      <c r="E6" s="15">
        <v>45.397677413526601</v>
      </c>
      <c r="F6" s="15">
        <v>45.397677413526601</v>
      </c>
      <c r="G6" s="26" t="s">
        <v>80</v>
      </c>
      <c r="H6" s="15">
        <v>37.481597691220699</v>
      </c>
      <c r="I6" s="15">
        <v>37.481597691220699</v>
      </c>
      <c r="J6" s="26" t="s">
        <v>80</v>
      </c>
      <c r="K6" s="20" t="s">
        <v>80</v>
      </c>
      <c r="L6" s="20" t="s">
        <v>80</v>
      </c>
      <c r="M6" s="26" t="s">
        <v>80</v>
      </c>
      <c r="N6" s="20" t="s">
        <v>80</v>
      </c>
      <c r="O6" s="20" t="s">
        <v>80</v>
      </c>
      <c r="P6" s="26" t="s">
        <v>80</v>
      </c>
    </row>
    <row r="7" spans="1:16">
      <c r="A7" s="9" t="s">
        <v>116</v>
      </c>
      <c r="B7" s="15">
        <v>59.016393442622899</v>
      </c>
      <c r="C7" s="15">
        <v>59.016393442622899</v>
      </c>
      <c r="D7" s="26" t="s">
        <v>80</v>
      </c>
      <c r="E7" s="15">
        <v>66.6666666666667</v>
      </c>
      <c r="F7" s="15">
        <v>66.6666666666667</v>
      </c>
      <c r="G7" s="26" t="s">
        <v>80</v>
      </c>
      <c r="H7" s="15">
        <v>52.307692307692299</v>
      </c>
      <c r="I7" s="15">
        <v>52.307692307692299</v>
      </c>
      <c r="J7" s="26" t="s">
        <v>80</v>
      </c>
      <c r="K7" s="20" t="s">
        <v>80</v>
      </c>
      <c r="L7" s="20" t="s">
        <v>80</v>
      </c>
      <c r="M7" s="26" t="s">
        <v>80</v>
      </c>
      <c r="N7" s="20" t="s">
        <v>80</v>
      </c>
      <c r="O7" s="20" t="s">
        <v>80</v>
      </c>
      <c r="P7" s="26" t="s">
        <v>80</v>
      </c>
    </row>
    <row r="8" spans="1:16">
      <c r="A8" s="9" t="s">
        <v>117</v>
      </c>
      <c r="B8" s="15">
        <v>47.457627118644098</v>
      </c>
      <c r="C8" s="15">
        <v>47.457627118644098</v>
      </c>
      <c r="D8" s="26" t="s">
        <v>80</v>
      </c>
      <c r="E8" s="15">
        <v>50</v>
      </c>
      <c r="F8" s="15">
        <v>50</v>
      </c>
      <c r="G8" s="26" t="s">
        <v>80</v>
      </c>
      <c r="H8" s="15">
        <v>44</v>
      </c>
      <c r="I8" s="15">
        <v>44</v>
      </c>
      <c r="J8" s="26" t="s">
        <v>80</v>
      </c>
      <c r="K8" s="20" t="s">
        <v>80</v>
      </c>
      <c r="L8" s="20" t="s">
        <v>80</v>
      </c>
      <c r="M8" s="26" t="s">
        <v>80</v>
      </c>
      <c r="N8" s="20" t="s">
        <v>80</v>
      </c>
      <c r="O8" s="20" t="s">
        <v>80</v>
      </c>
      <c r="P8" s="26" t="s">
        <v>80</v>
      </c>
    </row>
    <row r="9" spans="1:16">
      <c r="A9" s="9" t="s">
        <v>118</v>
      </c>
      <c r="B9" s="15">
        <v>38.554216867469897</v>
      </c>
      <c r="C9" s="15">
        <v>38.554216867469897</v>
      </c>
      <c r="D9" s="26" t="s">
        <v>80</v>
      </c>
      <c r="E9" s="15">
        <v>35.5555555555556</v>
      </c>
      <c r="F9" s="15">
        <v>35.5555555555556</v>
      </c>
      <c r="G9" s="26" t="s">
        <v>80</v>
      </c>
      <c r="H9" s="15">
        <v>43.243243243243199</v>
      </c>
      <c r="I9" s="15">
        <v>43.243243243243199</v>
      </c>
      <c r="J9" s="26" t="s">
        <v>80</v>
      </c>
      <c r="K9" s="20" t="s">
        <v>80</v>
      </c>
      <c r="L9" s="20" t="s">
        <v>80</v>
      </c>
      <c r="M9" s="26" t="s">
        <v>80</v>
      </c>
      <c r="N9" s="20" t="s">
        <v>80</v>
      </c>
      <c r="O9" s="20" t="s">
        <v>80</v>
      </c>
      <c r="P9" s="26" t="s">
        <v>80</v>
      </c>
    </row>
    <row r="10" spans="1:16">
      <c r="A10" s="9" t="s">
        <v>119</v>
      </c>
      <c r="B10" s="15">
        <v>32.2222222222222</v>
      </c>
      <c r="C10" s="15">
        <v>32.2222222222222</v>
      </c>
      <c r="D10" s="26" t="s">
        <v>80</v>
      </c>
      <c r="E10" s="15">
        <v>39.5833333333333</v>
      </c>
      <c r="F10" s="15">
        <v>39.5833333333333</v>
      </c>
      <c r="G10" s="26" t="s">
        <v>80</v>
      </c>
      <c r="H10" s="15">
        <v>24.390243902439</v>
      </c>
      <c r="I10" s="15">
        <v>24.390243902439</v>
      </c>
      <c r="J10" s="26" t="s">
        <v>80</v>
      </c>
      <c r="K10" s="20" t="s">
        <v>80</v>
      </c>
      <c r="L10" s="20" t="s">
        <v>80</v>
      </c>
      <c r="M10" s="26" t="s">
        <v>80</v>
      </c>
      <c r="N10" s="20" t="s">
        <v>80</v>
      </c>
      <c r="O10" s="20" t="s">
        <v>80</v>
      </c>
      <c r="P10" s="26" t="s">
        <v>80</v>
      </c>
    </row>
    <row r="11" spans="1:16">
      <c r="A11" s="9" t="s">
        <v>120</v>
      </c>
      <c r="B11" s="15">
        <v>50</v>
      </c>
      <c r="C11" s="15">
        <v>50</v>
      </c>
      <c r="D11" s="26" t="s">
        <v>80</v>
      </c>
      <c r="E11" s="15">
        <v>53.125</v>
      </c>
      <c r="F11" s="15">
        <v>53.125</v>
      </c>
      <c r="G11" s="26" t="s">
        <v>80</v>
      </c>
      <c r="H11" s="15">
        <v>42.857142857142897</v>
      </c>
      <c r="I11" s="15">
        <v>42.857142857142897</v>
      </c>
      <c r="J11" s="26" t="s">
        <v>80</v>
      </c>
      <c r="K11" s="20" t="s">
        <v>80</v>
      </c>
      <c r="L11" s="20" t="s">
        <v>80</v>
      </c>
      <c r="M11" s="26" t="s">
        <v>80</v>
      </c>
      <c r="N11" s="20" t="s">
        <v>80</v>
      </c>
      <c r="O11" s="20" t="s">
        <v>80</v>
      </c>
      <c r="P11" s="26" t="s">
        <v>80</v>
      </c>
    </row>
    <row r="12" spans="1:16">
      <c r="A12" s="9" t="s">
        <v>121</v>
      </c>
      <c r="B12" s="15">
        <v>52.7777777777778</v>
      </c>
      <c r="C12" s="15">
        <v>52.7777777777778</v>
      </c>
      <c r="D12" s="26" t="s">
        <v>80</v>
      </c>
      <c r="E12" s="15">
        <v>80</v>
      </c>
      <c r="F12" s="15">
        <v>80</v>
      </c>
      <c r="G12" s="26" t="s">
        <v>80</v>
      </c>
      <c r="H12" s="15">
        <v>33.3333333333333</v>
      </c>
      <c r="I12" s="15">
        <v>33.3333333333333</v>
      </c>
      <c r="J12" s="26" t="s">
        <v>80</v>
      </c>
      <c r="K12" s="20" t="s">
        <v>80</v>
      </c>
      <c r="L12" s="20" t="s">
        <v>80</v>
      </c>
      <c r="M12" s="26" t="s">
        <v>80</v>
      </c>
      <c r="N12" s="20" t="s">
        <v>80</v>
      </c>
      <c r="O12" s="20" t="s">
        <v>80</v>
      </c>
      <c r="P12" s="26" t="s">
        <v>80</v>
      </c>
    </row>
    <row r="13" spans="1:16">
      <c r="A13" s="9" t="s">
        <v>122</v>
      </c>
      <c r="B13" s="15">
        <v>49.514563106796103</v>
      </c>
      <c r="C13" s="15">
        <v>49.514563106796103</v>
      </c>
      <c r="D13" s="26" t="s">
        <v>80</v>
      </c>
      <c r="E13" s="15">
        <v>60</v>
      </c>
      <c r="F13" s="15">
        <v>60</v>
      </c>
      <c r="G13" s="26" t="s">
        <v>80</v>
      </c>
      <c r="H13" s="15">
        <v>38.297872340425499</v>
      </c>
      <c r="I13" s="15">
        <v>38.297872340425499</v>
      </c>
      <c r="J13" s="26" t="s">
        <v>80</v>
      </c>
      <c r="K13" s="20" t="s">
        <v>80</v>
      </c>
      <c r="L13" s="20" t="s">
        <v>80</v>
      </c>
      <c r="M13" s="26" t="s">
        <v>80</v>
      </c>
      <c r="N13" s="20" t="s">
        <v>80</v>
      </c>
      <c r="O13" s="20" t="s">
        <v>80</v>
      </c>
      <c r="P13" s="26" t="s">
        <v>80</v>
      </c>
    </row>
    <row r="14" spans="1:16">
      <c r="A14" s="9" t="s">
        <v>123</v>
      </c>
      <c r="B14" s="15">
        <v>48.148148148148103</v>
      </c>
      <c r="C14" s="15">
        <v>48.148148148148103</v>
      </c>
      <c r="D14" s="26" t="s">
        <v>80</v>
      </c>
      <c r="E14" s="15">
        <v>36.842105263157897</v>
      </c>
      <c r="F14" s="15">
        <v>36.842105263157897</v>
      </c>
      <c r="G14" s="26" t="s">
        <v>80</v>
      </c>
      <c r="H14" s="15">
        <v>60.975609756097597</v>
      </c>
      <c r="I14" s="15">
        <v>60.975609756097597</v>
      </c>
      <c r="J14" s="26" t="s">
        <v>80</v>
      </c>
      <c r="K14" s="20" t="s">
        <v>80</v>
      </c>
      <c r="L14" s="20" t="s">
        <v>80</v>
      </c>
      <c r="M14" s="26" t="s">
        <v>80</v>
      </c>
      <c r="N14" s="20" t="s">
        <v>80</v>
      </c>
      <c r="O14" s="20" t="s">
        <v>80</v>
      </c>
      <c r="P14" s="26" t="s">
        <v>80</v>
      </c>
    </row>
    <row r="15" spans="1:16">
      <c r="A15" s="9" t="s">
        <v>124</v>
      </c>
      <c r="B15" s="15">
        <v>35.593220338983102</v>
      </c>
      <c r="C15" s="15">
        <v>35.593220338983102</v>
      </c>
      <c r="D15" s="26" t="s">
        <v>80</v>
      </c>
      <c r="E15" s="15">
        <v>28.125</v>
      </c>
      <c r="F15" s="15">
        <v>28.125</v>
      </c>
      <c r="G15" s="26" t="s">
        <v>80</v>
      </c>
      <c r="H15" s="15">
        <v>46.153846153846203</v>
      </c>
      <c r="I15" s="15">
        <v>46.153846153846203</v>
      </c>
      <c r="J15" s="26" t="s">
        <v>80</v>
      </c>
      <c r="K15" s="20" t="s">
        <v>80</v>
      </c>
      <c r="L15" s="20" t="s">
        <v>80</v>
      </c>
      <c r="M15" s="26" t="s">
        <v>80</v>
      </c>
      <c r="N15" s="20" t="s">
        <v>80</v>
      </c>
      <c r="O15" s="20" t="s">
        <v>80</v>
      </c>
      <c r="P15" s="26" t="s">
        <v>80</v>
      </c>
    </row>
    <row r="16" spans="1:16">
      <c r="A16" s="9" t="s">
        <v>125</v>
      </c>
      <c r="B16" s="15">
        <v>52.631578947368403</v>
      </c>
      <c r="C16" s="15">
        <v>52.631578947368403</v>
      </c>
      <c r="D16" s="26" t="s">
        <v>80</v>
      </c>
      <c r="E16" s="15">
        <v>46.153846153846203</v>
      </c>
      <c r="F16" s="15">
        <v>46.153846153846203</v>
      </c>
      <c r="G16" s="26" t="s">
        <v>80</v>
      </c>
      <c r="H16" s="15">
        <v>62.962962962962997</v>
      </c>
      <c r="I16" s="15">
        <v>62.962962962962997</v>
      </c>
      <c r="J16" s="26" t="s">
        <v>80</v>
      </c>
      <c r="K16" s="20" t="s">
        <v>80</v>
      </c>
      <c r="L16" s="20" t="s">
        <v>80</v>
      </c>
      <c r="M16" s="26" t="s">
        <v>80</v>
      </c>
      <c r="N16" s="20" t="s">
        <v>80</v>
      </c>
      <c r="O16" s="20" t="s">
        <v>80</v>
      </c>
      <c r="P16" s="26" t="s">
        <v>80</v>
      </c>
    </row>
    <row r="17" spans="1:16">
      <c r="A17" s="9" t="s">
        <v>126</v>
      </c>
      <c r="B17" s="15">
        <v>47.560975609756099</v>
      </c>
      <c r="C17" s="15">
        <v>47.560975609756099</v>
      </c>
      <c r="D17" s="26" t="s">
        <v>80</v>
      </c>
      <c r="E17" s="15">
        <v>36.842105263157897</v>
      </c>
      <c r="F17" s="15">
        <v>36.842105263157897</v>
      </c>
      <c r="G17" s="26" t="s">
        <v>80</v>
      </c>
      <c r="H17" s="15">
        <v>60.526315789473699</v>
      </c>
      <c r="I17" s="15">
        <v>60.526315789473699</v>
      </c>
      <c r="J17" s="26" t="s">
        <v>80</v>
      </c>
      <c r="K17" s="20" t="s">
        <v>80</v>
      </c>
      <c r="L17" s="20" t="s">
        <v>80</v>
      </c>
      <c r="M17" s="26" t="s">
        <v>80</v>
      </c>
      <c r="N17" s="20" t="s">
        <v>80</v>
      </c>
      <c r="O17" s="20" t="s">
        <v>80</v>
      </c>
      <c r="P17" s="26" t="s">
        <v>80</v>
      </c>
    </row>
    <row r="18" spans="1:16">
      <c r="A18" s="9" t="s">
        <v>127</v>
      </c>
      <c r="B18" s="15">
        <v>37.423312883435599</v>
      </c>
      <c r="C18" s="15">
        <v>37.423312883435599</v>
      </c>
      <c r="D18" s="26" t="s">
        <v>80</v>
      </c>
      <c r="E18" s="15">
        <v>40</v>
      </c>
      <c r="F18" s="15">
        <v>40</v>
      </c>
      <c r="G18" s="26" t="s">
        <v>80</v>
      </c>
      <c r="H18" s="15">
        <v>34.210526315789501</v>
      </c>
      <c r="I18" s="15">
        <v>34.210526315789501</v>
      </c>
      <c r="J18" s="26" t="s">
        <v>80</v>
      </c>
      <c r="K18" s="20" t="s">
        <v>80</v>
      </c>
      <c r="L18" s="20" t="s">
        <v>80</v>
      </c>
      <c r="M18" s="26" t="s">
        <v>80</v>
      </c>
      <c r="N18" s="20" t="s">
        <v>80</v>
      </c>
      <c r="O18" s="20" t="s">
        <v>80</v>
      </c>
      <c r="P18" s="26" t="s">
        <v>80</v>
      </c>
    </row>
    <row r="19" spans="1:16">
      <c r="A19" s="9" t="s">
        <v>128</v>
      </c>
      <c r="B19" s="15">
        <v>42.045454545454497</v>
      </c>
      <c r="C19" s="15">
        <v>42.045454545454497</v>
      </c>
      <c r="D19" s="26" t="s">
        <v>80</v>
      </c>
      <c r="E19" s="15">
        <v>44.4444444444444</v>
      </c>
      <c r="F19" s="15">
        <v>44.4444444444444</v>
      </c>
      <c r="G19" s="26" t="s">
        <v>80</v>
      </c>
      <c r="H19" s="15">
        <v>39.534883720930203</v>
      </c>
      <c r="I19" s="15">
        <v>39.534883720930203</v>
      </c>
      <c r="J19" s="26" t="s">
        <v>80</v>
      </c>
      <c r="K19" s="20" t="s">
        <v>80</v>
      </c>
      <c r="L19" s="20" t="s">
        <v>80</v>
      </c>
      <c r="M19" s="26" t="s">
        <v>80</v>
      </c>
      <c r="N19" s="20" t="s">
        <v>80</v>
      </c>
      <c r="O19" s="20" t="s">
        <v>80</v>
      </c>
      <c r="P19" s="26" t="s">
        <v>80</v>
      </c>
    </row>
    <row r="20" spans="1:16">
      <c r="A20" s="9" t="s">
        <v>129</v>
      </c>
      <c r="B20" s="15">
        <v>32.4324324324324</v>
      </c>
      <c r="C20" s="15">
        <v>32.4324324324324</v>
      </c>
      <c r="D20" s="26" t="s">
        <v>80</v>
      </c>
      <c r="E20" s="15">
        <v>31.707317073170699</v>
      </c>
      <c r="F20" s="15">
        <v>31.707317073170699</v>
      </c>
      <c r="G20" s="26" t="s">
        <v>80</v>
      </c>
      <c r="H20" s="15">
        <v>35.4838709677419</v>
      </c>
      <c r="I20" s="15">
        <v>35.4838709677419</v>
      </c>
      <c r="J20" s="26" t="s">
        <v>80</v>
      </c>
      <c r="K20" s="20" t="s">
        <v>80</v>
      </c>
      <c r="L20" s="20" t="s">
        <v>80</v>
      </c>
      <c r="M20" s="26" t="s">
        <v>80</v>
      </c>
      <c r="N20" s="20" t="s">
        <v>80</v>
      </c>
      <c r="O20" s="20" t="s">
        <v>80</v>
      </c>
      <c r="P20" s="26" t="s">
        <v>80</v>
      </c>
    </row>
    <row r="21" spans="1:16">
      <c r="A21" s="9" t="s">
        <v>130</v>
      </c>
      <c r="B21" s="15">
        <v>31.9444444444444</v>
      </c>
      <c r="C21" s="15">
        <v>31.9444444444444</v>
      </c>
      <c r="D21" s="26" t="s">
        <v>80</v>
      </c>
      <c r="E21" s="15">
        <v>40.740740740740698</v>
      </c>
      <c r="F21" s="15">
        <v>40.740740740740698</v>
      </c>
      <c r="G21" s="26" t="s">
        <v>80</v>
      </c>
      <c r="H21" s="15">
        <v>24.390243902439</v>
      </c>
      <c r="I21" s="15">
        <v>24.390243902439</v>
      </c>
      <c r="J21" s="26" t="s">
        <v>80</v>
      </c>
      <c r="K21" s="20" t="s">
        <v>80</v>
      </c>
      <c r="L21" s="20" t="s">
        <v>80</v>
      </c>
      <c r="M21" s="26" t="s">
        <v>80</v>
      </c>
      <c r="N21" s="20" t="s">
        <v>80</v>
      </c>
      <c r="O21" s="20" t="s">
        <v>80</v>
      </c>
      <c r="P21" s="26" t="s">
        <v>80</v>
      </c>
    </row>
    <row r="22" spans="1:16">
      <c r="A22" s="9" t="s">
        <v>131</v>
      </c>
      <c r="B22" s="15">
        <v>34.426229508196698</v>
      </c>
      <c r="C22" s="15">
        <v>34.426229508196698</v>
      </c>
      <c r="D22" s="26" t="s">
        <v>80</v>
      </c>
      <c r="E22" s="15">
        <v>50</v>
      </c>
      <c r="F22" s="15">
        <v>50</v>
      </c>
      <c r="G22" s="26" t="s">
        <v>80</v>
      </c>
      <c r="H22" s="15">
        <v>23.4375</v>
      </c>
      <c r="I22" s="15">
        <v>23.4375</v>
      </c>
      <c r="J22" s="26" t="s">
        <v>80</v>
      </c>
      <c r="K22" s="20" t="s">
        <v>80</v>
      </c>
      <c r="L22" s="20" t="s">
        <v>80</v>
      </c>
      <c r="M22" s="26" t="s">
        <v>80</v>
      </c>
      <c r="N22" s="20" t="s">
        <v>80</v>
      </c>
      <c r="O22" s="20" t="s">
        <v>80</v>
      </c>
      <c r="P22" s="26" t="s">
        <v>80</v>
      </c>
    </row>
    <row r="23" spans="1:16">
      <c r="A23" s="9" t="s">
        <v>132</v>
      </c>
      <c r="B23" s="15">
        <v>64.864864864864899</v>
      </c>
      <c r="C23" s="15">
        <v>64.864864864864899</v>
      </c>
      <c r="D23" s="26" t="s">
        <v>80</v>
      </c>
      <c r="E23" s="15">
        <v>72.972972972972997</v>
      </c>
      <c r="F23" s="15">
        <v>72.972972972972997</v>
      </c>
      <c r="G23" s="26" t="s">
        <v>80</v>
      </c>
      <c r="H23" s="15">
        <v>54.285714285714299</v>
      </c>
      <c r="I23" s="15">
        <v>54.285714285714299</v>
      </c>
      <c r="J23" s="26" t="s">
        <v>80</v>
      </c>
      <c r="K23" s="20" t="s">
        <v>80</v>
      </c>
      <c r="L23" s="20" t="s">
        <v>80</v>
      </c>
      <c r="M23" s="26" t="s">
        <v>80</v>
      </c>
      <c r="N23" s="20" t="s">
        <v>80</v>
      </c>
      <c r="O23" s="20" t="s">
        <v>80</v>
      </c>
      <c r="P23" s="26" t="s">
        <v>80</v>
      </c>
    </row>
    <row r="24" spans="1:16">
      <c r="A24" s="9" t="s">
        <v>133</v>
      </c>
      <c r="B24" s="15">
        <v>45.454545454545503</v>
      </c>
      <c r="C24" s="15">
        <v>45.454545454545503</v>
      </c>
      <c r="D24" s="26" t="s">
        <v>80</v>
      </c>
      <c r="E24" s="15">
        <v>47.5</v>
      </c>
      <c r="F24" s="15">
        <v>47.5</v>
      </c>
      <c r="G24" s="26" t="s">
        <v>80</v>
      </c>
      <c r="H24" s="15">
        <v>45.652173913043498</v>
      </c>
      <c r="I24" s="15">
        <v>45.652173913043498</v>
      </c>
      <c r="J24" s="26" t="s">
        <v>80</v>
      </c>
      <c r="K24" s="20" t="s">
        <v>80</v>
      </c>
      <c r="L24" s="20" t="s">
        <v>80</v>
      </c>
      <c r="M24" s="26" t="s">
        <v>80</v>
      </c>
      <c r="N24" s="20" t="s">
        <v>80</v>
      </c>
      <c r="O24" s="20" t="s">
        <v>80</v>
      </c>
      <c r="P24" s="26" t="s">
        <v>80</v>
      </c>
    </row>
    <row r="25" spans="1:16">
      <c r="A25" s="9" t="s">
        <v>134</v>
      </c>
      <c r="B25" s="15">
        <v>53.804347826087003</v>
      </c>
      <c r="C25" s="15">
        <v>53.804347826087003</v>
      </c>
      <c r="D25" s="26" t="s">
        <v>80</v>
      </c>
      <c r="E25" s="15">
        <v>54.022988505747101</v>
      </c>
      <c r="F25" s="15">
        <v>54.022988505747101</v>
      </c>
      <c r="G25" s="26" t="s">
        <v>80</v>
      </c>
      <c r="H25" s="15">
        <v>53.260869565217398</v>
      </c>
      <c r="I25" s="15">
        <v>53.260869565217398</v>
      </c>
      <c r="J25" s="26" t="s">
        <v>80</v>
      </c>
      <c r="K25" s="20" t="s">
        <v>80</v>
      </c>
      <c r="L25" s="20" t="s">
        <v>80</v>
      </c>
      <c r="M25" s="26" t="s">
        <v>80</v>
      </c>
      <c r="N25" s="20" t="s">
        <v>80</v>
      </c>
      <c r="O25" s="20" t="s">
        <v>80</v>
      </c>
      <c r="P25" s="26" t="s">
        <v>80</v>
      </c>
    </row>
    <row r="26" spans="1:16">
      <c r="A26" s="9" t="s">
        <v>135</v>
      </c>
      <c r="B26" s="15">
        <v>53.548387096774199</v>
      </c>
      <c r="C26" s="15">
        <v>53.548387096774199</v>
      </c>
      <c r="D26" s="26" t="s">
        <v>80</v>
      </c>
      <c r="E26" s="15">
        <v>56.25</v>
      </c>
      <c r="F26" s="15">
        <v>56.25</v>
      </c>
      <c r="G26" s="26" t="s">
        <v>80</v>
      </c>
      <c r="H26" s="15">
        <v>53.731343283582099</v>
      </c>
      <c r="I26" s="15">
        <v>53.731343283582099</v>
      </c>
      <c r="J26" s="26" t="s">
        <v>80</v>
      </c>
      <c r="K26" s="20" t="s">
        <v>80</v>
      </c>
      <c r="L26" s="20" t="s">
        <v>80</v>
      </c>
      <c r="M26" s="26" t="s">
        <v>80</v>
      </c>
      <c r="N26" s="20" t="s">
        <v>80</v>
      </c>
      <c r="O26" s="20" t="s">
        <v>80</v>
      </c>
      <c r="P26" s="26" t="s">
        <v>80</v>
      </c>
    </row>
    <row r="27" spans="1:16">
      <c r="A27" s="9" t="s">
        <v>136</v>
      </c>
      <c r="B27" s="15">
        <v>34.210526315789501</v>
      </c>
      <c r="C27" s="15">
        <v>34.210526315789501</v>
      </c>
      <c r="D27" s="26" t="s">
        <v>80</v>
      </c>
      <c r="E27" s="15">
        <v>51.020408163265301</v>
      </c>
      <c r="F27" s="15">
        <v>51.020408163265301</v>
      </c>
      <c r="G27" s="26" t="s">
        <v>80</v>
      </c>
      <c r="H27" s="15">
        <v>21.052631578947398</v>
      </c>
      <c r="I27" s="15">
        <v>21.052631578947398</v>
      </c>
      <c r="J27" s="26" t="s">
        <v>80</v>
      </c>
      <c r="K27" s="20" t="s">
        <v>80</v>
      </c>
      <c r="L27" s="20" t="s">
        <v>80</v>
      </c>
      <c r="M27" s="26" t="s">
        <v>80</v>
      </c>
      <c r="N27" s="20" t="s">
        <v>80</v>
      </c>
      <c r="O27" s="20" t="s">
        <v>80</v>
      </c>
      <c r="P27" s="26" t="s">
        <v>80</v>
      </c>
    </row>
    <row r="28" spans="1:16" ht="21.9" customHeight="1">
      <c r="A28" s="22" t="s">
        <v>137</v>
      </c>
      <c r="B28" s="15">
        <v>40.089572151790897</v>
      </c>
      <c r="C28" s="20" t="s">
        <v>80</v>
      </c>
      <c r="D28" s="24">
        <v>40.089572151790897</v>
      </c>
      <c r="E28" s="15">
        <v>43.682942268743403</v>
      </c>
      <c r="F28" s="20" t="s">
        <v>80</v>
      </c>
      <c r="G28" s="24">
        <v>43.682942268743403</v>
      </c>
      <c r="H28" s="15">
        <v>37.752914346290297</v>
      </c>
      <c r="I28" s="20" t="s">
        <v>80</v>
      </c>
      <c r="J28" s="24">
        <v>37.752914346290297</v>
      </c>
      <c r="K28" s="20" t="s">
        <v>80</v>
      </c>
      <c r="L28" s="20" t="s">
        <v>80</v>
      </c>
      <c r="M28" s="26" t="s">
        <v>80</v>
      </c>
      <c r="N28" s="20" t="s">
        <v>80</v>
      </c>
      <c r="O28" s="20" t="s">
        <v>80</v>
      </c>
      <c r="P28" s="26" t="s">
        <v>80</v>
      </c>
    </row>
    <row r="29" spans="1:16">
      <c r="A29" s="9" t="s">
        <v>138</v>
      </c>
      <c r="B29" s="15">
        <v>35.4838709677419</v>
      </c>
      <c r="C29" s="20" t="s">
        <v>80</v>
      </c>
      <c r="D29" s="24">
        <v>35.4838709677419</v>
      </c>
      <c r="E29" s="15">
        <v>41.791044776119399</v>
      </c>
      <c r="F29" s="20" t="s">
        <v>80</v>
      </c>
      <c r="G29" s="24">
        <v>41.791044776119399</v>
      </c>
      <c r="H29" s="15">
        <v>32.4675324675325</v>
      </c>
      <c r="I29" s="20" t="s">
        <v>80</v>
      </c>
      <c r="J29" s="24">
        <v>32.4675324675325</v>
      </c>
      <c r="K29" s="20" t="s">
        <v>80</v>
      </c>
      <c r="L29" s="20" t="s">
        <v>80</v>
      </c>
      <c r="M29" s="26" t="s">
        <v>80</v>
      </c>
      <c r="N29" s="20" t="s">
        <v>80</v>
      </c>
      <c r="O29" s="20" t="s">
        <v>80</v>
      </c>
      <c r="P29" s="26" t="s">
        <v>80</v>
      </c>
    </row>
    <row r="30" spans="1:16">
      <c r="A30" s="9" t="s">
        <v>139</v>
      </c>
      <c r="B30" s="15">
        <v>66.876971608832804</v>
      </c>
      <c r="C30" s="20" t="s">
        <v>80</v>
      </c>
      <c r="D30" s="24">
        <v>66.876971608832804</v>
      </c>
      <c r="E30" s="15">
        <v>68.503937007874001</v>
      </c>
      <c r="F30" s="20" t="s">
        <v>80</v>
      </c>
      <c r="G30" s="24">
        <v>68.503937007874001</v>
      </c>
      <c r="H30" s="15">
        <v>66.1016949152542</v>
      </c>
      <c r="I30" s="20" t="s">
        <v>80</v>
      </c>
      <c r="J30" s="24">
        <v>66.1016949152542</v>
      </c>
      <c r="K30" s="20" t="s">
        <v>80</v>
      </c>
      <c r="L30" s="20" t="s">
        <v>80</v>
      </c>
      <c r="M30" s="26" t="s">
        <v>80</v>
      </c>
      <c r="N30" s="15">
        <v>83.3333333333333</v>
      </c>
      <c r="O30" s="20" t="s">
        <v>80</v>
      </c>
      <c r="P30" s="24">
        <v>83.3333333333333</v>
      </c>
    </row>
    <row r="31" spans="1:16">
      <c r="A31" s="9" t="s">
        <v>140</v>
      </c>
      <c r="B31" s="15">
        <v>30.042918454935599</v>
      </c>
      <c r="C31" s="20" t="s">
        <v>80</v>
      </c>
      <c r="D31" s="24">
        <v>30.042918454935599</v>
      </c>
      <c r="E31" s="15">
        <v>42.372881355932201</v>
      </c>
      <c r="F31" s="20" t="s">
        <v>80</v>
      </c>
      <c r="G31" s="24">
        <v>42.372881355932201</v>
      </c>
      <c r="H31" s="15">
        <v>18.446601941747598</v>
      </c>
      <c r="I31" s="20" t="s">
        <v>80</v>
      </c>
      <c r="J31" s="24">
        <v>18.446601941747598</v>
      </c>
      <c r="K31" s="20" t="s">
        <v>80</v>
      </c>
      <c r="L31" s="20" t="s">
        <v>80</v>
      </c>
      <c r="M31" s="26" t="s">
        <v>80</v>
      </c>
      <c r="N31" s="20" t="s">
        <v>80</v>
      </c>
      <c r="O31" s="20" t="s">
        <v>80</v>
      </c>
      <c r="P31" s="26" t="s">
        <v>80</v>
      </c>
    </row>
    <row r="32" spans="1:16">
      <c r="A32" s="9" t="s">
        <v>141</v>
      </c>
      <c r="B32" s="15">
        <v>43.365695792880302</v>
      </c>
      <c r="C32" s="20" t="s">
        <v>80</v>
      </c>
      <c r="D32" s="24">
        <v>43.365695792880302</v>
      </c>
      <c r="E32" s="15">
        <v>48.125</v>
      </c>
      <c r="F32" s="20" t="s">
        <v>80</v>
      </c>
      <c r="G32" s="24">
        <v>48.125</v>
      </c>
      <c r="H32" s="15">
        <v>39.7163120567376</v>
      </c>
      <c r="I32" s="20" t="s">
        <v>80</v>
      </c>
      <c r="J32" s="24">
        <v>39.7163120567376</v>
      </c>
      <c r="K32" s="20" t="s">
        <v>80</v>
      </c>
      <c r="L32" s="20" t="s">
        <v>80</v>
      </c>
      <c r="M32" s="26" t="s">
        <v>80</v>
      </c>
      <c r="N32" s="20" t="s">
        <v>80</v>
      </c>
      <c r="O32" s="20" t="s">
        <v>80</v>
      </c>
      <c r="P32" s="26" t="s">
        <v>80</v>
      </c>
    </row>
    <row r="33" spans="1:16">
      <c r="A33" s="9" t="s">
        <v>142</v>
      </c>
      <c r="B33" s="15">
        <v>43.408788282290303</v>
      </c>
      <c r="C33" s="20" t="s">
        <v>80</v>
      </c>
      <c r="D33" s="24">
        <v>43.408788282290303</v>
      </c>
      <c r="E33" s="15">
        <v>47.536231884057997</v>
      </c>
      <c r="F33" s="20" t="s">
        <v>80</v>
      </c>
      <c r="G33" s="24">
        <v>47.536231884057997</v>
      </c>
      <c r="H33" s="15">
        <v>41.891891891891902</v>
      </c>
      <c r="I33" s="20" t="s">
        <v>80</v>
      </c>
      <c r="J33" s="24">
        <v>41.891891891891902</v>
      </c>
      <c r="K33" s="15">
        <v>23.8095238095238</v>
      </c>
      <c r="L33" s="20" t="s">
        <v>80</v>
      </c>
      <c r="M33" s="24">
        <v>23.8095238095238</v>
      </c>
      <c r="N33" s="20" t="s">
        <v>80</v>
      </c>
      <c r="O33" s="20" t="s">
        <v>80</v>
      </c>
      <c r="P33" s="26" t="s">
        <v>80</v>
      </c>
    </row>
    <row r="34" spans="1:16">
      <c r="A34" s="9" t="s">
        <v>143</v>
      </c>
      <c r="B34" s="15">
        <v>27.3615635179153</v>
      </c>
      <c r="C34" s="20" t="s">
        <v>80</v>
      </c>
      <c r="D34" s="24">
        <v>27.3615635179153</v>
      </c>
      <c r="E34" s="15">
        <v>31.547619047619001</v>
      </c>
      <c r="F34" s="20" t="s">
        <v>80</v>
      </c>
      <c r="G34" s="24">
        <v>31.547619047619001</v>
      </c>
      <c r="H34" s="15">
        <v>23.484848484848499</v>
      </c>
      <c r="I34" s="20" t="s">
        <v>80</v>
      </c>
      <c r="J34" s="24">
        <v>23.484848484848499</v>
      </c>
      <c r="K34" s="20" t="s">
        <v>80</v>
      </c>
      <c r="L34" s="20" t="s">
        <v>80</v>
      </c>
      <c r="M34" s="26" t="s">
        <v>80</v>
      </c>
      <c r="N34" s="20" t="s">
        <v>80</v>
      </c>
      <c r="O34" s="20" t="s">
        <v>80</v>
      </c>
      <c r="P34" s="26" t="s">
        <v>80</v>
      </c>
    </row>
    <row r="35" spans="1:16">
      <c r="A35" s="9" t="s">
        <v>144</v>
      </c>
      <c r="B35" s="15">
        <v>54.804270462633497</v>
      </c>
      <c r="C35" s="20" t="s">
        <v>80</v>
      </c>
      <c r="D35" s="24">
        <v>54.804270462633497</v>
      </c>
      <c r="E35" s="15">
        <v>54.347826086956502</v>
      </c>
      <c r="F35" s="20" t="s">
        <v>80</v>
      </c>
      <c r="G35" s="24">
        <v>54.347826086956502</v>
      </c>
      <c r="H35" s="15">
        <v>56.204379562043798</v>
      </c>
      <c r="I35" s="20" t="s">
        <v>80</v>
      </c>
      <c r="J35" s="24">
        <v>56.204379562043798</v>
      </c>
      <c r="K35" s="20" t="s">
        <v>80</v>
      </c>
      <c r="L35" s="20" t="s">
        <v>80</v>
      </c>
      <c r="M35" s="26" t="s">
        <v>80</v>
      </c>
      <c r="N35" s="20" t="s">
        <v>80</v>
      </c>
      <c r="O35" s="20" t="s">
        <v>80</v>
      </c>
      <c r="P35" s="26" t="s">
        <v>80</v>
      </c>
    </row>
    <row r="36" spans="1:16">
      <c r="A36" s="11" t="s">
        <v>145</v>
      </c>
      <c r="B36" s="28" t="s">
        <v>80</v>
      </c>
      <c r="C36" s="28" t="s">
        <v>80</v>
      </c>
      <c r="D36" s="29" t="s">
        <v>80</v>
      </c>
      <c r="E36" s="28" t="s">
        <v>80</v>
      </c>
      <c r="F36" s="28" t="s">
        <v>80</v>
      </c>
      <c r="G36" s="29" t="s">
        <v>80</v>
      </c>
      <c r="H36" s="28" t="s">
        <v>80</v>
      </c>
      <c r="I36" s="28" t="s">
        <v>80</v>
      </c>
      <c r="J36" s="29" t="s">
        <v>80</v>
      </c>
      <c r="K36" s="28" t="s">
        <v>80</v>
      </c>
      <c r="L36" s="28" t="s">
        <v>80</v>
      </c>
      <c r="M36" s="29" t="s">
        <v>80</v>
      </c>
      <c r="N36" s="28" t="s">
        <v>80</v>
      </c>
      <c r="O36" s="28" t="s">
        <v>80</v>
      </c>
      <c r="P36" s="29" t="s">
        <v>80</v>
      </c>
    </row>
    <row r="37" spans="1:16" ht="30" customHeight="1">
      <c r="A37" t="s">
        <v>146</v>
      </c>
    </row>
    <row r="38" spans="1:16">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3"/>
  <sheetViews>
    <sheetView zoomScale="70" workbookViewId="0"/>
  </sheetViews>
  <sheetFormatPr defaultColWidth="10.90625" defaultRowHeight="15"/>
  <cols>
    <col min="1" max="1" width="51.6796875" customWidth="1"/>
    <col min="2" max="5" width="15.90625" customWidth="1"/>
  </cols>
  <sheetData>
    <row r="1" spans="1:5" ht="39.9" customHeight="1">
      <c r="A1" s="10" t="s">
        <v>147</v>
      </c>
      <c r="B1" s="12"/>
      <c r="C1" s="12"/>
      <c r="D1" s="12"/>
      <c r="E1" s="12"/>
    </row>
    <row r="2" spans="1:5" ht="30">
      <c r="A2" s="7" t="s">
        <v>2</v>
      </c>
      <c r="B2" s="6" t="s">
        <v>99</v>
      </c>
      <c r="C2" s="6" t="s">
        <v>100</v>
      </c>
      <c r="D2" s="6" t="s">
        <v>101</v>
      </c>
      <c r="E2" s="8" t="s">
        <v>102</v>
      </c>
    </row>
    <row r="3" spans="1:5" ht="21.9" customHeight="1">
      <c r="A3" s="22" t="s">
        <v>18</v>
      </c>
      <c r="B3" s="15">
        <v>35.541075826307697</v>
      </c>
      <c r="C3" s="15">
        <v>11.8395129915867</v>
      </c>
      <c r="D3" s="15">
        <v>13.149297573829401</v>
      </c>
      <c r="E3" s="24">
        <v>39.470113608276201</v>
      </c>
    </row>
    <row r="4" spans="1:5" ht="21.9" customHeight="1">
      <c r="A4" s="22" t="s">
        <v>19</v>
      </c>
      <c r="B4" s="15">
        <v>33.854688614232302</v>
      </c>
      <c r="C4" s="15">
        <v>11.273237644932401</v>
      </c>
      <c r="D4" s="15">
        <v>12.870961824108701</v>
      </c>
      <c r="E4" s="24">
        <v>42.0011119167266</v>
      </c>
    </row>
    <row r="5" spans="1:5" ht="21.9" customHeight="1">
      <c r="A5" s="22" t="s">
        <v>20</v>
      </c>
      <c r="B5" s="15">
        <v>36.342010066701299</v>
      </c>
      <c r="C5" s="15">
        <v>11.0693722664325</v>
      </c>
      <c r="D5" s="15">
        <v>12.0035964578096</v>
      </c>
      <c r="E5" s="24">
        <v>40.585021209056599</v>
      </c>
    </row>
    <row r="6" spans="1:5" ht="21.9" customHeight="1">
      <c r="A6" s="22" t="s">
        <v>115</v>
      </c>
      <c r="B6" s="15">
        <v>32.233576845446002</v>
      </c>
      <c r="C6" s="15">
        <v>13.631602796460699</v>
      </c>
      <c r="D6" s="15">
        <v>12.953880560487301</v>
      </c>
      <c r="E6" s="24">
        <v>41.180939797606001</v>
      </c>
    </row>
    <row r="7" spans="1:5">
      <c r="A7" s="9" t="s">
        <v>116</v>
      </c>
      <c r="B7" s="15">
        <v>18.032786885245901</v>
      </c>
      <c r="C7" s="15">
        <v>8.1967213114754092</v>
      </c>
      <c r="D7" s="15">
        <v>14.7540983606557</v>
      </c>
      <c r="E7" s="24">
        <v>59.016393442622899</v>
      </c>
    </row>
    <row r="8" spans="1:5">
      <c r="A8" s="9" t="s">
        <v>117</v>
      </c>
      <c r="B8" s="15">
        <v>11.864406779661</v>
      </c>
      <c r="C8" s="15">
        <v>16.9491525423729</v>
      </c>
      <c r="D8" s="15">
        <v>23.728813559321999</v>
      </c>
      <c r="E8" s="24">
        <v>47.457627118644098</v>
      </c>
    </row>
    <row r="9" spans="1:5">
      <c r="A9" s="9" t="s">
        <v>118</v>
      </c>
      <c r="B9" s="15">
        <v>40.963855421686802</v>
      </c>
      <c r="C9" s="15">
        <v>10.8433734939759</v>
      </c>
      <c r="D9" s="15">
        <v>9.6385542168674707</v>
      </c>
      <c r="E9" s="24">
        <v>38.554216867469897</v>
      </c>
    </row>
    <row r="10" spans="1:5">
      <c r="A10" s="9" t="s">
        <v>119</v>
      </c>
      <c r="B10" s="15">
        <v>36.6666666666667</v>
      </c>
      <c r="C10" s="15">
        <v>16.6666666666667</v>
      </c>
      <c r="D10" s="15">
        <v>14.4444444444444</v>
      </c>
      <c r="E10" s="24">
        <v>32.2222222222222</v>
      </c>
    </row>
    <row r="11" spans="1:5">
      <c r="A11" s="9" t="s">
        <v>120</v>
      </c>
      <c r="B11" s="15">
        <v>28.571428571428601</v>
      </c>
      <c r="C11" s="15">
        <v>10.714285714285699</v>
      </c>
      <c r="D11" s="15">
        <v>10.714285714285699</v>
      </c>
      <c r="E11" s="24">
        <v>50</v>
      </c>
    </row>
    <row r="12" spans="1:5">
      <c r="A12" s="9" t="s">
        <v>121</v>
      </c>
      <c r="B12" s="15">
        <v>27.7777777777778</v>
      </c>
      <c r="C12" s="15">
        <v>16.6666666666667</v>
      </c>
      <c r="D12" s="20" t="s">
        <v>80</v>
      </c>
      <c r="E12" s="24">
        <v>52.7777777777778</v>
      </c>
    </row>
    <row r="13" spans="1:5">
      <c r="A13" s="9" t="s">
        <v>122</v>
      </c>
      <c r="B13" s="15">
        <v>21.3592233009709</v>
      </c>
      <c r="C13" s="15">
        <v>13.5922330097087</v>
      </c>
      <c r="D13" s="15">
        <v>15.5339805825243</v>
      </c>
      <c r="E13" s="24">
        <v>49.514563106796103</v>
      </c>
    </row>
    <row r="14" spans="1:5">
      <c r="A14" s="9" t="s">
        <v>123</v>
      </c>
      <c r="B14" s="15">
        <v>19.7530864197531</v>
      </c>
      <c r="C14" s="15">
        <v>14.814814814814801</v>
      </c>
      <c r="D14" s="15">
        <v>17.283950617283899</v>
      </c>
      <c r="E14" s="24">
        <v>48.148148148148103</v>
      </c>
    </row>
    <row r="15" spans="1:5">
      <c r="A15" s="9" t="s">
        <v>124</v>
      </c>
      <c r="B15" s="15">
        <v>33.8983050847458</v>
      </c>
      <c r="C15" s="15">
        <v>10.1694915254237</v>
      </c>
      <c r="D15" s="15">
        <v>20.338983050847499</v>
      </c>
      <c r="E15" s="24">
        <v>35.593220338983102</v>
      </c>
    </row>
    <row r="16" spans="1:5">
      <c r="A16" s="9" t="s">
        <v>125</v>
      </c>
      <c r="B16" s="15">
        <v>19.2982456140351</v>
      </c>
      <c r="C16" s="15">
        <v>10.526315789473699</v>
      </c>
      <c r="D16" s="15">
        <v>17.543859649122801</v>
      </c>
      <c r="E16" s="24">
        <v>52.631578947368403</v>
      </c>
    </row>
    <row r="17" spans="1:5">
      <c r="A17" s="9" t="s">
        <v>126</v>
      </c>
      <c r="B17" s="15">
        <v>20.731707317073202</v>
      </c>
      <c r="C17" s="15">
        <v>7.3170731707317103</v>
      </c>
      <c r="D17" s="15">
        <v>24.390243902439</v>
      </c>
      <c r="E17" s="24">
        <v>47.560975609756099</v>
      </c>
    </row>
    <row r="18" spans="1:5">
      <c r="A18" s="9" t="s">
        <v>127</v>
      </c>
      <c r="B18" s="15">
        <v>28.8343558282209</v>
      </c>
      <c r="C18" s="15">
        <v>19.018404907975501</v>
      </c>
      <c r="D18" s="15">
        <v>14.7239263803681</v>
      </c>
      <c r="E18" s="24">
        <v>37.423312883435599</v>
      </c>
    </row>
    <row r="19" spans="1:5">
      <c r="A19" s="9" t="s">
        <v>128</v>
      </c>
      <c r="B19" s="15">
        <v>30.681818181818201</v>
      </c>
      <c r="C19" s="15">
        <v>12.5</v>
      </c>
      <c r="D19" s="15">
        <v>14.7727272727273</v>
      </c>
      <c r="E19" s="24">
        <v>42.045454545454497</v>
      </c>
    </row>
    <row r="20" spans="1:5">
      <c r="A20" s="9" t="s">
        <v>129</v>
      </c>
      <c r="B20" s="15">
        <v>41.891891891891902</v>
      </c>
      <c r="C20" s="15">
        <v>12.1621621621622</v>
      </c>
      <c r="D20" s="15">
        <v>13.5135135135135</v>
      </c>
      <c r="E20" s="24">
        <v>32.4324324324324</v>
      </c>
    </row>
    <row r="21" spans="1:5">
      <c r="A21" s="9" t="s">
        <v>130</v>
      </c>
      <c r="B21" s="15">
        <v>48.6111111111111</v>
      </c>
      <c r="C21" s="15">
        <v>12.5</v>
      </c>
      <c r="D21" s="15">
        <v>6.9444444444444402</v>
      </c>
      <c r="E21" s="24">
        <v>31.9444444444444</v>
      </c>
    </row>
    <row r="22" spans="1:5">
      <c r="A22" s="9" t="s">
        <v>131</v>
      </c>
      <c r="B22" s="15">
        <v>31.967213114754099</v>
      </c>
      <c r="C22" s="15">
        <v>18.032786885245901</v>
      </c>
      <c r="D22" s="15">
        <v>15.5737704918033</v>
      </c>
      <c r="E22" s="24">
        <v>34.426229508196698</v>
      </c>
    </row>
    <row r="23" spans="1:5">
      <c r="A23" s="9" t="s">
        <v>132</v>
      </c>
      <c r="B23" s="15">
        <v>12.1621621621622</v>
      </c>
      <c r="C23" s="15">
        <v>13.5135135135135</v>
      </c>
      <c r="D23" s="15">
        <v>9.4594594594594597</v>
      </c>
      <c r="E23" s="24">
        <v>64.864864864864899</v>
      </c>
    </row>
    <row r="24" spans="1:5">
      <c r="A24" s="9" t="s">
        <v>133</v>
      </c>
      <c r="B24" s="15">
        <v>39.772727272727302</v>
      </c>
      <c r="C24" s="20" t="s">
        <v>80</v>
      </c>
      <c r="D24" s="15">
        <v>13.636363636363599</v>
      </c>
      <c r="E24" s="24">
        <v>45.454545454545503</v>
      </c>
    </row>
    <row r="25" spans="1:5">
      <c r="A25" s="9" t="s">
        <v>134</v>
      </c>
      <c r="B25" s="15">
        <v>22.2826086956522</v>
      </c>
      <c r="C25" s="15">
        <v>10.869565217391299</v>
      </c>
      <c r="D25" s="15">
        <v>13.0434782608696</v>
      </c>
      <c r="E25" s="24">
        <v>53.804347826087003</v>
      </c>
    </row>
    <row r="26" spans="1:5">
      <c r="A26" s="9" t="s">
        <v>135</v>
      </c>
      <c r="B26" s="15">
        <v>26.451612903225801</v>
      </c>
      <c r="C26" s="15">
        <v>9.0322580645161299</v>
      </c>
      <c r="D26" s="15">
        <v>10.9677419354839</v>
      </c>
      <c r="E26" s="24">
        <v>53.548387096774199</v>
      </c>
    </row>
    <row r="27" spans="1:5">
      <c r="A27" s="9" t="s">
        <v>136</v>
      </c>
      <c r="B27" s="15">
        <v>32.456140350877199</v>
      </c>
      <c r="C27" s="15">
        <v>14.912280701754399</v>
      </c>
      <c r="D27" s="15">
        <v>18.421052631578899</v>
      </c>
      <c r="E27" s="24">
        <v>34.210526315789501</v>
      </c>
    </row>
    <row r="28" spans="1:5" ht="21.9" customHeight="1">
      <c r="A28" s="22" t="s">
        <v>137</v>
      </c>
      <c r="B28" s="15">
        <v>39.757777598412297</v>
      </c>
      <c r="C28" s="15">
        <v>8.9391237308228195</v>
      </c>
      <c r="D28" s="15">
        <v>11.213526518974</v>
      </c>
      <c r="E28" s="24">
        <v>40.089572151790897</v>
      </c>
    </row>
    <row r="29" spans="1:5">
      <c r="A29" s="9" t="s">
        <v>138</v>
      </c>
      <c r="B29" s="15">
        <v>43.225806451612897</v>
      </c>
      <c r="C29" s="15">
        <v>7.7419354838709697</v>
      </c>
      <c r="D29" s="15">
        <v>13.548387096774199</v>
      </c>
      <c r="E29" s="24">
        <v>35.4838709677419</v>
      </c>
    </row>
    <row r="30" spans="1:5">
      <c r="A30" s="9" t="s">
        <v>139</v>
      </c>
      <c r="B30" s="15">
        <v>17.981072555204999</v>
      </c>
      <c r="C30" s="15">
        <v>5.0473186119873796</v>
      </c>
      <c r="D30" s="15">
        <v>10.0946372239748</v>
      </c>
      <c r="E30" s="24">
        <v>66.876971608832804</v>
      </c>
    </row>
    <row r="31" spans="1:5">
      <c r="A31" s="9" t="s">
        <v>140</v>
      </c>
      <c r="B31" s="15">
        <v>48.497854077253201</v>
      </c>
      <c r="C31" s="15">
        <v>9.8712446351931291</v>
      </c>
      <c r="D31" s="15">
        <v>11.587982832618</v>
      </c>
      <c r="E31" s="24">
        <v>30.042918454935599</v>
      </c>
    </row>
    <row r="32" spans="1:5">
      <c r="A32" s="9" t="s">
        <v>141</v>
      </c>
      <c r="B32" s="15">
        <v>38.187702265372202</v>
      </c>
      <c r="C32" s="15">
        <v>7.7669902912621396</v>
      </c>
      <c r="D32" s="15">
        <v>10.6796116504854</v>
      </c>
      <c r="E32" s="24">
        <v>43.365695792880302</v>
      </c>
    </row>
    <row r="33" spans="1:5">
      <c r="A33" s="9" t="s">
        <v>142</v>
      </c>
      <c r="B33" s="15">
        <v>34.087882822902799</v>
      </c>
      <c r="C33" s="15">
        <v>9.7203728362183792</v>
      </c>
      <c r="D33" s="15">
        <v>12.7829560585885</v>
      </c>
      <c r="E33" s="24">
        <v>43.408788282290303</v>
      </c>
    </row>
    <row r="34" spans="1:5">
      <c r="A34" s="9" t="s">
        <v>143</v>
      </c>
      <c r="B34" s="15">
        <v>55.3745928338762</v>
      </c>
      <c r="C34" s="15">
        <v>10.4234527687296</v>
      </c>
      <c r="D34" s="15">
        <v>6.8403908794788304</v>
      </c>
      <c r="E34" s="24">
        <v>27.3615635179153</v>
      </c>
    </row>
    <row r="35" spans="1:5">
      <c r="A35" s="9" t="s">
        <v>144</v>
      </c>
      <c r="B35" s="15">
        <v>23.487544483985801</v>
      </c>
      <c r="C35" s="15">
        <v>8.8967971530249095</v>
      </c>
      <c r="D35" s="15">
        <v>12.8113879003559</v>
      </c>
      <c r="E35" s="24">
        <v>54.804270462633497</v>
      </c>
    </row>
    <row r="36" spans="1:5">
      <c r="A36" s="11" t="s">
        <v>145</v>
      </c>
      <c r="B36" s="16">
        <v>44.4444444444444</v>
      </c>
      <c r="C36" s="28" t="s">
        <v>80</v>
      </c>
      <c r="D36" s="16">
        <v>27.7777777777778</v>
      </c>
      <c r="E36" s="29" t="s">
        <v>80</v>
      </c>
    </row>
    <row r="37" spans="1:5" ht="30" customHeight="1">
      <c r="A37" t="s">
        <v>146</v>
      </c>
    </row>
    <row r="38" spans="1:5">
      <c r="A38" t="s">
        <v>93</v>
      </c>
    </row>
    <row r="39" spans="1:5">
      <c r="A39" t="s">
        <v>94</v>
      </c>
    </row>
    <row r="40" spans="1:5">
      <c r="A40" t="s">
        <v>95</v>
      </c>
    </row>
    <row r="41" spans="1:5">
      <c r="A41" t="s">
        <v>96</v>
      </c>
    </row>
    <row r="42" spans="1:5">
      <c r="A42" t="s">
        <v>97</v>
      </c>
    </row>
    <row r="43" spans="1:5">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148</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39.6018605686073</v>
      </c>
      <c r="C3" s="15">
        <v>42.632878327276302</v>
      </c>
      <c r="D3" s="24">
        <v>37.097028511232999</v>
      </c>
      <c r="E3" s="15">
        <v>41.345590449210597</v>
      </c>
      <c r="F3" s="15">
        <v>43.902284089114097</v>
      </c>
      <c r="G3" s="24">
        <v>39.200942060492601</v>
      </c>
      <c r="H3" s="15">
        <v>38.684053812393898</v>
      </c>
      <c r="I3" s="15">
        <v>41.7747594475535</v>
      </c>
      <c r="J3" s="24">
        <v>36.086140336213703</v>
      </c>
      <c r="K3" s="15">
        <v>26.8567045113424</v>
      </c>
      <c r="L3" s="15">
        <v>43.500861909313002</v>
      </c>
      <c r="M3" s="24">
        <v>22.6599134737946</v>
      </c>
      <c r="N3" s="15">
        <v>26.429817171253799</v>
      </c>
      <c r="O3" s="15">
        <v>30.5706654747922</v>
      </c>
      <c r="P3" s="24">
        <v>23.435034581772399</v>
      </c>
    </row>
    <row r="4" spans="1:16" ht="21.9" customHeight="1">
      <c r="A4" s="22" t="s">
        <v>19</v>
      </c>
      <c r="B4" s="15">
        <v>41.065292369631301</v>
      </c>
      <c r="C4" s="15">
        <v>45.793272896062497</v>
      </c>
      <c r="D4" s="24">
        <v>37.187427708507201</v>
      </c>
      <c r="E4" s="15">
        <v>42.2783653212717</v>
      </c>
      <c r="F4" s="15">
        <v>47.6991666238223</v>
      </c>
      <c r="G4" s="24">
        <v>37.747379957866798</v>
      </c>
      <c r="H4" s="15">
        <v>40.668189933915102</v>
      </c>
      <c r="I4" s="15">
        <v>44.481613734194603</v>
      </c>
      <c r="J4" s="24">
        <v>37.533432196017998</v>
      </c>
      <c r="K4" s="15">
        <v>29.670625910432499</v>
      </c>
      <c r="L4" s="20" t="s">
        <v>80</v>
      </c>
      <c r="M4" s="24">
        <v>25.362298037729101</v>
      </c>
      <c r="N4" s="15">
        <v>26.4082166518265</v>
      </c>
      <c r="O4" s="15">
        <v>29.034209237225198</v>
      </c>
      <c r="P4" s="24">
        <v>24.3514067839128</v>
      </c>
    </row>
    <row r="5" spans="1:16" ht="21.9" customHeight="1">
      <c r="A5" s="22" t="s">
        <v>20</v>
      </c>
      <c r="B5" s="15">
        <v>40.789139444781298</v>
      </c>
      <c r="C5" s="15">
        <v>46.571861195299803</v>
      </c>
      <c r="D5" s="24">
        <v>35.981361847679501</v>
      </c>
      <c r="E5" s="15">
        <v>42.792390376334197</v>
      </c>
      <c r="F5" s="15">
        <v>48.945087416740201</v>
      </c>
      <c r="G5" s="24">
        <v>37.561479331335299</v>
      </c>
      <c r="H5" s="15">
        <v>39.860296071002203</v>
      </c>
      <c r="I5" s="15">
        <v>45.087206364768697</v>
      </c>
      <c r="J5" s="24">
        <v>35.576699892990099</v>
      </c>
      <c r="K5" s="20" t="s">
        <v>80</v>
      </c>
      <c r="L5" s="20" t="s">
        <v>80</v>
      </c>
      <c r="M5" s="26" t="s">
        <v>80</v>
      </c>
      <c r="N5" s="15">
        <v>24.332354224872599</v>
      </c>
      <c r="O5" s="20" t="s">
        <v>80</v>
      </c>
      <c r="P5" s="26" t="s">
        <v>80</v>
      </c>
    </row>
    <row r="6" spans="1:16" ht="21.9" customHeight="1">
      <c r="A6" s="22" t="s">
        <v>115</v>
      </c>
      <c r="B6" s="15">
        <v>46.571861195299803</v>
      </c>
      <c r="C6" s="15">
        <v>46.571861195299803</v>
      </c>
      <c r="D6" s="26" t="s">
        <v>80</v>
      </c>
      <c r="E6" s="15">
        <v>48.945087416740201</v>
      </c>
      <c r="F6" s="15">
        <v>48.945087416740201</v>
      </c>
      <c r="G6" s="26" t="s">
        <v>80</v>
      </c>
      <c r="H6" s="15">
        <v>45.087206364768697</v>
      </c>
      <c r="I6" s="15">
        <v>45.087206364768697</v>
      </c>
      <c r="J6" s="26" t="s">
        <v>80</v>
      </c>
      <c r="K6" s="20" t="s">
        <v>80</v>
      </c>
      <c r="L6" s="20" t="s">
        <v>80</v>
      </c>
      <c r="M6" s="26" t="s">
        <v>80</v>
      </c>
      <c r="N6" s="20" t="s">
        <v>80</v>
      </c>
      <c r="O6" s="20" t="s">
        <v>80</v>
      </c>
      <c r="P6" s="26" t="s">
        <v>80</v>
      </c>
    </row>
    <row r="7" spans="1:16">
      <c r="A7" s="9" t="s">
        <v>116</v>
      </c>
      <c r="B7" s="15">
        <v>58.1967213114754</v>
      </c>
      <c r="C7" s="15">
        <v>58.1967213114754</v>
      </c>
      <c r="D7" s="26" t="s">
        <v>80</v>
      </c>
      <c r="E7" s="15">
        <v>59.649122807017498</v>
      </c>
      <c r="F7" s="15">
        <v>59.649122807017498</v>
      </c>
      <c r="G7" s="26" t="s">
        <v>80</v>
      </c>
      <c r="H7" s="15">
        <v>56.923076923076898</v>
      </c>
      <c r="I7" s="15">
        <v>56.923076923076898</v>
      </c>
      <c r="J7" s="26" t="s">
        <v>80</v>
      </c>
      <c r="K7" s="20" t="s">
        <v>80</v>
      </c>
      <c r="L7" s="20" t="s">
        <v>80</v>
      </c>
      <c r="M7" s="26" t="s">
        <v>80</v>
      </c>
      <c r="N7" s="20" t="s">
        <v>80</v>
      </c>
      <c r="O7" s="20" t="s">
        <v>80</v>
      </c>
      <c r="P7" s="26" t="s">
        <v>80</v>
      </c>
    </row>
    <row r="8" spans="1:16">
      <c r="A8" s="9" t="s">
        <v>117</v>
      </c>
      <c r="B8" s="15">
        <v>61.016949152542402</v>
      </c>
      <c r="C8" s="15">
        <v>61.016949152542402</v>
      </c>
      <c r="D8" s="26" t="s">
        <v>80</v>
      </c>
      <c r="E8" s="15">
        <v>58.823529411764703</v>
      </c>
      <c r="F8" s="15">
        <v>58.823529411764703</v>
      </c>
      <c r="G8" s="26" t="s">
        <v>80</v>
      </c>
      <c r="H8" s="15">
        <v>64</v>
      </c>
      <c r="I8" s="15">
        <v>64</v>
      </c>
      <c r="J8" s="26" t="s">
        <v>80</v>
      </c>
      <c r="K8" s="20" t="s">
        <v>80</v>
      </c>
      <c r="L8" s="20" t="s">
        <v>80</v>
      </c>
      <c r="M8" s="26" t="s">
        <v>80</v>
      </c>
      <c r="N8" s="20" t="s">
        <v>80</v>
      </c>
      <c r="O8" s="20" t="s">
        <v>80</v>
      </c>
      <c r="P8" s="26" t="s">
        <v>80</v>
      </c>
    </row>
    <row r="9" spans="1:16">
      <c r="A9" s="9" t="s">
        <v>118</v>
      </c>
      <c r="B9" s="15">
        <v>46.987951807228903</v>
      </c>
      <c r="C9" s="15">
        <v>46.987951807228903</v>
      </c>
      <c r="D9" s="26" t="s">
        <v>80</v>
      </c>
      <c r="E9" s="15">
        <v>46.6666666666667</v>
      </c>
      <c r="F9" s="15">
        <v>46.6666666666667</v>
      </c>
      <c r="G9" s="26" t="s">
        <v>80</v>
      </c>
      <c r="H9" s="15">
        <v>48.648648648648702</v>
      </c>
      <c r="I9" s="15">
        <v>48.648648648648702</v>
      </c>
      <c r="J9" s="26" t="s">
        <v>80</v>
      </c>
      <c r="K9" s="20" t="s">
        <v>80</v>
      </c>
      <c r="L9" s="20" t="s">
        <v>80</v>
      </c>
      <c r="M9" s="26" t="s">
        <v>80</v>
      </c>
      <c r="N9" s="20" t="s">
        <v>80</v>
      </c>
      <c r="O9" s="20" t="s">
        <v>80</v>
      </c>
      <c r="P9" s="26" t="s">
        <v>80</v>
      </c>
    </row>
    <row r="10" spans="1:16">
      <c r="A10" s="9" t="s">
        <v>119</v>
      </c>
      <c r="B10" s="15">
        <v>32.2222222222222</v>
      </c>
      <c r="C10" s="15">
        <v>32.2222222222222</v>
      </c>
      <c r="D10" s="26" t="s">
        <v>80</v>
      </c>
      <c r="E10" s="15">
        <v>27.0833333333333</v>
      </c>
      <c r="F10" s="15">
        <v>27.0833333333333</v>
      </c>
      <c r="G10" s="26" t="s">
        <v>80</v>
      </c>
      <c r="H10" s="15">
        <v>36.585365853658502</v>
      </c>
      <c r="I10" s="15">
        <v>36.585365853658502</v>
      </c>
      <c r="J10" s="26" t="s">
        <v>80</v>
      </c>
      <c r="K10" s="20" t="s">
        <v>80</v>
      </c>
      <c r="L10" s="20" t="s">
        <v>80</v>
      </c>
      <c r="M10" s="26" t="s">
        <v>80</v>
      </c>
      <c r="N10" s="20" t="s">
        <v>80</v>
      </c>
      <c r="O10" s="20" t="s">
        <v>80</v>
      </c>
      <c r="P10" s="26" t="s">
        <v>80</v>
      </c>
    </row>
    <row r="11" spans="1:16">
      <c r="A11" s="9" t="s">
        <v>120</v>
      </c>
      <c r="B11" s="15">
        <v>57.142857142857103</v>
      </c>
      <c r="C11" s="15">
        <v>57.142857142857103</v>
      </c>
      <c r="D11" s="26" t="s">
        <v>80</v>
      </c>
      <c r="E11" s="15">
        <v>62.5</v>
      </c>
      <c r="F11" s="15">
        <v>62.5</v>
      </c>
      <c r="G11" s="26" t="s">
        <v>80</v>
      </c>
      <c r="H11" s="15">
        <v>52.380952380952401</v>
      </c>
      <c r="I11" s="15">
        <v>52.380952380952401</v>
      </c>
      <c r="J11" s="26" t="s">
        <v>80</v>
      </c>
      <c r="K11" s="20" t="s">
        <v>80</v>
      </c>
      <c r="L11" s="20" t="s">
        <v>80</v>
      </c>
      <c r="M11" s="26" t="s">
        <v>80</v>
      </c>
      <c r="N11" s="20" t="s">
        <v>80</v>
      </c>
      <c r="O11" s="20" t="s">
        <v>80</v>
      </c>
      <c r="P11" s="26" t="s">
        <v>80</v>
      </c>
    </row>
    <row r="12" spans="1:16">
      <c r="A12" s="9" t="s">
        <v>121</v>
      </c>
      <c r="B12" s="15">
        <v>50</v>
      </c>
      <c r="C12" s="15">
        <v>50</v>
      </c>
      <c r="D12" s="26" t="s">
        <v>80</v>
      </c>
      <c r="E12" s="15">
        <v>73.3333333333333</v>
      </c>
      <c r="F12" s="15">
        <v>73.3333333333333</v>
      </c>
      <c r="G12" s="26" t="s">
        <v>80</v>
      </c>
      <c r="H12" s="15">
        <v>33.3333333333333</v>
      </c>
      <c r="I12" s="15">
        <v>33.3333333333333</v>
      </c>
      <c r="J12" s="26" t="s">
        <v>80</v>
      </c>
      <c r="K12" s="20" t="s">
        <v>80</v>
      </c>
      <c r="L12" s="20" t="s">
        <v>80</v>
      </c>
      <c r="M12" s="26" t="s">
        <v>80</v>
      </c>
      <c r="N12" s="20" t="s">
        <v>80</v>
      </c>
      <c r="O12" s="20" t="s">
        <v>80</v>
      </c>
      <c r="P12" s="26" t="s">
        <v>80</v>
      </c>
    </row>
    <row r="13" spans="1:16">
      <c r="A13" s="9" t="s">
        <v>122</v>
      </c>
      <c r="B13" s="15">
        <v>57.2815533980583</v>
      </c>
      <c r="C13" s="15">
        <v>57.2815533980583</v>
      </c>
      <c r="D13" s="26" t="s">
        <v>80</v>
      </c>
      <c r="E13" s="15">
        <v>56.363636363636402</v>
      </c>
      <c r="F13" s="15">
        <v>56.363636363636402</v>
      </c>
      <c r="G13" s="26" t="s">
        <v>80</v>
      </c>
      <c r="H13" s="15">
        <v>59.574468085106403</v>
      </c>
      <c r="I13" s="15">
        <v>59.574468085106403</v>
      </c>
      <c r="J13" s="26" t="s">
        <v>80</v>
      </c>
      <c r="K13" s="20" t="s">
        <v>80</v>
      </c>
      <c r="L13" s="20" t="s">
        <v>80</v>
      </c>
      <c r="M13" s="26" t="s">
        <v>80</v>
      </c>
      <c r="N13" s="20" t="s">
        <v>80</v>
      </c>
      <c r="O13" s="20" t="s">
        <v>80</v>
      </c>
      <c r="P13" s="26" t="s">
        <v>80</v>
      </c>
    </row>
    <row r="14" spans="1:16">
      <c r="A14" s="9" t="s">
        <v>123</v>
      </c>
      <c r="B14" s="15">
        <v>53.086419753086403</v>
      </c>
      <c r="C14" s="15">
        <v>53.086419753086403</v>
      </c>
      <c r="D14" s="26" t="s">
        <v>80</v>
      </c>
      <c r="E14" s="15">
        <v>52.631578947368403</v>
      </c>
      <c r="F14" s="15">
        <v>52.631578947368403</v>
      </c>
      <c r="G14" s="26" t="s">
        <v>80</v>
      </c>
      <c r="H14" s="15">
        <v>56.097560975609802</v>
      </c>
      <c r="I14" s="15">
        <v>56.097560975609802</v>
      </c>
      <c r="J14" s="26" t="s">
        <v>80</v>
      </c>
      <c r="K14" s="20" t="s">
        <v>80</v>
      </c>
      <c r="L14" s="20" t="s">
        <v>80</v>
      </c>
      <c r="M14" s="26" t="s">
        <v>80</v>
      </c>
      <c r="N14" s="20" t="s">
        <v>80</v>
      </c>
      <c r="O14" s="20" t="s">
        <v>80</v>
      </c>
      <c r="P14" s="26" t="s">
        <v>80</v>
      </c>
    </row>
    <row r="15" spans="1:16">
      <c r="A15" s="9" t="s">
        <v>124</v>
      </c>
      <c r="B15" s="15">
        <v>55.932203389830498</v>
      </c>
      <c r="C15" s="15">
        <v>55.932203389830498</v>
      </c>
      <c r="D15" s="26" t="s">
        <v>80</v>
      </c>
      <c r="E15" s="15">
        <v>43.75</v>
      </c>
      <c r="F15" s="15">
        <v>43.75</v>
      </c>
      <c r="G15" s="26" t="s">
        <v>80</v>
      </c>
      <c r="H15" s="15">
        <v>73.076923076923094</v>
      </c>
      <c r="I15" s="15">
        <v>73.076923076923094</v>
      </c>
      <c r="J15" s="26" t="s">
        <v>80</v>
      </c>
      <c r="K15" s="20" t="s">
        <v>80</v>
      </c>
      <c r="L15" s="20" t="s">
        <v>80</v>
      </c>
      <c r="M15" s="26" t="s">
        <v>80</v>
      </c>
      <c r="N15" s="20" t="s">
        <v>80</v>
      </c>
      <c r="O15" s="20" t="s">
        <v>80</v>
      </c>
      <c r="P15" s="26" t="s">
        <v>80</v>
      </c>
    </row>
    <row r="16" spans="1:16">
      <c r="A16" s="9" t="s">
        <v>125</v>
      </c>
      <c r="B16" s="15">
        <v>64.912280701754398</v>
      </c>
      <c r="C16" s="15">
        <v>64.912280701754398</v>
      </c>
      <c r="D16" s="26" t="s">
        <v>80</v>
      </c>
      <c r="E16" s="15">
        <v>61.538461538461497</v>
      </c>
      <c r="F16" s="15">
        <v>61.538461538461497</v>
      </c>
      <c r="G16" s="26" t="s">
        <v>80</v>
      </c>
      <c r="H16" s="15">
        <v>70.370370370370395</v>
      </c>
      <c r="I16" s="15">
        <v>70.370370370370395</v>
      </c>
      <c r="J16" s="26" t="s">
        <v>80</v>
      </c>
      <c r="K16" s="20" t="s">
        <v>80</v>
      </c>
      <c r="L16" s="20" t="s">
        <v>80</v>
      </c>
      <c r="M16" s="26" t="s">
        <v>80</v>
      </c>
      <c r="N16" s="20" t="s">
        <v>80</v>
      </c>
      <c r="O16" s="20" t="s">
        <v>80</v>
      </c>
      <c r="P16" s="26" t="s">
        <v>80</v>
      </c>
    </row>
    <row r="17" spans="1:16">
      <c r="A17" s="9" t="s">
        <v>126</v>
      </c>
      <c r="B17" s="15">
        <v>54.878048780487802</v>
      </c>
      <c r="C17" s="15">
        <v>54.878048780487802</v>
      </c>
      <c r="D17" s="26" t="s">
        <v>80</v>
      </c>
      <c r="E17" s="15">
        <v>50</v>
      </c>
      <c r="F17" s="15">
        <v>50</v>
      </c>
      <c r="G17" s="26" t="s">
        <v>80</v>
      </c>
      <c r="H17" s="15">
        <v>60.526315789473699</v>
      </c>
      <c r="I17" s="15">
        <v>60.526315789473699</v>
      </c>
      <c r="J17" s="26" t="s">
        <v>80</v>
      </c>
      <c r="K17" s="20" t="s">
        <v>80</v>
      </c>
      <c r="L17" s="20" t="s">
        <v>80</v>
      </c>
      <c r="M17" s="26" t="s">
        <v>80</v>
      </c>
      <c r="N17" s="20" t="s">
        <v>80</v>
      </c>
      <c r="O17" s="20" t="s">
        <v>80</v>
      </c>
      <c r="P17" s="26" t="s">
        <v>80</v>
      </c>
    </row>
    <row r="18" spans="1:16">
      <c r="A18" s="9" t="s">
        <v>127</v>
      </c>
      <c r="B18" s="15">
        <v>46.625766871165602</v>
      </c>
      <c r="C18" s="15">
        <v>46.625766871165602</v>
      </c>
      <c r="D18" s="26" t="s">
        <v>80</v>
      </c>
      <c r="E18" s="15">
        <v>50</v>
      </c>
      <c r="F18" s="15">
        <v>50</v>
      </c>
      <c r="G18" s="26" t="s">
        <v>80</v>
      </c>
      <c r="H18" s="15">
        <v>42.105263157894697</v>
      </c>
      <c r="I18" s="15">
        <v>42.105263157894697</v>
      </c>
      <c r="J18" s="26" t="s">
        <v>80</v>
      </c>
      <c r="K18" s="20" t="s">
        <v>80</v>
      </c>
      <c r="L18" s="20" t="s">
        <v>80</v>
      </c>
      <c r="M18" s="26" t="s">
        <v>80</v>
      </c>
      <c r="N18" s="20" t="s">
        <v>80</v>
      </c>
      <c r="O18" s="20" t="s">
        <v>80</v>
      </c>
      <c r="P18" s="26" t="s">
        <v>80</v>
      </c>
    </row>
    <row r="19" spans="1:16">
      <c r="A19" s="9" t="s">
        <v>128</v>
      </c>
      <c r="B19" s="15">
        <v>43.181818181818201</v>
      </c>
      <c r="C19" s="15">
        <v>43.181818181818201</v>
      </c>
      <c r="D19" s="26" t="s">
        <v>80</v>
      </c>
      <c r="E19" s="15">
        <v>48.8888888888889</v>
      </c>
      <c r="F19" s="15">
        <v>48.8888888888889</v>
      </c>
      <c r="G19" s="26" t="s">
        <v>80</v>
      </c>
      <c r="H19" s="15">
        <v>37.209302325581397</v>
      </c>
      <c r="I19" s="15">
        <v>37.209302325581397</v>
      </c>
      <c r="J19" s="26" t="s">
        <v>80</v>
      </c>
      <c r="K19" s="20" t="s">
        <v>80</v>
      </c>
      <c r="L19" s="20" t="s">
        <v>80</v>
      </c>
      <c r="M19" s="26" t="s">
        <v>80</v>
      </c>
      <c r="N19" s="20" t="s">
        <v>80</v>
      </c>
      <c r="O19" s="20" t="s">
        <v>80</v>
      </c>
      <c r="P19" s="26" t="s">
        <v>80</v>
      </c>
    </row>
    <row r="20" spans="1:16">
      <c r="A20" s="9" t="s">
        <v>129</v>
      </c>
      <c r="B20" s="15">
        <v>45.945945945945901</v>
      </c>
      <c r="C20" s="15">
        <v>45.945945945945901</v>
      </c>
      <c r="D20" s="26" t="s">
        <v>80</v>
      </c>
      <c r="E20" s="15">
        <v>53.658536585365901</v>
      </c>
      <c r="F20" s="15">
        <v>53.658536585365901</v>
      </c>
      <c r="G20" s="26" t="s">
        <v>80</v>
      </c>
      <c r="H20" s="15">
        <v>38.709677419354797</v>
      </c>
      <c r="I20" s="15">
        <v>38.709677419354797</v>
      </c>
      <c r="J20" s="26" t="s">
        <v>80</v>
      </c>
      <c r="K20" s="20" t="s">
        <v>80</v>
      </c>
      <c r="L20" s="20" t="s">
        <v>80</v>
      </c>
      <c r="M20" s="26" t="s">
        <v>80</v>
      </c>
      <c r="N20" s="20" t="s">
        <v>80</v>
      </c>
      <c r="O20" s="20" t="s">
        <v>80</v>
      </c>
      <c r="P20" s="26" t="s">
        <v>80</v>
      </c>
    </row>
    <row r="21" spans="1:16">
      <c r="A21" s="9" t="s">
        <v>130</v>
      </c>
      <c r="B21" s="15">
        <v>33.3333333333333</v>
      </c>
      <c r="C21" s="15">
        <v>33.3333333333333</v>
      </c>
      <c r="D21" s="26" t="s">
        <v>80</v>
      </c>
      <c r="E21" s="15">
        <v>44.4444444444444</v>
      </c>
      <c r="F21" s="15">
        <v>44.4444444444444</v>
      </c>
      <c r="G21" s="26" t="s">
        <v>80</v>
      </c>
      <c r="H21" s="15">
        <v>24.390243902439</v>
      </c>
      <c r="I21" s="15">
        <v>24.390243902439</v>
      </c>
      <c r="J21" s="26" t="s">
        <v>80</v>
      </c>
      <c r="K21" s="20" t="s">
        <v>80</v>
      </c>
      <c r="L21" s="20" t="s">
        <v>80</v>
      </c>
      <c r="M21" s="26" t="s">
        <v>80</v>
      </c>
      <c r="N21" s="20" t="s">
        <v>80</v>
      </c>
      <c r="O21" s="20" t="s">
        <v>80</v>
      </c>
      <c r="P21" s="26" t="s">
        <v>80</v>
      </c>
    </row>
    <row r="22" spans="1:16">
      <c r="A22" s="9" t="s">
        <v>131</v>
      </c>
      <c r="B22" s="15">
        <v>52.459016393442603</v>
      </c>
      <c r="C22" s="15">
        <v>52.459016393442603</v>
      </c>
      <c r="D22" s="26" t="s">
        <v>80</v>
      </c>
      <c r="E22" s="15">
        <v>61.538461538461497</v>
      </c>
      <c r="F22" s="15">
        <v>61.538461538461497</v>
      </c>
      <c r="G22" s="26" t="s">
        <v>80</v>
      </c>
      <c r="H22" s="15">
        <v>46.875</v>
      </c>
      <c r="I22" s="15">
        <v>46.875</v>
      </c>
      <c r="J22" s="26" t="s">
        <v>80</v>
      </c>
      <c r="K22" s="20" t="s">
        <v>80</v>
      </c>
      <c r="L22" s="20" t="s">
        <v>80</v>
      </c>
      <c r="M22" s="26" t="s">
        <v>80</v>
      </c>
      <c r="N22" s="20" t="s">
        <v>80</v>
      </c>
      <c r="O22" s="20" t="s">
        <v>80</v>
      </c>
      <c r="P22" s="26" t="s">
        <v>80</v>
      </c>
    </row>
    <row r="23" spans="1:16">
      <c r="A23" s="9" t="s">
        <v>132</v>
      </c>
      <c r="B23" s="15">
        <v>50</v>
      </c>
      <c r="C23" s="15">
        <v>50</v>
      </c>
      <c r="D23" s="26" t="s">
        <v>80</v>
      </c>
      <c r="E23" s="15">
        <v>56.756756756756801</v>
      </c>
      <c r="F23" s="15">
        <v>56.756756756756801</v>
      </c>
      <c r="G23" s="26" t="s">
        <v>80</v>
      </c>
      <c r="H23" s="15">
        <v>40</v>
      </c>
      <c r="I23" s="15">
        <v>40</v>
      </c>
      <c r="J23" s="26" t="s">
        <v>80</v>
      </c>
      <c r="K23" s="20" t="s">
        <v>80</v>
      </c>
      <c r="L23" s="20" t="s">
        <v>80</v>
      </c>
      <c r="M23" s="26" t="s">
        <v>80</v>
      </c>
      <c r="N23" s="20" t="s">
        <v>80</v>
      </c>
      <c r="O23" s="20" t="s">
        <v>80</v>
      </c>
      <c r="P23" s="26" t="s">
        <v>80</v>
      </c>
    </row>
    <row r="24" spans="1:16">
      <c r="A24" s="9" t="s">
        <v>133</v>
      </c>
      <c r="B24" s="15">
        <v>46.590909090909101</v>
      </c>
      <c r="C24" s="15">
        <v>46.590909090909101</v>
      </c>
      <c r="D24" s="26" t="s">
        <v>80</v>
      </c>
      <c r="E24" s="15">
        <v>37.5</v>
      </c>
      <c r="F24" s="15">
        <v>37.5</v>
      </c>
      <c r="G24" s="26" t="s">
        <v>80</v>
      </c>
      <c r="H24" s="15">
        <v>56.521739130434803</v>
      </c>
      <c r="I24" s="15">
        <v>56.521739130434803</v>
      </c>
      <c r="J24" s="26" t="s">
        <v>80</v>
      </c>
      <c r="K24" s="20" t="s">
        <v>80</v>
      </c>
      <c r="L24" s="20" t="s">
        <v>80</v>
      </c>
      <c r="M24" s="26" t="s">
        <v>80</v>
      </c>
      <c r="N24" s="20" t="s">
        <v>80</v>
      </c>
      <c r="O24" s="20" t="s">
        <v>80</v>
      </c>
      <c r="P24" s="26" t="s">
        <v>80</v>
      </c>
    </row>
    <row r="25" spans="1:16">
      <c r="A25" s="9" t="s">
        <v>134</v>
      </c>
      <c r="B25" s="15">
        <v>44.565217391304301</v>
      </c>
      <c r="C25" s="15">
        <v>44.565217391304301</v>
      </c>
      <c r="D25" s="26" t="s">
        <v>80</v>
      </c>
      <c r="E25" s="15">
        <v>43.678160919540197</v>
      </c>
      <c r="F25" s="15">
        <v>43.678160919540197</v>
      </c>
      <c r="G25" s="26" t="s">
        <v>80</v>
      </c>
      <c r="H25" s="15">
        <v>45.652173913043498</v>
      </c>
      <c r="I25" s="15">
        <v>45.652173913043498</v>
      </c>
      <c r="J25" s="26" t="s">
        <v>80</v>
      </c>
      <c r="K25" s="20" t="s">
        <v>80</v>
      </c>
      <c r="L25" s="20" t="s">
        <v>80</v>
      </c>
      <c r="M25" s="26" t="s">
        <v>80</v>
      </c>
      <c r="N25" s="20" t="s">
        <v>80</v>
      </c>
      <c r="O25" s="20" t="s">
        <v>80</v>
      </c>
      <c r="P25" s="26" t="s">
        <v>80</v>
      </c>
    </row>
    <row r="26" spans="1:16">
      <c r="A26" s="9" t="s">
        <v>135</v>
      </c>
      <c r="B26" s="15">
        <v>49.0322580645161</v>
      </c>
      <c r="C26" s="15">
        <v>49.0322580645161</v>
      </c>
      <c r="D26" s="26" t="s">
        <v>80</v>
      </c>
      <c r="E26" s="15">
        <v>45</v>
      </c>
      <c r="F26" s="15">
        <v>45</v>
      </c>
      <c r="G26" s="26" t="s">
        <v>80</v>
      </c>
      <c r="H26" s="15">
        <v>56.716417910447802</v>
      </c>
      <c r="I26" s="15">
        <v>56.716417910447802</v>
      </c>
      <c r="J26" s="26" t="s">
        <v>80</v>
      </c>
      <c r="K26" s="20" t="s">
        <v>80</v>
      </c>
      <c r="L26" s="20" t="s">
        <v>80</v>
      </c>
      <c r="M26" s="26" t="s">
        <v>80</v>
      </c>
      <c r="N26" s="20" t="s">
        <v>80</v>
      </c>
      <c r="O26" s="20" t="s">
        <v>80</v>
      </c>
      <c r="P26" s="26" t="s">
        <v>80</v>
      </c>
    </row>
    <row r="27" spans="1:16">
      <c r="A27" s="9" t="s">
        <v>136</v>
      </c>
      <c r="B27" s="15">
        <v>32.456140350877199</v>
      </c>
      <c r="C27" s="15">
        <v>32.456140350877199</v>
      </c>
      <c r="D27" s="26" t="s">
        <v>80</v>
      </c>
      <c r="E27" s="15">
        <v>36.734693877551003</v>
      </c>
      <c r="F27" s="15">
        <v>36.734693877551003</v>
      </c>
      <c r="G27" s="26" t="s">
        <v>80</v>
      </c>
      <c r="H27" s="15">
        <v>29.824561403508799</v>
      </c>
      <c r="I27" s="15">
        <v>29.824561403508799</v>
      </c>
      <c r="J27" s="26" t="s">
        <v>80</v>
      </c>
      <c r="K27" s="20" t="s">
        <v>80</v>
      </c>
      <c r="L27" s="20" t="s">
        <v>80</v>
      </c>
      <c r="M27" s="26" t="s">
        <v>80</v>
      </c>
      <c r="N27" s="20" t="s">
        <v>80</v>
      </c>
      <c r="O27" s="20" t="s">
        <v>80</v>
      </c>
      <c r="P27" s="26" t="s">
        <v>80</v>
      </c>
    </row>
    <row r="28" spans="1:16" ht="21.9" customHeight="1">
      <c r="A28" s="22" t="s">
        <v>137</v>
      </c>
      <c r="B28" s="15">
        <v>35.981361847679501</v>
      </c>
      <c r="C28" s="20" t="s">
        <v>80</v>
      </c>
      <c r="D28" s="24">
        <v>35.981361847679501</v>
      </c>
      <c r="E28" s="15">
        <v>37.561479331335299</v>
      </c>
      <c r="F28" s="20" t="s">
        <v>80</v>
      </c>
      <c r="G28" s="24">
        <v>37.561479331335299</v>
      </c>
      <c r="H28" s="15">
        <v>35.576699892990099</v>
      </c>
      <c r="I28" s="20" t="s">
        <v>80</v>
      </c>
      <c r="J28" s="24">
        <v>35.576699892990099</v>
      </c>
      <c r="K28" s="20" t="s">
        <v>80</v>
      </c>
      <c r="L28" s="20" t="s">
        <v>80</v>
      </c>
      <c r="M28" s="26" t="s">
        <v>80</v>
      </c>
      <c r="N28" s="20" t="s">
        <v>80</v>
      </c>
      <c r="O28" s="20" t="s">
        <v>80</v>
      </c>
      <c r="P28" s="26" t="s">
        <v>80</v>
      </c>
    </row>
    <row r="29" spans="1:16">
      <c r="A29" s="9" t="s">
        <v>138</v>
      </c>
      <c r="B29" s="15">
        <v>36.774193548387103</v>
      </c>
      <c r="C29" s="20" t="s">
        <v>80</v>
      </c>
      <c r="D29" s="24">
        <v>36.774193548387103</v>
      </c>
      <c r="E29" s="15">
        <v>38.805970149253703</v>
      </c>
      <c r="F29" s="20" t="s">
        <v>80</v>
      </c>
      <c r="G29" s="24">
        <v>38.805970149253703</v>
      </c>
      <c r="H29" s="15">
        <v>37.662337662337698</v>
      </c>
      <c r="I29" s="20" t="s">
        <v>80</v>
      </c>
      <c r="J29" s="24">
        <v>37.662337662337698</v>
      </c>
      <c r="K29" s="20" t="s">
        <v>80</v>
      </c>
      <c r="L29" s="20" t="s">
        <v>80</v>
      </c>
      <c r="M29" s="26" t="s">
        <v>80</v>
      </c>
      <c r="N29" s="20" t="s">
        <v>80</v>
      </c>
      <c r="O29" s="20" t="s">
        <v>80</v>
      </c>
      <c r="P29" s="26" t="s">
        <v>80</v>
      </c>
    </row>
    <row r="30" spans="1:16">
      <c r="A30" s="9" t="s">
        <v>139</v>
      </c>
      <c r="B30" s="15">
        <v>58.044164037854898</v>
      </c>
      <c r="C30" s="20" t="s">
        <v>80</v>
      </c>
      <c r="D30" s="24">
        <v>58.044164037854898</v>
      </c>
      <c r="E30" s="15">
        <v>56.692913385826799</v>
      </c>
      <c r="F30" s="20" t="s">
        <v>80</v>
      </c>
      <c r="G30" s="24">
        <v>56.692913385826799</v>
      </c>
      <c r="H30" s="15">
        <v>60.451977401129902</v>
      </c>
      <c r="I30" s="20" t="s">
        <v>80</v>
      </c>
      <c r="J30" s="24">
        <v>60.451977401129902</v>
      </c>
      <c r="K30" s="20" t="s">
        <v>80</v>
      </c>
      <c r="L30" s="20" t="s">
        <v>80</v>
      </c>
      <c r="M30" s="26" t="s">
        <v>80</v>
      </c>
      <c r="N30" s="20" t="s">
        <v>80</v>
      </c>
      <c r="O30" s="20" t="s">
        <v>80</v>
      </c>
      <c r="P30" s="26" t="s">
        <v>80</v>
      </c>
    </row>
    <row r="31" spans="1:16">
      <c r="A31" s="9" t="s">
        <v>140</v>
      </c>
      <c r="B31" s="15">
        <v>36.480686695278997</v>
      </c>
      <c r="C31" s="20" t="s">
        <v>80</v>
      </c>
      <c r="D31" s="24">
        <v>36.480686695278997</v>
      </c>
      <c r="E31" s="15">
        <v>48.305084745762699</v>
      </c>
      <c r="F31" s="20" t="s">
        <v>80</v>
      </c>
      <c r="G31" s="24">
        <v>48.305084745762699</v>
      </c>
      <c r="H31" s="15">
        <v>26.213592233009699</v>
      </c>
      <c r="I31" s="20" t="s">
        <v>80</v>
      </c>
      <c r="J31" s="24">
        <v>26.213592233009699</v>
      </c>
      <c r="K31" s="20" t="s">
        <v>80</v>
      </c>
      <c r="L31" s="20" t="s">
        <v>80</v>
      </c>
      <c r="M31" s="26" t="s">
        <v>80</v>
      </c>
      <c r="N31" s="20" t="s">
        <v>80</v>
      </c>
      <c r="O31" s="20" t="s">
        <v>80</v>
      </c>
      <c r="P31" s="26" t="s">
        <v>80</v>
      </c>
    </row>
    <row r="32" spans="1:16">
      <c r="A32" s="9" t="s">
        <v>141</v>
      </c>
      <c r="B32" s="15">
        <v>47.249190938511298</v>
      </c>
      <c r="C32" s="20" t="s">
        <v>80</v>
      </c>
      <c r="D32" s="24">
        <v>47.249190938511298</v>
      </c>
      <c r="E32" s="15">
        <v>49.375</v>
      </c>
      <c r="F32" s="20" t="s">
        <v>80</v>
      </c>
      <c r="G32" s="24">
        <v>49.375</v>
      </c>
      <c r="H32" s="15">
        <v>46.808510638297903</v>
      </c>
      <c r="I32" s="20" t="s">
        <v>80</v>
      </c>
      <c r="J32" s="24">
        <v>46.808510638297903</v>
      </c>
      <c r="K32" s="20" t="s">
        <v>80</v>
      </c>
      <c r="L32" s="20" t="s">
        <v>80</v>
      </c>
      <c r="M32" s="26" t="s">
        <v>80</v>
      </c>
      <c r="N32" s="20" t="s">
        <v>80</v>
      </c>
      <c r="O32" s="20" t="s">
        <v>80</v>
      </c>
      <c r="P32" s="26" t="s">
        <v>80</v>
      </c>
    </row>
    <row r="33" spans="1:16">
      <c r="A33" s="9" t="s">
        <v>142</v>
      </c>
      <c r="B33" s="15">
        <v>36.218375499334201</v>
      </c>
      <c r="C33" s="20" t="s">
        <v>80</v>
      </c>
      <c r="D33" s="24">
        <v>36.218375499334201</v>
      </c>
      <c r="E33" s="15">
        <v>36.231884057971001</v>
      </c>
      <c r="F33" s="20" t="s">
        <v>80</v>
      </c>
      <c r="G33" s="24">
        <v>36.231884057971001</v>
      </c>
      <c r="H33" s="15">
        <v>37.027027027027003</v>
      </c>
      <c r="I33" s="20" t="s">
        <v>80</v>
      </c>
      <c r="J33" s="24">
        <v>37.027027027027003</v>
      </c>
      <c r="K33" s="15">
        <v>33.3333333333333</v>
      </c>
      <c r="L33" s="20" t="s">
        <v>80</v>
      </c>
      <c r="M33" s="24">
        <v>33.3333333333333</v>
      </c>
      <c r="N33" s="20" t="s">
        <v>80</v>
      </c>
      <c r="O33" s="20" t="s">
        <v>80</v>
      </c>
      <c r="P33" s="26" t="s">
        <v>80</v>
      </c>
    </row>
    <row r="34" spans="1:16">
      <c r="A34" s="9" t="s">
        <v>143</v>
      </c>
      <c r="B34" s="15">
        <v>24.755700325732899</v>
      </c>
      <c r="C34" s="20" t="s">
        <v>80</v>
      </c>
      <c r="D34" s="24">
        <v>24.755700325732899</v>
      </c>
      <c r="E34" s="15">
        <v>26.1904761904762</v>
      </c>
      <c r="F34" s="20" t="s">
        <v>80</v>
      </c>
      <c r="G34" s="24">
        <v>26.1904761904762</v>
      </c>
      <c r="H34" s="15">
        <v>24.2424242424242</v>
      </c>
      <c r="I34" s="20" t="s">
        <v>80</v>
      </c>
      <c r="J34" s="24">
        <v>24.2424242424242</v>
      </c>
      <c r="K34" s="20" t="s">
        <v>80</v>
      </c>
      <c r="L34" s="20" t="s">
        <v>80</v>
      </c>
      <c r="M34" s="26" t="s">
        <v>80</v>
      </c>
      <c r="N34" s="20" t="s">
        <v>80</v>
      </c>
      <c r="O34" s="20" t="s">
        <v>80</v>
      </c>
      <c r="P34" s="26" t="s">
        <v>80</v>
      </c>
    </row>
    <row r="35" spans="1:16">
      <c r="A35" s="9" t="s">
        <v>144</v>
      </c>
      <c r="B35" s="15">
        <v>44.839857651245602</v>
      </c>
      <c r="C35" s="20" t="s">
        <v>80</v>
      </c>
      <c r="D35" s="24">
        <v>44.839857651245602</v>
      </c>
      <c r="E35" s="15">
        <v>44.202898550724598</v>
      </c>
      <c r="F35" s="20" t="s">
        <v>80</v>
      </c>
      <c r="G35" s="24">
        <v>44.202898550724598</v>
      </c>
      <c r="H35" s="15">
        <v>46.715328467153299</v>
      </c>
      <c r="I35" s="20" t="s">
        <v>80</v>
      </c>
      <c r="J35" s="24">
        <v>46.715328467153299</v>
      </c>
      <c r="K35" s="20" t="s">
        <v>80</v>
      </c>
      <c r="L35" s="20" t="s">
        <v>80</v>
      </c>
      <c r="M35" s="26" t="s">
        <v>80</v>
      </c>
      <c r="N35" s="20" t="s">
        <v>80</v>
      </c>
      <c r="O35" s="20" t="s">
        <v>80</v>
      </c>
      <c r="P35" s="26" t="s">
        <v>80</v>
      </c>
    </row>
    <row r="36" spans="1:16">
      <c r="A36" s="11" t="s">
        <v>145</v>
      </c>
      <c r="B36" s="16">
        <v>38.8888888888889</v>
      </c>
      <c r="C36" s="28" t="s">
        <v>80</v>
      </c>
      <c r="D36" s="25">
        <v>38.8888888888889</v>
      </c>
      <c r="E36" s="28" t="s">
        <v>80</v>
      </c>
      <c r="F36" s="28" t="s">
        <v>80</v>
      </c>
      <c r="G36" s="29" t="s">
        <v>80</v>
      </c>
      <c r="H36" s="28" t="s">
        <v>80</v>
      </c>
      <c r="I36" s="28" t="s">
        <v>80</v>
      </c>
      <c r="J36" s="29" t="s">
        <v>80</v>
      </c>
      <c r="K36" s="28" t="s">
        <v>80</v>
      </c>
      <c r="L36" s="28" t="s">
        <v>80</v>
      </c>
      <c r="M36" s="29" t="s">
        <v>80</v>
      </c>
      <c r="N36" s="28" t="s">
        <v>80</v>
      </c>
      <c r="O36" s="28" t="s">
        <v>80</v>
      </c>
      <c r="P36" s="29" t="s">
        <v>80</v>
      </c>
    </row>
    <row r="37" spans="1:16" ht="30" customHeight="1">
      <c r="A37" t="s">
        <v>146</v>
      </c>
    </row>
    <row r="38" spans="1:16">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149</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55.725851211528997</v>
      </c>
      <c r="C3" s="15">
        <v>56.192314351641897</v>
      </c>
      <c r="D3" s="24">
        <v>55.340366229266202</v>
      </c>
      <c r="E3" s="15">
        <v>58.287925506768303</v>
      </c>
      <c r="F3" s="15">
        <v>57.762951059865301</v>
      </c>
      <c r="G3" s="24">
        <v>58.728293325616903</v>
      </c>
      <c r="H3" s="15">
        <v>54.056392009489301</v>
      </c>
      <c r="I3" s="15">
        <v>55.018406743081201</v>
      </c>
      <c r="J3" s="24">
        <v>53.247764033970903</v>
      </c>
      <c r="K3" s="15">
        <v>42.289584203360299</v>
      </c>
      <c r="L3" s="15">
        <v>49.2879056221525</v>
      </c>
      <c r="M3" s="24">
        <v>40.5249714382919</v>
      </c>
      <c r="N3" s="15">
        <v>40.512934773314001</v>
      </c>
      <c r="O3" s="15">
        <v>46.403437959203899</v>
      </c>
      <c r="P3" s="24">
        <v>36.252750605419202</v>
      </c>
    </row>
    <row r="4" spans="1:16" ht="21.9" customHeight="1">
      <c r="A4" s="22" t="s">
        <v>19</v>
      </c>
      <c r="B4" s="15">
        <v>57.930304624100501</v>
      </c>
      <c r="C4" s="15">
        <v>58.491190438491103</v>
      </c>
      <c r="D4" s="24">
        <v>57.470269040960503</v>
      </c>
      <c r="E4" s="15">
        <v>60.605844472218998</v>
      </c>
      <c r="F4" s="15">
        <v>60.459933526631197</v>
      </c>
      <c r="G4" s="24">
        <v>60.727804367430103</v>
      </c>
      <c r="H4" s="15">
        <v>56.244100895132597</v>
      </c>
      <c r="I4" s="15">
        <v>57.052030791361297</v>
      </c>
      <c r="J4" s="24">
        <v>55.579956381822598</v>
      </c>
      <c r="K4" s="15">
        <v>39.745528907687799</v>
      </c>
      <c r="L4" s="15">
        <v>47.613441314077697</v>
      </c>
      <c r="M4" s="24">
        <v>37.324038252922598</v>
      </c>
      <c r="N4" s="15">
        <v>41.176285564939803</v>
      </c>
      <c r="O4" s="15">
        <v>45.844998510845897</v>
      </c>
      <c r="P4" s="24">
        <v>37.519514060332298</v>
      </c>
    </row>
    <row r="5" spans="1:16" ht="21.9" customHeight="1">
      <c r="A5" s="22" t="s">
        <v>20</v>
      </c>
      <c r="B5" s="15">
        <v>54.312281132501901</v>
      </c>
      <c r="C5" s="15">
        <v>55.523337733850902</v>
      </c>
      <c r="D5" s="24">
        <v>53.305403913091197</v>
      </c>
      <c r="E5" s="15">
        <v>57.035232182109098</v>
      </c>
      <c r="F5" s="15">
        <v>57.919484915374902</v>
      </c>
      <c r="G5" s="24">
        <v>56.283456601638697</v>
      </c>
      <c r="H5" s="15">
        <v>52.403782846106601</v>
      </c>
      <c r="I5" s="15">
        <v>53.294248576545201</v>
      </c>
      <c r="J5" s="24">
        <v>51.674021785522399</v>
      </c>
      <c r="K5" s="15">
        <v>36.838778802804299</v>
      </c>
      <c r="L5" s="20" t="s">
        <v>80</v>
      </c>
      <c r="M5" s="26" t="s">
        <v>80</v>
      </c>
      <c r="N5" s="15">
        <v>43.524389529404203</v>
      </c>
      <c r="O5" s="15">
        <v>50.496652779837099</v>
      </c>
      <c r="P5" s="26" t="s">
        <v>80</v>
      </c>
    </row>
    <row r="6" spans="1:16" ht="21.9" customHeight="1">
      <c r="A6" s="22" t="s">
        <v>115</v>
      </c>
      <c r="B6" s="15">
        <v>55.523337733850902</v>
      </c>
      <c r="C6" s="15">
        <v>55.523337733850902</v>
      </c>
      <c r="D6" s="26" t="s">
        <v>80</v>
      </c>
      <c r="E6" s="15">
        <v>57.919484915374902</v>
      </c>
      <c r="F6" s="15">
        <v>57.919484915374902</v>
      </c>
      <c r="G6" s="26" t="s">
        <v>80</v>
      </c>
      <c r="H6" s="15">
        <v>53.294248576545201</v>
      </c>
      <c r="I6" s="15">
        <v>53.294248576545201</v>
      </c>
      <c r="J6" s="26" t="s">
        <v>80</v>
      </c>
      <c r="K6" s="20" t="s">
        <v>80</v>
      </c>
      <c r="L6" s="20" t="s">
        <v>80</v>
      </c>
      <c r="M6" s="26" t="s">
        <v>80</v>
      </c>
      <c r="N6" s="15">
        <v>50.496652779837099</v>
      </c>
      <c r="O6" s="15">
        <v>50.496652779837099</v>
      </c>
      <c r="P6" s="26" t="s">
        <v>80</v>
      </c>
    </row>
    <row r="7" spans="1:16">
      <c r="A7" s="9" t="s">
        <v>116</v>
      </c>
      <c r="B7" s="15">
        <v>76.229508196721298</v>
      </c>
      <c r="C7" s="15">
        <v>76.229508196721298</v>
      </c>
      <c r="D7" s="26" t="s">
        <v>80</v>
      </c>
      <c r="E7" s="15">
        <v>80.701754385964904</v>
      </c>
      <c r="F7" s="15">
        <v>80.701754385964904</v>
      </c>
      <c r="G7" s="26" t="s">
        <v>80</v>
      </c>
      <c r="H7" s="15">
        <v>72.307692307692307</v>
      </c>
      <c r="I7" s="15">
        <v>72.307692307692307</v>
      </c>
      <c r="J7" s="26" t="s">
        <v>80</v>
      </c>
      <c r="K7" s="20" t="s">
        <v>80</v>
      </c>
      <c r="L7" s="20" t="s">
        <v>80</v>
      </c>
      <c r="M7" s="26" t="s">
        <v>80</v>
      </c>
      <c r="N7" s="20" t="s">
        <v>80</v>
      </c>
      <c r="O7" s="20" t="s">
        <v>80</v>
      </c>
      <c r="P7" s="26" t="s">
        <v>80</v>
      </c>
    </row>
    <row r="8" spans="1:16">
      <c r="A8" s="9" t="s">
        <v>117</v>
      </c>
      <c r="B8" s="15">
        <v>74.576271186440707</v>
      </c>
      <c r="C8" s="15">
        <v>74.576271186440707</v>
      </c>
      <c r="D8" s="26" t="s">
        <v>80</v>
      </c>
      <c r="E8" s="15">
        <v>79.411764705882305</v>
      </c>
      <c r="F8" s="15">
        <v>79.411764705882305</v>
      </c>
      <c r="G8" s="26" t="s">
        <v>80</v>
      </c>
      <c r="H8" s="15">
        <v>68</v>
      </c>
      <c r="I8" s="15">
        <v>68</v>
      </c>
      <c r="J8" s="26" t="s">
        <v>80</v>
      </c>
      <c r="K8" s="20" t="s">
        <v>80</v>
      </c>
      <c r="L8" s="20" t="s">
        <v>80</v>
      </c>
      <c r="M8" s="26" t="s">
        <v>80</v>
      </c>
      <c r="N8" s="20" t="s">
        <v>80</v>
      </c>
      <c r="O8" s="20" t="s">
        <v>80</v>
      </c>
      <c r="P8" s="26" t="s">
        <v>80</v>
      </c>
    </row>
    <row r="9" spans="1:16">
      <c r="A9" s="9" t="s">
        <v>118</v>
      </c>
      <c r="B9" s="15">
        <v>42.168674698795201</v>
      </c>
      <c r="C9" s="15">
        <v>42.168674698795201</v>
      </c>
      <c r="D9" s="26" t="s">
        <v>80</v>
      </c>
      <c r="E9" s="15">
        <v>44.4444444444444</v>
      </c>
      <c r="F9" s="15">
        <v>44.4444444444444</v>
      </c>
      <c r="G9" s="26" t="s">
        <v>80</v>
      </c>
      <c r="H9" s="15">
        <v>40.540540540540498</v>
      </c>
      <c r="I9" s="15">
        <v>40.540540540540498</v>
      </c>
      <c r="J9" s="26" t="s">
        <v>80</v>
      </c>
      <c r="K9" s="20" t="s">
        <v>80</v>
      </c>
      <c r="L9" s="20" t="s">
        <v>80</v>
      </c>
      <c r="M9" s="26" t="s">
        <v>80</v>
      </c>
      <c r="N9" s="20" t="s">
        <v>80</v>
      </c>
      <c r="O9" s="20" t="s">
        <v>80</v>
      </c>
      <c r="P9" s="26" t="s">
        <v>80</v>
      </c>
    </row>
    <row r="10" spans="1:16">
      <c r="A10" s="9" t="s">
        <v>119</v>
      </c>
      <c r="B10" s="15">
        <v>54.4444444444444</v>
      </c>
      <c r="C10" s="15">
        <v>54.4444444444444</v>
      </c>
      <c r="D10" s="26" t="s">
        <v>80</v>
      </c>
      <c r="E10" s="15">
        <v>56.25</v>
      </c>
      <c r="F10" s="15">
        <v>56.25</v>
      </c>
      <c r="G10" s="26" t="s">
        <v>80</v>
      </c>
      <c r="H10" s="15">
        <v>53.658536585365901</v>
      </c>
      <c r="I10" s="15">
        <v>53.658536585365901</v>
      </c>
      <c r="J10" s="26" t="s">
        <v>80</v>
      </c>
      <c r="K10" s="20" t="s">
        <v>80</v>
      </c>
      <c r="L10" s="20" t="s">
        <v>80</v>
      </c>
      <c r="M10" s="26" t="s">
        <v>80</v>
      </c>
      <c r="N10" s="20" t="s">
        <v>80</v>
      </c>
      <c r="O10" s="20" t="s">
        <v>80</v>
      </c>
      <c r="P10" s="26" t="s">
        <v>80</v>
      </c>
    </row>
    <row r="11" spans="1:16">
      <c r="A11" s="9" t="s">
        <v>120</v>
      </c>
      <c r="B11" s="15">
        <v>58.928571428571402</v>
      </c>
      <c r="C11" s="15">
        <v>58.928571428571402</v>
      </c>
      <c r="D11" s="26" t="s">
        <v>80</v>
      </c>
      <c r="E11" s="15">
        <v>75</v>
      </c>
      <c r="F11" s="15">
        <v>75</v>
      </c>
      <c r="G11" s="26" t="s">
        <v>80</v>
      </c>
      <c r="H11" s="15">
        <v>28.571428571428601</v>
      </c>
      <c r="I11" s="15">
        <v>28.571428571428601</v>
      </c>
      <c r="J11" s="26" t="s">
        <v>80</v>
      </c>
      <c r="K11" s="20" t="s">
        <v>80</v>
      </c>
      <c r="L11" s="20" t="s">
        <v>80</v>
      </c>
      <c r="M11" s="26" t="s">
        <v>80</v>
      </c>
      <c r="N11" s="20" t="s">
        <v>80</v>
      </c>
      <c r="O11" s="20" t="s">
        <v>80</v>
      </c>
      <c r="P11" s="26" t="s">
        <v>80</v>
      </c>
    </row>
    <row r="12" spans="1:16">
      <c r="A12" s="9" t="s">
        <v>121</v>
      </c>
      <c r="B12" s="15">
        <v>63.8888888888889</v>
      </c>
      <c r="C12" s="15">
        <v>63.8888888888889</v>
      </c>
      <c r="D12" s="26" t="s">
        <v>80</v>
      </c>
      <c r="E12" s="15">
        <v>80</v>
      </c>
      <c r="F12" s="15">
        <v>80</v>
      </c>
      <c r="G12" s="26" t="s">
        <v>80</v>
      </c>
      <c r="H12" s="15">
        <v>52.380952380952401</v>
      </c>
      <c r="I12" s="15">
        <v>52.380952380952401</v>
      </c>
      <c r="J12" s="26" t="s">
        <v>80</v>
      </c>
      <c r="K12" s="20" t="s">
        <v>80</v>
      </c>
      <c r="L12" s="20" t="s">
        <v>80</v>
      </c>
      <c r="M12" s="26" t="s">
        <v>80</v>
      </c>
      <c r="N12" s="20" t="s">
        <v>80</v>
      </c>
      <c r="O12" s="20" t="s">
        <v>80</v>
      </c>
      <c r="P12" s="26" t="s">
        <v>80</v>
      </c>
    </row>
    <row r="13" spans="1:16">
      <c r="A13" s="9" t="s">
        <v>122</v>
      </c>
      <c r="B13" s="15">
        <v>70.873786407767</v>
      </c>
      <c r="C13" s="15">
        <v>70.873786407767</v>
      </c>
      <c r="D13" s="26" t="s">
        <v>80</v>
      </c>
      <c r="E13" s="15">
        <v>72.727272727272705</v>
      </c>
      <c r="F13" s="15">
        <v>72.727272727272705</v>
      </c>
      <c r="G13" s="26" t="s">
        <v>80</v>
      </c>
      <c r="H13" s="15">
        <v>68.085106382978694</v>
      </c>
      <c r="I13" s="15">
        <v>68.085106382978694</v>
      </c>
      <c r="J13" s="26" t="s">
        <v>80</v>
      </c>
      <c r="K13" s="20" t="s">
        <v>80</v>
      </c>
      <c r="L13" s="20" t="s">
        <v>80</v>
      </c>
      <c r="M13" s="26" t="s">
        <v>80</v>
      </c>
      <c r="N13" s="20" t="s">
        <v>80</v>
      </c>
      <c r="O13" s="20" t="s">
        <v>80</v>
      </c>
      <c r="P13" s="26" t="s">
        <v>80</v>
      </c>
    </row>
    <row r="14" spans="1:16">
      <c r="A14" s="9" t="s">
        <v>123</v>
      </c>
      <c r="B14" s="15">
        <v>72.839506172839506</v>
      </c>
      <c r="C14" s="15">
        <v>72.839506172839506</v>
      </c>
      <c r="D14" s="26" t="s">
        <v>80</v>
      </c>
      <c r="E14" s="15">
        <v>71.052631578947398</v>
      </c>
      <c r="F14" s="15">
        <v>71.052631578947398</v>
      </c>
      <c r="G14" s="26" t="s">
        <v>80</v>
      </c>
      <c r="H14" s="15">
        <v>75.609756097561004</v>
      </c>
      <c r="I14" s="15">
        <v>75.609756097561004</v>
      </c>
      <c r="J14" s="26" t="s">
        <v>80</v>
      </c>
      <c r="K14" s="20" t="s">
        <v>80</v>
      </c>
      <c r="L14" s="20" t="s">
        <v>80</v>
      </c>
      <c r="M14" s="26" t="s">
        <v>80</v>
      </c>
      <c r="N14" s="20" t="s">
        <v>80</v>
      </c>
      <c r="O14" s="20" t="s">
        <v>80</v>
      </c>
      <c r="P14" s="26" t="s">
        <v>80</v>
      </c>
    </row>
    <row r="15" spans="1:16">
      <c r="A15" s="9" t="s">
        <v>124</v>
      </c>
      <c r="B15" s="15">
        <v>44.067796610169502</v>
      </c>
      <c r="C15" s="15">
        <v>44.067796610169502</v>
      </c>
      <c r="D15" s="26" t="s">
        <v>80</v>
      </c>
      <c r="E15" s="15">
        <v>37.5</v>
      </c>
      <c r="F15" s="15">
        <v>37.5</v>
      </c>
      <c r="G15" s="26" t="s">
        <v>80</v>
      </c>
      <c r="H15" s="15">
        <v>53.846153846153797</v>
      </c>
      <c r="I15" s="15">
        <v>53.846153846153797</v>
      </c>
      <c r="J15" s="26" t="s">
        <v>80</v>
      </c>
      <c r="K15" s="20" t="s">
        <v>80</v>
      </c>
      <c r="L15" s="20" t="s">
        <v>80</v>
      </c>
      <c r="M15" s="26" t="s">
        <v>80</v>
      </c>
      <c r="N15" s="20" t="s">
        <v>80</v>
      </c>
      <c r="O15" s="20" t="s">
        <v>80</v>
      </c>
      <c r="P15" s="26" t="s">
        <v>80</v>
      </c>
    </row>
    <row r="16" spans="1:16">
      <c r="A16" s="9" t="s">
        <v>125</v>
      </c>
      <c r="B16" s="15">
        <v>75.438596491228097</v>
      </c>
      <c r="C16" s="15">
        <v>75.438596491228097</v>
      </c>
      <c r="D16" s="26" t="s">
        <v>80</v>
      </c>
      <c r="E16" s="15">
        <v>76.923076923076906</v>
      </c>
      <c r="F16" s="15">
        <v>76.923076923076906</v>
      </c>
      <c r="G16" s="26" t="s">
        <v>80</v>
      </c>
      <c r="H16" s="15">
        <v>74.074074074074105</v>
      </c>
      <c r="I16" s="15">
        <v>74.074074074074105</v>
      </c>
      <c r="J16" s="26" t="s">
        <v>80</v>
      </c>
      <c r="K16" s="20" t="s">
        <v>80</v>
      </c>
      <c r="L16" s="20" t="s">
        <v>80</v>
      </c>
      <c r="M16" s="26" t="s">
        <v>80</v>
      </c>
      <c r="N16" s="20" t="s">
        <v>80</v>
      </c>
      <c r="O16" s="20" t="s">
        <v>80</v>
      </c>
      <c r="P16" s="26" t="s">
        <v>80</v>
      </c>
    </row>
    <row r="17" spans="1:16">
      <c r="A17" s="9" t="s">
        <v>126</v>
      </c>
      <c r="B17" s="15">
        <v>70.731707317073202</v>
      </c>
      <c r="C17" s="15">
        <v>70.731707317073202</v>
      </c>
      <c r="D17" s="26" t="s">
        <v>80</v>
      </c>
      <c r="E17" s="15">
        <v>60.526315789473699</v>
      </c>
      <c r="F17" s="15">
        <v>60.526315789473699</v>
      </c>
      <c r="G17" s="26" t="s">
        <v>80</v>
      </c>
      <c r="H17" s="15">
        <v>81.578947368421098</v>
      </c>
      <c r="I17" s="15">
        <v>81.578947368421098</v>
      </c>
      <c r="J17" s="26" t="s">
        <v>80</v>
      </c>
      <c r="K17" s="20" t="s">
        <v>80</v>
      </c>
      <c r="L17" s="20" t="s">
        <v>80</v>
      </c>
      <c r="M17" s="26" t="s">
        <v>80</v>
      </c>
      <c r="N17" s="20" t="s">
        <v>80</v>
      </c>
      <c r="O17" s="20" t="s">
        <v>80</v>
      </c>
      <c r="P17" s="26" t="s">
        <v>80</v>
      </c>
    </row>
    <row r="18" spans="1:16">
      <c r="A18" s="9" t="s">
        <v>127</v>
      </c>
      <c r="B18" s="15">
        <v>58.895705521472401</v>
      </c>
      <c r="C18" s="15">
        <v>58.895705521472401</v>
      </c>
      <c r="D18" s="26" t="s">
        <v>80</v>
      </c>
      <c r="E18" s="15">
        <v>62.5</v>
      </c>
      <c r="F18" s="15">
        <v>62.5</v>
      </c>
      <c r="G18" s="26" t="s">
        <v>80</v>
      </c>
      <c r="H18" s="15">
        <v>52.631578947368403</v>
      </c>
      <c r="I18" s="15">
        <v>52.631578947368403</v>
      </c>
      <c r="J18" s="26" t="s">
        <v>80</v>
      </c>
      <c r="K18" s="20" t="s">
        <v>80</v>
      </c>
      <c r="L18" s="20" t="s">
        <v>80</v>
      </c>
      <c r="M18" s="26" t="s">
        <v>80</v>
      </c>
      <c r="N18" s="20" t="s">
        <v>80</v>
      </c>
      <c r="O18" s="20" t="s">
        <v>80</v>
      </c>
      <c r="P18" s="26" t="s">
        <v>80</v>
      </c>
    </row>
    <row r="19" spans="1:16">
      <c r="A19" s="9" t="s">
        <v>128</v>
      </c>
      <c r="B19" s="15">
        <v>57.954545454545503</v>
      </c>
      <c r="C19" s="15">
        <v>57.954545454545503</v>
      </c>
      <c r="D19" s="26" t="s">
        <v>80</v>
      </c>
      <c r="E19" s="15">
        <v>62.2222222222222</v>
      </c>
      <c r="F19" s="15">
        <v>62.2222222222222</v>
      </c>
      <c r="G19" s="26" t="s">
        <v>80</v>
      </c>
      <c r="H19" s="15">
        <v>53.488372093023301</v>
      </c>
      <c r="I19" s="15">
        <v>53.488372093023301</v>
      </c>
      <c r="J19" s="26" t="s">
        <v>80</v>
      </c>
      <c r="K19" s="20" t="s">
        <v>80</v>
      </c>
      <c r="L19" s="20" t="s">
        <v>80</v>
      </c>
      <c r="M19" s="26" t="s">
        <v>80</v>
      </c>
      <c r="N19" s="20" t="s">
        <v>80</v>
      </c>
      <c r="O19" s="20" t="s">
        <v>80</v>
      </c>
      <c r="P19" s="26" t="s">
        <v>80</v>
      </c>
    </row>
    <row r="20" spans="1:16">
      <c r="A20" s="9" t="s">
        <v>129</v>
      </c>
      <c r="B20" s="15">
        <v>37.837837837837803</v>
      </c>
      <c r="C20" s="15">
        <v>37.837837837837803</v>
      </c>
      <c r="D20" s="26" t="s">
        <v>80</v>
      </c>
      <c r="E20" s="15">
        <v>39.024390243902403</v>
      </c>
      <c r="F20" s="15">
        <v>39.024390243902403</v>
      </c>
      <c r="G20" s="26" t="s">
        <v>80</v>
      </c>
      <c r="H20" s="15">
        <v>38.709677419354797</v>
      </c>
      <c r="I20" s="15">
        <v>38.709677419354797</v>
      </c>
      <c r="J20" s="26" t="s">
        <v>80</v>
      </c>
      <c r="K20" s="20" t="s">
        <v>80</v>
      </c>
      <c r="L20" s="20" t="s">
        <v>80</v>
      </c>
      <c r="M20" s="26" t="s">
        <v>80</v>
      </c>
      <c r="N20" s="20" t="s">
        <v>80</v>
      </c>
      <c r="O20" s="20" t="s">
        <v>80</v>
      </c>
      <c r="P20" s="26" t="s">
        <v>80</v>
      </c>
    </row>
    <row r="21" spans="1:16">
      <c r="A21" s="9" t="s">
        <v>130</v>
      </c>
      <c r="B21" s="15">
        <v>36.1111111111111</v>
      </c>
      <c r="C21" s="15">
        <v>36.1111111111111</v>
      </c>
      <c r="D21" s="26" t="s">
        <v>80</v>
      </c>
      <c r="E21" s="15">
        <v>37.037037037037003</v>
      </c>
      <c r="F21" s="15">
        <v>37.037037037037003</v>
      </c>
      <c r="G21" s="26" t="s">
        <v>80</v>
      </c>
      <c r="H21" s="15">
        <v>36.585365853658502</v>
      </c>
      <c r="I21" s="15">
        <v>36.585365853658502</v>
      </c>
      <c r="J21" s="26" t="s">
        <v>80</v>
      </c>
      <c r="K21" s="20" t="s">
        <v>80</v>
      </c>
      <c r="L21" s="20" t="s">
        <v>80</v>
      </c>
      <c r="M21" s="26" t="s">
        <v>80</v>
      </c>
      <c r="N21" s="20" t="s">
        <v>80</v>
      </c>
      <c r="O21" s="20" t="s">
        <v>80</v>
      </c>
      <c r="P21" s="26" t="s">
        <v>80</v>
      </c>
    </row>
    <row r="22" spans="1:16">
      <c r="A22" s="9" t="s">
        <v>131</v>
      </c>
      <c r="B22" s="15">
        <v>49.180327868852501</v>
      </c>
      <c r="C22" s="15">
        <v>49.180327868852501</v>
      </c>
      <c r="D22" s="26" t="s">
        <v>80</v>
      </c>
      <c r="E22" s="15">
        <v>65.384615384615401</v>
      </c>
      <c r="F22" s="15">
        <v>65.384615384615401</v>
      </c>
      <c r="G22" s="26" t="s">
        <v>80</v>
      </c>
      <c r="H22" s="15">
        <v>35.9375</v>
      </c>
      <c r="I22" s="15">
        <v>35.9375</v>
      </c>
      <c r="J22" s="26" t="s">
        <v>80</v>
      </c>
      <c r="K22" s="20" t="s">
        <v>80</v>
      </c>
      <c r="L22" s="20" t="s">
        <v>80</v>
      </c>
      <c r="M22" s="26" t="s">
        <v>80</v>
      </c>
      <c r="N22" s="20" t="s">
        <v>80</v>
      </c>
      <c r="O22" s="20" t="s">
        <v>80</v>
      </c>
      <c r="P22" s="26" t="s">
        <v>80</v>
      </c>
    </row>
    <row r="23" spans="1:16">
      <c r="A23" s="9" t="s">
        <v>132</v>
      </c>
      <c r="B23" s="15">
        <v>83.783783783783804</v>
      </c>
      <c r="C23" s="15">
        <v>83.783783783783804</v>
      </c>
      <c r="D23" s="26" t="s">
        <v>80</v>
      </c>
      <c r="E23" s="15">
        <v>91.891891891891902</v>
      </c>
      <c r="F23" s="15">
        <v>91.891891891891902</v>
      </c>
      <c r="G23" s="26" t="s">
        <v>80</v>
      </c>
      <c r="H23" s="15">
        <v>74.285714285714306</v>
      </c>
      <c r="I23" s="15">
        <v>74.285714285714306</v>
      </c>
      <c r="J23" s="26" t="s">
        <v>80</v>
      </c>
      <c r="K23" s="20" t="s">
        <v>80</v>
      </c>
      <c r="L23" s="20" t="s">
        <v>80</v>
      </c>
      <c r="M23" s="26" t="s">
        <v>80</v>
      </c>
      <c r="N23" s="20" t="s">
        <v>80</v>
      </c>
      <c r="O23" s="20" t="s">
        <v>80</v>
      </c>
      <c r="P23" s="26" t="s">
        <v>80</v>
      </c>
    </row>
    <row r="24" spans="1:16">
      <c r="A24" s="9" t="s">
        <v>133</v>
      </c>
      <c r="B24" s="15">
        <v>53.409090909090899</v>
      </c>
      <c r="C24" s="15">
        <v>53.409090909090899</v>
      </c>
      <c r="D24" s="26" t="s">
        <v>80</v>
      </c>
      <c r="E24" s="15">
        <v>50</v>
      </c>
      <c r="F24" s="15">
        <v>50</v>
      </c>
      <c r="G24" s="26" t="s">
        <v>80</v>
      </c>
      <c r="H24" s="15">
        <v>58.695652173912997</v>
      </c>
      <c r="I24" s="15">
        <v>58.695652173912997</v>
      </c>
      <c r="J24" s="26" t="s">
        <v>80</v>
      </c>
      <c r="K24" s="20" t="s">
        <v>80</v>
      </c>
      <c r="L24" s="20" t="s">
        <v>80</v>
      </c>
      <c r="M24" s="26" t="s">
        <v>80</v>
      </c>
      <c r="N24" s="20" t="s">
        <v>80</v>
      </c>
      <c r="O24" s="20" t="s">
        <v>80</v>
      </c>
      <c r="P24" s="26" t="s">
        <v>80</v>
      </c>
    </row>
    <row r="25" spans="1:16">
      <c r="A25" s="9" t="s">
        <v>134</v>
      </c>
      <c r="B25" s="15">
        <v>67.391304347826093</v>
      </c>
      <c r="C25" s="15">
        <v>67.391304347826093</v>
      </c>
      <c r="D25" s="26" t="s">
        <v>80</v>
      </c>
      <c r="E25" s="15">
        <v>66.6666666666667</v>
      </c>
      <c r="F25" s="15">
        <v>66.6666666666667</v>
      </c>
      <c r="G25" s="26" t="s">
        <v>80</v>
      </c>
      <c r="H25" s="15">
        <v>68.478260869565204</v>
      </c>
      <c r="I25" s="15">
        <v>68.478260869565204</v>
      </c>
      <c r="J25" s="26" t="s">
        <v>80</v>
      </c>
      <c r="K25" s="20" t="s">
        <v>80</v>
      </c>
      <c r="L25" s="20" t="s">
        <v>80</v>
      </c>
      <c r="M25" s="26" t="s">
        <v>80</v>
      </c>
      <c r="N25" s="20" t="s">
        <v>80</v>
      </c>
      <c r="O25" s="20" t="s">
        <v>80</v>
      </c>
      <c r="P25" s="26" t="s">
        <v>80</v>
      </c>
    </row>
    <row r="26" spans="1:16">
      <c r="A26" s="9" t="s">
        <v>135</v>
      </c>
      <c r="B26" s="15">
        <v>63.870967741935502</v>
      </c>
      <c r="C26" s="15">
        <v>63.870967741935502</v>
      </c>
      <c r="D26" s="26" t="s">
        <v>80</v>
      </c>
      <c r="E26" s="15">
        <v>66.25</v>
      </c>
      <c r="F26" s="15">
        <v>66.25</v>
      </c>
      <c r="G26" s="26" t="s">
        <v>80</v>
      </c>
      <c r="H26" s="15">
        <v>59.701492537313399</v>
      </c>
      <c r="I26" s="15">
        <v>59.701492537313399</v>
      </c>
      <c r="J26" s="26" t="s">
        <v>80</v>
      </c>
      <c r="K26" s="20" t="s">
        <v>80</v>
      </c>
      <c r="L26" s="20" t="s">
        <v>80</v>
      </c>
      <c r="M26" s="26" t="s">
        <v>80</v>
      </c>
      <c r="N26" s="15">
        <v>75</v>
      </c>
      <c r="O26" s="15">
        <v>75</v>
      </c>
      <c r="P26" s="26" t="s">
        <v>80</v>
      </c>
    </row>
    <row r="27" spans="1:16">
      <c r="A27" s="9" t="s">
        <v>136</v>
      </c>
      <c r="B27" s="15">
        <v>60.526315789473699</v>
      </c>
      <c r="C27" s="15">
        <v>60.526315789473699</v>
      </c>
      <c r="D27" s="26" t="s">
        <v>80</v>
      </c>
      <c r="E27" s="15">
        <v>75.510204081632693</v>
      </c>
      <c r="F27" s="15">
        <v>75.510204081632693</v>
      </c>
      <c r="G27" s="26" t="s">
        <v>80</v>
      </c>
      <c r="H27" s="15">
        <v>52.631578947368403</v>
      </c>
      <c r="I27" s="15">
        <v>52.631578947368403</v>
      </c>
      <c r="J27" s="26" t="s">
        <v>80</v>
      </c>
      <c r="K27" s="20" t="s">
        <v>80</v>
      </c>
      <c r="L27" s="20" t="s">
        <v>80</v>
      </c>
      <c r="M27" s="26" t="s">
        <v>80</v>
      </c>
      <c r="N27" s="20" t="s">
        <v>80</v>
      </c>
      <c r="O27" s="20" t="s">
        <v>80</v>
      </c>
      <c r="P27" s="26" t="s">
        <v>80</v>
      </c>
    </row>
    <row r="28" spans="1:16" ht="21.9" customHeight="1">
      <c r="A28" s="22" t="s">
        <v>137</v>
      </c>
      <c r="B28" s="15">
        <v>53.305403913091197</v>
      </c>
      <c r="C28" s="20" t="s">
        <v>80</v>
      </c>
      <c r="D28" s="24">
        <v>53.305403913091197</v>
      </c>
      <c r="E28" s="15">
        <v>56.283456601638697</v>
      </c>
      <c r="F28" s="20" t="s">
        <v>80</v>
      </c>
      <c r="G28" s="24">
        <v>56.283456601638697</v>
      </c>
      <c r="H28" s="15">
        <v>51.674021785522399</v>
      </c>
      <c r="I28" s="20" t="s">
        <v>80</v>
      </c>
      <c r="J28" s="24">
        <v>51.674021785522399</v>
      </c>
      <c r="K28" s="20" t="s">
        <v>80</v>
      </c>
      <c r="L28" s="20" t="s">
        <v>80</v>
      </c>
      <c r="M28" s="26" t="s">
        <v>80</v>
      </c>
      <c r="N28" s="20" t="s">
        <v>80</v>
      </c>
      <c r="O28" s="20" t="s">
        <v>80</v>
      </c>
      <c r="P28" s="26" t="s">
        <v>80</v>
      </c>
    </row>
    <row r="29" spans="1:16">
      <c r="A29" s="9" t="s">
        <v>138</v>
      </c>
      <c r="B29" s="15">
        <v>48.387096774193502</v>
      </c>
      <c r="C29" s="20" t="s">
        <v>80</v>
      </c>
      <c r="D29" s="24">
        <v>48.387096774193502</v>
      </c>
      <c r="E29" s="15">
        <v>53.731343283582099</v>
      </c>
      <c r="F29" s="20" t="s">
        <v>80</v>
      </c>
      <c r="G29" s="24">
        <v>53.731343283582099</v>
      </c>
      <c r="H29" s="15">
        <v>45.454545454545503</v>
      </c>
      <c r="I29" s="20" t="s">
        <v>80</v>
      </c>
      <c r="J29" s="24">
        <v>45.454545454545503</v>
      </c>
      <c r="K29" s="20" t="s">
        <v>80</v>
      </c>
      <c r="L29" s="20" t="s">
        <v>80</v>
      </c>
      <c r="M29" s="26" t="s">
        <v>80</v>
      </c>
      <c r="N29" s="20" t="s">
        <v>80</v>
      </c>
      <c r="O29" s="20" t="s">
        <v>80</v>
      </c>
      <c r="P29" s="26" t="s">
        <v>80</v>
      </c>
    </row>
    <row r="30" spans="1:16">
      <c r="A30" s="9" t="s">
        <v>139</v>
      </c>
      <c r="B30" s="15">
        <v>79.179810725552102</v>
      </c>
      <c r="C30" s="20" t="s">
        <v>80</v>
      </c>
      <c r="D30" s="24">
        <v>79.179810725552102</v>
      </c>
      <c r="E30" s="15">
        <v>81.1023622047244</v>
      </c>
      <c r="F30" s="20" t="s">
        <v>80</v>
      </c>
      <c r="G30" s="24">
        <v>81.1023622047244</v>
      </c>
      <c r="H30" s="15">
        <v>78.531073446327696</v>
      </c>
      <c r="I30" s="20" t="s">
        <v>80</v>
      </c>
      <c r="J30" s="24">
        <v>78.531073446327696</v>
      </c>
      <c r="K30" s="20" t="s">
        <v>80</v>
      </c>
      <c r="L30" s="20" t="s">
        <v>80</v>
      </c>
      <c r="M30" s="26" t="s">
        <v>80</v>
      </c>
      <c r="N30" s="15">
        <v>83.3333333333333</v>
      </c>
      <c r="O30" s="20" t="s">
        <v>80</v>
      </c>
      <c r="P30" s="24">
        <v>83.3333333333333</v>
      </c>
    </row>
    <row r="31" spans="1:16">
      <c r="A31" s="9" t="s">
        <v>140</v>
      </c>
      <c r="B31" s="15">
        <v>37.7682403433476</v>
      </c>
      <c r="C31" s="20" t="s">
        <v>80</v>
      </c>
      <c r="D31" s="24">
        <v>37.7682403433476</v>
      </c>
      <c r="E31" s="15">
        <v>43.220338983050901</v>
      </c>
      <c r="F31" s="20" t="s">
        <v>80</v>
      </c>
      <c r="G31" s="24">
        <v>43.220338983050901</v>
      </c>
      <c r="H31" s="15">
        <v>33.009708737864102</v>
      </c>
      <c r="I31" s="20" t="s">
        <v>80</v>
      </c>
      <c r="J31" s="24">
        <v>33.009708737864102</v>
      </c>
      <c r="K31" s="20" t="s">
        <v>80</v>
      </c>
      <c r="L31" s="20" t="s">
        <v>80</v>
      </c>
      <c r="M31" s="26" t="s">
        <v>80</v>
      </c>
      <c r="N31" s="20" t="s">
        <v>80</v>
      </c>
      <c r="O31" s="20" t="s">
        <v>80</v>
      </c>
      <c r="P31" s="26" t="s">
        <v>80</v>
      </c>
    </row>
    <row r="32" spans="1:16">
      <c r="A32" s="9" t="s">
        <v>141</v>
      </c>
      <c r="B32" s="15">
        <v>53.721682847896403</v>
      </c>
      <c r="C32" s="20" t="s">
        <v>80</v>
      </c>
      <c r="D32" s="24">
        <v>53.721682847896403</v>
      </c>
      <c r="E32" s="15">
        <v>54.375</v>
      </c>
      <c r="F32" s="20" t="s">
        <v>80</v>
      </c>
      <c r="G32" s="24">
        <v>54.375</v>
      </c>
      <c r="H32" s="15">
        <v>53.191489361702097</v>
      </c>
      <c r="I32" s="20" t="s">
        <v>80</v>
      </c>
      <c r="J32" s="24">
        <v>53.191489361702097</v>
      </c>
      <c r="K32" s="20" t="s">
        <v>80</v>
      </c>
      <c r="L32" s="20" t="s">
        <v>80</v>
      </c>
      <c r="M32" s="26" t="s">
        <v>80</v>
      </c>
      <c r="N32" s="20" t="s">
        <v>80</v>
      </c>
      <c r="O32" s="20" t="s">
        <v>80</v>
      </c>
      <c r="P32" s="26" t="s">
        <v>80</v>
      </c>
    </row>
    <row r="33" spans="1:16">
      <c r="A33" s="9" t="s">
        <v>142</v>
      </c>
      <c r="B33" s="15">
        <v>61.517976031957403</v>
      </c>
      <c r="C33" s="20" t="s">
        <v>80</v>
      </c>
      <c r="D33" s="24">
        <v>61.517976031957403</v>
      </c>
      <c r="E33" s="15">
        <v>64.347826086956502</v>
      </c>
      <c r="F33" s="20" t="s">
        <v>80</v>
      </c>
      <c r="G33" s="24">
        <v>64.347826086956502</v>
      </c>
      <c r="H33" s="15">
        <v>61.6216216216216</v>
      </c>
      <c r="I33" s="20" t="s">
        <v>80</v>
      </c>
      <c r="J33" s="24">
        <v>61.6216216216216</v>
      </c>
      <c r="K33" s="15">
        <v>42.857142857142897</v>
      </c>
      <c r="L33" s="20" t="s">
        <v>80</v>
      </c>
      <c r="M33" s="24">
        <v>42.857142857142897</v>
      </c>
      <c r="N33" s="20" t="s">
        <v>80</v>
      </c>
      <c r="O33" s="20" t="s">
        <v>80</v>
      </c>
      <c r="P33" s="26" t="s">
        <v>80</v>
      </c>
    </row>
    <row r="34" spans="1:16">
      <c r="A34" s="9" t="s">
        <v>143</v>
      </c>
      <c r="B34" s="15">
        <v>34.853420195439703</v>
      </c>
      <c r="C34" s="20" t="s">
        <v>80</v>
      </c>
      <c r="D34" s="24">
        <v>34.853420195439703</v>
      </c>
      <c r="E34" s="15">
        <v>39.285714285714299</v>
      </c>
      <c r="F34" s="20" t="s">
        <v>80</v>
      </c>
      <c r="G34" s="24">
        <v>39.285714285714299</v>
      </c>
      <c r="H34" s="15">
        <v>30.303030303030301</v>
      </c>
      <c r="I34" s="20" t="s">
        <v>80</v>
      </c>
      <c r="J34" s="24">
        <v>30.303030303030301</v>
      </c>
      <c r="K34" s="20" t="s">
        <v>80</v>
      </c>
      <c r="L34" s="20" t="s">
        <v>80</v>
      </c>
      <c r="M34" s="26" t="s">
        <v>80</v>
      </c>
      <c r="N34" s="20" t="s">
        <v>80</v>
      </c>
      <c r="O34" s="20" t="s">
        <v>80</v>
      </c>
      <c r="P34" s="26" t="s">
        <v>80</v>
      </c>
    </row>
    <row r="35" spans="1:16">
      <c r="A35" s="9" t="s">
        <v>144</v>
      </c>
      <c r="B35" s="15">
        <v>72.953736654804302</v>
      </c>
      <c r="C35" s="20" t="s">
        <v>80</v>
      </c>
      <c r="D35" s="24">
        <v>72.953736654804302</v>
      </c>
      <c r="E35" s="15">
        <v>79.710144927536206</v>
      </c>
      <c r="F35" s="20" t="s">
        <v>80</v>
      </c>
      <c r="G35" s="24">
        <v>79.710144927536206</v>
      </c>
      <c r="H35" s="15">
        <v>67.153284671532802</v>
      </c>
      <c r="I35" s="20" t="s">
        <v>80</v>
      </c>
      <c r="J35" s="24">
        <v>67.153284671532802</v>
      </c>
      <c r="K35" s="20" t="s">
        <v>80</v>
      </c>
      <c r="L35" s="20" t="s">
        <v>80</v>
      </c>
      <c r="M35" s="26" t="s">
        <v>80</v>
      </c>
      <c r="N35" s="20" t="s">
        <v>80</v>
      </c>
      <c r="O35" s="20" t="s">
        <v>80</v>
      </c>
      <c r="P35" s="26" t="s">
        <v>80</v>
      </c>
    </row>
    <row r="36" spans="1:16">
      <c r="A36" s="11" t="s">
        <v>145</v>
      </c>
      <c r="B36" s="16">
        <v>27.7777777777778</v>
      </c>
      <c r="C36" s="28" t="s">
        <v>80</v>
      </c>
      <c r="D36" s="25">
        <v>27.7777777777778</v>
      </c>
      <c r="E36" s="28" t="s">
        <v>80</v>
      </c>
      <c r="F36" s="28" t="s">
        <v>80</v>
      </c>
      <c r="G36" s="29" t="s">
        <v>80</v>
      </c>
      <c r="H36" s="28" t="s">
        <v>80</v>
      </c>
      <c r="I36" s="28" t="s">
        <v>80</v>
      </c>
      <c r="J36" s="29" t="s">
        <v>80</v>
      </c>
      <c r="K36" s="28" t="s">
        <v>80</v>
      </c>
      <c r="L36" s="28" t="s">
        <v>80</v>
      </c>
      <c r="M36" s="29" t="s">
        <v>80</v>
      </c>
      <c r="N36" s="28" t="s">
        <v>80</v>
      </c>
      <c r="O36" s="28" t="s">
        <v>80</v>
      </c>
      <c r="P36" s="29" t="s">
        <v>80</v>
      </c>
    </row>
    <row r="37" spans="1:16" ht="30" customHeight="1">
      <c r="A37" t="s">
        <v>146</v>
      </c>
    </row>
    <row r="38" spans="1:16">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150</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97.158281712586799</v>
      </c>
      <c r="C3" s="15">
        <v>98.145931468014396</v>
      </c>
      <c r="D3" s="24">
        <v>96.342088286541298</v>
      </c>
      <c r="E3" s="15">
        <v>97.462224342863607</v>
      </c>
      <c r="F3" s="15">
        <v>98.297997676545904</v>
      </c>
      <c r="G3" s="24">
        <v>96.761147019620793</v>
      </c>
      <c r="H3" s="15">
        <v>96.942823315686994</v>
      </c>
      <c r="I3" s="15">
        <v>97.991250504636398</v>
      </c>
      <c r="J3" s="24">
        <v>96.061560767749398</v>
      </c>
      <c r="K3" s="15">
        <v>96.805723840536004</v>
      </c>
      <c r="L3" s="15">
        <v>98.8287646086481</v>
      </c>
      <c r="M3" s="24">
        <v>96.295618152323698</v>
      </c>
      <c r="N3" s="15">
        <v>94.996182240277093</v>
      </c>
      <c r="O3" s="15">
        <v>97.827578136239097</v>
      </c>
      <c r="P3" s="24">
        <v>92.948433926022204</v>
      </c>
    </row>
    <row r="4" spans="1:16" ht="21.9" customHeight="1">
      <c r="A4" s="22" t="s">
        <v>19</v>
      </c>
      <c r="B4" s="15">
        <v>97.321836746232194</v>
      </c>
      <c r="C4" s="15">
        <v>98.110146543153107</v>
      </c>
      <c r="D4" s="24">
        <v>96.675269213559801</v>
      </c>
      <c r="E4" s="15">
        <v>97.5884227206421</v>
      </c>
      <c r="F4" s="15">
        <v>98.297875187283793</v>
      </c>
      <c r="G4" s="24">
        <v>96.995425751564298</v>
      </c>
      <c r="H4" s="15">
        <v>97.171795948092495</v>
      </c>
      <c r="I4" s="15">
        <v>97.9534863629722</v>
      </c>
      <c r="J4" s="24">
        <v>96.529221137366207</v>
      </c>
      <c r="K4" s="15">
        <v>96.430971612630898</v>
      </c>
      <c r="L4" s="15">
        <v>99.101364680404203</v>
      </c>
      <c r="M4" s="24">
        <v>95.609110421991502</v>
      </c>
      <c r="N4" s="15">
        <v>94.708799657604899</v>
      </c>
      <c r="O4" s="15">
        <v>96.778139614293295</v>
      </c>
      <c r="P4" s="24">
        <v>93.087988210287605</v>
      </c>
    </row>
    <row r="5" spans="1:16" ht="21.9" customHeight="1">
      <c r="A5" s="22" t="s">
        <v>20</v>
      </c>
      <c r="B5" s="15">
        <v>97.720008282934003</v>
      </c>
      <c r="C5" s="15">
        <v>98.708052801334006</v>
      </c>
      <c r="D5" s="24">
        <v>96.898544186018597</v>
      </c>
      <c r="E5" s="15">
        <v>98.129020694148196</v>
      </c>
      <c r="F5" s="15">
        <v>98.946228253444204</v>
      </c>
      <c r="G5" s="24">
        <v>97.434245700368194</v>
      </c>
      <c r="H5" s="15">
        <v>97.331987576325503</v>
      </c>
      <c r="I5" s="15">
        <v>98.500184995601501</v>
      </c>
      <c r="J5" s="24">
        <v>96.374617788222906</v>
      </c>
      <c r="K5" s="15">
        <v>98.908307782659506</v>
      </c>
      <c r="L5" s="20" t="s">
        <v>80</v>
      </c>
      <c r="M5" s="24">
        <v>98.5246287936763</v>
      </c>
      <c r="N5" s="15">
        <v>95.966327956082907</v>
      </c>
      <c r="O5" s="15">
        <v>97.373419367091998</v>
      </c>
      <c r="P5" s="24">
        <v>94.452065257283493</v>
      </c>
    </row>
    <row r="6" spans="1:16" ht="21.9" customHeight="1">
      <c r="A6" s="22" t="s">
        <v>115</v>
      </c>
      <c r="B6" s="15">
        <v>98.708052801334006</v>
      </c>
      <c r="C6" s="15">
        <v>98.708052801334006</v>
      </c>
      <c r="D6" s="26" t="s">
        <v>80</v>
      </c>
      <c r="E6" s="15">
        <v>98.946228253444204</v>
      </c>
      <c r="F6" s="15">
        <v>98.946228253444204</v>
      </c>
      <c r="G6" s="26" t="s">
        <v>80</v>
      </c>
      <c r="H6" s="15">
        <v>98.500184995601501</v>
      </c>
      <c r="I6" s="15">
        <v>98.500184995601501</v>
      </c>
      <c r="J6" s="26" t="s">
        <v>80</v>
      </c>
      <c r="K6" s="20" t="s">
        <v>80</v>
      </c>
      <c r="L6" s="20" t="s">
        <v>80</v>
      </c>
      <c r="M6" s="26" t="s">
        <v>80</v>
      </c>
      <c r="N6" s="15">
        <v>97.373419367091998</v>
      </c>
      <c r="O6" s="15">
        <v>97.373419367091998</v>
      </c>
      <c r="P6" s="26" t="s">
        <v>80</v>
      </c>
    </row>
    <row r="7" spans="1:16">
      <c r="A7" s="9" t="s">
        <v>116</v>
      </c>
      <c r="B7" s="15">
        <v>98.360655737704903</v>
      </c>
      <c r="C7" s="15">
        <v>98.360655737704903</v>
      </c>
      <c r="D7" s="26" t="s">
        <v>80</v>
      </c>
      <c r="E7" s="15">
        <v>98.245614035087698</v>
      </c>
      <c r="F7" s="15">
        <v>98.245614035087698</v>
      </c>
      <c r="G7" s="26" t="s">
        <v>80</v>
      </c>
      <c r="H7" s="15">
        <v>98.461538461538495</v>
      </c>
      <c r="I7" s="15">
        <v>98.461538461538495</v>
      </c>
      <c r="J7" s="26" t="s">
        <v>80</v>
      </c>
      <c r="K7" s="20" t="s">
        <v>80</v>
      </c>
      <c r="L7" s="20" t="s">
        <v>80</v>
      </c>
      <c r="M7" s="26" t="s">
        <v>80</v>
      </c>
      <c r="N7" s="20" t="s">
        <v>80</v>
      </c>
      <c r="O7" s="20" t="s">
        <v>80</v>
      </c>
      <c r="P7" s="26" t="s">
        <v>80</v>
      </c>
    </row>
    <row r="8" spans="1:16">
      <c r="A8" s="9" t="s">
        <v>117</v>
      </c>
      <c r="B8" s="15">
        <v>100</v>
      </c>
      <c r="C8" s="15">
        <v>100</v>
      </c>
      <c r="D8" s="26" t="s">
        <v>80</v>
      </c>
      <c r="E8" s="15">
        <v>100</v>
      </c>
      <c r="F8" s="15">
        <v>100</v>
      </c>
      <c r="G8" s="26" t="s">
        <v>80</v>
      </c>
      <c r="H8" s="15">
        <v>100</v>
      </c>
      <c r="I8" s="15">
        <v>100</v>
      </c>
      <c r="J8" s="26" t="s">
        <v>80</v>
      </c>
      <c r="K8" s="20" t="s">
        <v>80</v>
      </c>
      <c r="L8" s="20" t="s">
        <v>80</v>
      </c>
      <c r="M8" s="26" t="s">
        <v>80</v>
      </c>
      <c r="N8" s="20" t="s">
        <v>80</v>
      </c>
      <c r="O8" s="20" t="s">
        <v>80</v>
      </c>
      <c r="P8" s="26" t="s">
        <v>80</v>
      </c>
    </row>
    <row r="9" spans="1:16">
      <c r="A9" s="9" t="s">
        <v>118</v>
      </c>
      <c r="B9" s="15">
        <v>93.975903614457806</v>
      </c>
      <c r="C9" s="15">
        <v>93.975903614457806</v>
      </c>
      <c r="D9" s="26" t="s">
        <v>80</v>
      </c>
      <c r="E9" s="15">
        <v>97.7777777777778</v>
      </c>
      <c r="F9" s="15">
        <v>97.7777777777778</v>
      </c>
      <c r="G9" s="26" t="s">
        <v>80</v>
      </c>
      <c r="H9" s="15">
        <v>89.189189189189193</v>
      </c>
      <c r="I9" s="15">
        <v>89.189189189189193</v>
      </c>
      <c r="J9" s="26" t="s">
        <v>80</v>
      </c>
      <c r="K9" s="20" t="s">
        <v>80</v>
      </c>
      <c r="L9" s="20" t="s">
        <v>80</v>
      </c>
      <c r="M9" s="26" t="s">
        <v>80</v>
      </c>
      <c r="N9" s="20" t="s">
        <v>80</v>
      </c>
      <c r="O9" s="20" t="s">
        <v>80</v>
      </c>
      <c r="P9" s="26" t="s">
        <v>80</v>
      </c>
    </row>
    <row r="10" spans="1:16">
      <c r="A10" s="9" t="s">
        <v>119</v>
      </c>
      <c r="B10" s="15">
        <v>98.8888888888889</v>
      </c>
      <c r="C10" s="15">
        <v>98.8888888888889</v>
      </c>
      <c r="D10" s="26" t="s">
        <v>80</v>
      </c>
      <c r="E10" s="15">
        <v>97.9166666666667</v>
      </c>
      <c r="F10" s="15">
        <v>97.9166666666667</v>
      </c>
      <c r="G10" s="26" t="s">
        <v>80</v>
      </c>
      <c r="H10" s="15">
        <v>100</v>
      </c>
      <c r="I10" s="15">
        <v>100</v>
      </c>
      <c r="J10" s="26" t="s">
        <v>80</v>
      </c>
      <c r="K10" s="20" t="s">
        <v>80</v>
      </c>
      <c r="L10" s="20" t="s">
        <v>80</v>
      </c>
      <c r="M10" s="26" t="s">
        <v>80</v>
      </c>
      <c r="N10" s="20" t="s">
        <v>80</v>
      </c>
      <c r="O10" s="20" t="s">
        <v>80</v>
      </c>
      <c r="P10" s="26" t="s">
        <v>80</v>
      </c>
    </row>
    <row r="11" spans="1:16">
      <c r="A11" s="9" t="s">
        <v>120</v>
      </c>
      <c r="B11" s="15">
        <v>100</v>
      </c>
      <c r="C11" s="15">
        <v>100</v>
      </c>
      <c r="D11" s="26" t="s">
        <v>80</v>
      </c>
      <c r="E11" s="15">
        <v>100</v>
      </c>
      <c r="F11" s="15">
        <v>100</v>
      </c>
      <c r="G11" s="26" t="s">
        <v>80</v>
      </c>
      <c r="H11" s="15">
        <v>100</v>
      </c>
      <c r="I11" s="15">
        <v>100</v>
      </c>
      <c r="J11" s="26" t="s">
        <v>80</v>
      </c>
      <c r="K11" s="20" t="s">
        <v>80</v>
      </c>
      <c r="L11" s="20" t="s">
        <v>80</v>
      </c>
      <c r="M11" s="26" t="s">
        <v>80</v>
      </c>
      <c r="N11" s="20" t="s">
        <v>80</v>
      </c>
      <c r="O11" s="20" t="s">
        <v>80</v>
      </c>
      <c r="P11" s="26" t="s">
        <v>80</v>
      </c>
    </row>
    <row r="12" spans="1:16">
      <c r="A12" s="9" t="s">
        <v>121</v>
      </c>
      <c r="B12" s="15">
        <v>100</v>
      </c>
      <c r="C12" s="15">
        <v>100</v>
      </c>
      <c r="D12" s="26" t="s">
        <v>80</v>
      </c>
      <c r="E12" s="15">
        <v>100</v>
      </c>
      <c r="F12" s="15">
        <v>100</v>
      </c>
      <c r="G12" s="26" t="s">
        <v>80</v>
      </c>
      <c r="H12" s="15">
        <v>100</v>
      </c>
      <c r="I12" s="15">
        <v>100</v>
      </c>
      <c r="J12" s="26" t="s">
        <v>80</v>
      </c>
      <c r="K12" s="20" t="s">
        <v>80</v>
      </c>
      <c r="L12" s="20" t="s">
        <v>80</v>
      </c>
      <c r="M12" s="26" t="s">
        <v>80</v>
      </c>
      <c r="N12" s="20" t="s">
        <v>80</v>
      </c>
      <c r="O12" s="20" t="s">
        <v>80</v>
      </c>
      <c r="P12" s="26" t="s">
        <v>80</v>
      </c>
    </row>
    <row r="13" spans="1:16">
      <c r="A13" s="9" t="s">
        <v>122</v>
      </c>
      <c r="B13" s="15">
        <v>100</v>
      </c>
      <c r="C13" s="15">
        <v>100</v>
      </c>
      <c r="D13" s="26" t="s">
        <v>80</v>
      </c>
      <c r="E13" s="15">
        <v>100</v>
      </c>
      <c r="F13" s="15">
        <v>100</v>
      </c>
      <c r="G13" s="26" t="s">
        <v>80</v>
      </c>
      <c r="H13" s="15">
        <v>100</v>
      </c>
      <c r="I13" s="15">
        <v>100</v>
      </c>
      <c r="J13" s="26" t="s">
        <v>80</v>
      </c>
      <c r="K13" s="20" t="s">
        <v>80</v>
      </c>
      <c r="L13" s="20" t="s">
        <v>80</v>
      </c>
      <c r="M13" s="26" t="s">
        <v>80</v>
      </c>
      <c r="N13" s="20" t="s">
        <v>80</v>
      </c>
      <c r="O13" s="20" t="s">
        <v>80</v>
      </c>
      <c r="P13" s="26" t="s">
        <v>80</v>
      </c>
    </row>
    <row r="14" spans="1:16">
      <c r="A14" s="9" t="s">
        <v>123</v>
      </c>
      <c r="B14" s="15">
        <v>98.765432098765402</v>
      </c>
      <c r="C14" s="15">
        <v>98.765432098765402</v>
      </c>
      <c r="D14" s="26" t="s">
        <v>80</v>
      </c>
      <c r="E14" s="15">
        <v>100</v>
      </c>
      <c r="F14" s="15">
        <v>100</v>
      </c>
      <c r="G14" s="26" t="s">
        <v>80</v>
      </c>
      <c r="H14" s="15">
        <v>97.560975609756099</v>
      </c>
      <c r="I14" s="15">
        <v>97.560975609756099</v>
      </c>
      <c r="J14" s="26" t="s">
        <v>80</v>
      </c>
      <c r="K14" s="20" t="s">
        <v>80</v>
      </c>
      <c r="L14" s="20" t="s">
        <v>80</v>
      </c>
      <c r="M14" s="26" t="s">
        <v>80</v>
      </c>
      <c r="N14" s="20" t="s">
        <v>80</v>
      </c>
      <c r="O14" s="20" t="s">
        <v>80</v>
      </c>
      <c r="P14" s="26" t="s">
        <v>80</v>
      </c>
    </row>
    <row r="15" spans="1:16">
      <c r="A15" s="9" t="s">
        <v>124</v>
      </c>
      <c r="B15" s="15">
        <v>100</v>
      </c>
      <c r="C15" s="15">
        <v>100</v>
      </c>
      <c r="D15" s="26" t="s">
        <v>80</v>
      </c>
      <c r="E15" s="15">
        <v>100</v>
      </c>
      <c r="F15" s="15">
        <v>100</v>
      </c>
      <c r="G15" s="26" t="s">
        <v>80</v>
      </c>
      <c r="H15" s="15">
        <v>100</v>
      </c>
      <c r="I15" s="15">
        <v>100</v>
      </c>
      <c r="J15" s="26" t="s">
        <v>80</v>
      </c>
      <c r="K15" s="20" t="s">
        <v>80</v>
      </c>
      <c r="L15" s="20" t="s">
        <v>80</v>
      </c>
      <c r="M15" s="26" t="s">
        <v>80</v>
      </c>
      <c r="N15" s="20" t="s">
        <v>80</v>
      </c>
      <c r="O15" s="20" t="s">
        <v>80</v>
      </c>
      <c r="P15" s="26" t="s">
        <v>80</v>
      </c>
    </row>
    <row r="16" spans="1:16">
      <c r="A16" s="9" t="s">
        <v>125</v>
      </c>
      <c r="B16" s="15">
        <v>94.736842105263193</v>
      </c>
      <c r="C16" s="15">
        <v>94.736842105263193</v>
      </c>
      <c r="D16" s="26" t="s">
        <v>80</v>
      </c>
      <c r="E16" s="15">
        <v>96.153846153846104</v>
      </c>
      <c r="F16" s="15">
        <v>96.153846153846104</v>
      </c>
      <c r="G16" s="26" t="s">
        <v>80</v>
      </c>
      <c r="H16" s="15">
        <v>100</v>
      </c>
      <c r="I16" s="15">
        <v>100</v>
      </c>
      <c r="J16" s="26" t="s">
        <v>80</v>
      </c>
      <c r="K16" s="20" t="s">
        <v>80</v>
      </c>
      <c r="L16" s="20" t="s">
        <v>80</v>
      </c>
      <c r="M16" s="26" t="s">
        <v>80</v>
      </c>
      <c r="N16" s="20" t="s">
        <v>80</v>
      </c>
      <c r="O16" s="20" t="s">
        <v>80</v>
      </c>
      <c r="P16" s="26" t="s">
        <v>80</v>
      </c>
    </row>
    <row r="17" spans="1:16">
      <c r="A17" s="9" t="s">
        <v>126</v>
      </c>
      <c r="B17" s="15">
        <v>100</v>
      </c>
      <c r="C17" s="15">
        <v>100</v>
      </c>
      <c r="D17" s="26" t="s">
        <v>80</v>
      </c>
      <c r="E17" s="15">
        <v>100</v>
      </c>
      <c r="F17" s="15">
        <v>100</v>
      </c>
      <c r="G17" s="26" t="s">
        <v>80</v>
      </c>
      <c r="H17" s="15">
        <v>100</v>
      </c>
      <c r="I17" s="15">
        <v>100</v>
      </c>
      <c r="J17" s="26" t="s">
        <v>80</v>
      </c>
      <c r="K17" s="20" t="s">
        <v>80</v>
      </c>
      <c r="L17" s="20" t="s">
        <v>80</v>
      </c>
      <c r="M17" s="26" t="s">
        <v>80</v>
      </c>
      <c r="N17" s="15">
        <v>100</v>
      </c>
      <c r="O17" s="15">
        <v>100</v>
      </c>
      <c r="P17" s="26" t="s">
        <v>80</v>
      </c>
    </row>
    <row r="18" spans="1:16">
      <c r="A18" s="9" t="s">
        <v>127</v>
      </c>
      <c r="B18" s="15">
        <v>95.705521472392604</v>
      </c>
      <c r="C18" s="15">
        <v>95.705521472392604</v>
      </c>
      <c r="D18" s="26" t="s">
        <v>80</v>
      </c>
      <c r="E18" s="15">
        <v>96.25</v>
      </c>
      <c r="F18" s="15">
        <v>96.25</v>
      </c>
      <c r="G18" s="26" t="s">
        <v>80</v>
      </c>
      <c r="H18" s="15">
        <v>94.736842105263193</v>
      </c>
      <c r="I18" s="15">
        <v>94.736842105263193</v>
      </c>
      <c r="J18" s="26" t="s">
        <v>80</v>
      </c>
      <c r="K18" s="20" t="s">
        <v>80</v>
      </c>
      <c r="L18" s="20" t="s">
        <v>80</v>
      </c>
      <c r="M18" s="26" t="s">
        <v>80</v>
      </c>
      <c r="N18" s="20" t="s">
        <v>80</v>
      </c>
      <c r="O18" s="20" t="s">
        <v>80</v>
      </c>
      <c r="P18" s="26" t="s">
        <v>80</v>
      </c>
    </row>
    <row r="19" spans="1:16">
      <c r="A19" s="9" t="s">
        <v>128</v>
      </c>
      <c r="B19" s="15">
        <v>98.863636363636402</v>
      </c>
      <c r="C19" s="15">
        <v>98.863636363636402</v>
      </c>
      <c r="D19" s="26" t="s">
        <v>80</v>
      </c>
      <c r="E19" s="15">
        <v>100</v>
      </c>
      <c r="F19" s="15">
        <v>100</v>
      </c>
      <c r="G19" s="26" t="s">
        <v>80</v>
      </c>
      <c r="H19" s="15">
        <v>97.674418604651194</v>
      </c>
      <c r="I19" s="15">
        <v>97.674418604651194</v>
      </c>
      <c r="J19" s="26" t="s">
        <v>80</v>
      </c>
      <c r="K19" s="20" t="s">
        <v>80</v>
      </c>
      <c r="L19" s="20" t="s">
        <v>80</v>
      </c>
      <c r="M19" s="26" t="s">
        <v>80</v>
      </c>
      <c r="N19" s="20" t="s">
        <v>80</v>
      </c>
      <c r="O19" s="20" t="s">
        <v>80</v>
      </c>
      <c r="P19" s="26" t="s">
        <v>80</v>
      </c>
    </row>
    <row r="20" spans="1:16">
      <c r="A20" s="9" t="s">
        <v>129</v>
      </c>
      <c r="B20" s="15">
        <v>98.648648648648603</v>
      </c>
      <c r="C20" s="15">
        <v>98.648648648648603</v>
      </c>
      <c r="D20" s="26" t="s">
        <v>80</v>
      </c>
      <c r="E20" s="15">
        <v>100</v>
      </c>
      <c r="F20" s="15">
        <v>100</v>
      </c>
      <c r="G20" s="26" t="s">
        <v>80</v>
      </c>
      <c r="H20" s="15">
        <v>96.774193548387103</v>
      </c>
      <c r="I20" s="15">
        <v>96.774193548387103</v>
      </c>
      <c r="J20" s="26" t="s">
        <v>80</v>
      </c>
      <c r="K20" s="20" t="s">
        <v>80</v>
      </c>
      <c r="L20" s="20" t="s">
        <v>80</v>
      </c>
      <c r="M20" s="26" t="s">
        <v>80</v>
      </c>
      <c r="N20" s="20" t="s">
        <v>80</v>
      </c>
      <c r="O20" s="20" t="s">
        <v>80</v>
      </c>
      <c r="P20" s="26" t="s">
        <v>80</v>
      </c>
    </row>
    <row r="21" spans="1:16">
      <c r="A21" s="9" t="s">
        <v>130</v>
      </c>
      <c r="B21" s="15">
        <v>98.6111111111111</v>
      </c>
      <c r="C21" s="15">
        <v>98.6111111111111</v>
      </c>
      <c r="D21" s="26" t="s">
        <v>80</v>
      </c>
      <c r="E21" s="15">
        <v>96.296296296296305</v>
      </c>
      <c r="F21" s="15">
        <v>96.296296296296305</v>
      </c>
      <c r="G21" s="26" t="s">
        <v>80</v>
      </c>
      <c r="H21" s="15">
        <v>100</v>
      </c>
      <c r="I21" s="15">
        <v>100</v>
      </c>
      <c r="J21" s="26" t="s">
        <v>80</v>
      </c>
      <c r="K21" s="20" t="s">
        <v>80</v>
      </c>
      <c r="L21" s="20" t="s">
        <v>80</v>
      </c>
      <c r="M21" s="26" t="s">
        <v>80</v>
      </c>
      <c r="N21" s="20" t="s">
        <v>80</v>
      </c>
      <c r="O21" s="20" t="s">
        <v>80</v>
      </c>
      <c r="P21" s="26" t="s">
        <v>80</v>
      </c>
    </row>
    <row r="22" spans="1:16">
      <c r="A22" s="9" t="s">
        <v>131</v>
      </c>
      <c r="B22" s="15">
        <v>100</v>
      </c>
      <c r="C22" s="15">
        <v>100</v>
      </c>
      <c r="D22" s="26" t="s">
        <v>80</v>
      </c>
      <c r="E22" s="15">
        <v>100</v>
      </c>
      <c r="F22" s="15">
        <v>100</v>
      </c>
      <c r="G22" s="26" t="s">
        <v>80</v>
      </c>
      <c r="H22" s="15">
        <v>100</v>
      </c>
      <c r="I22" s="15">
        <v>100</v>
      </c>
      <c r="J22" s="26" t="s">
        <v>80</v>
      </c>
      <c r="K22" s="20" t="s">
        <v>80</v>
      </c>
      <c r="L22" s="20" t="s">
        <v>80</v>
      </c>
      <c r="M22" s="26" t="s">
        <v>80</v>
      </c>
      <c r="N22" s="15">
        <v>100</v>
      </c>
      <c r="O22" s="15">
        <v>100</v>
      </c>
      <c r="P22" s="26" t="s">
        <v>80</v>
      </c>
    </row>
    <row r="23" spans="1:16">
      <c r="A23" s="9" t="s">
        <v>132</v>
      </c>
      <c r="B23" s="15">
        <v>100</v>
      </c>
      <c r="C23" s="15">
        <v>100</v>
      </c>
      <c r="D23" s="26" t="s">
        <v>80</v>
      </c>
      <c r="E23" s="15">
        <v>100</v>
      </c>
      <c r="F23" s="15">
        <v>100</v>
      </c>
      <c r="G23" s="26" t="s">
        <v>80</v>
      </c>
      <c r="H23" s="15">
        <v>100</v>
      </c>
      <c r="I23" s="15">
        <v>100</v>
      </c>
      <c r="J23" s="26" t="s">
        <v>80</v>
      </c>
      <c r="K23" s="20" t="s">
        <v>80</v>
      </c>
      <c r="L23" s="20" t="s">
        <v>80</v>
      </c>
      <c r="M23" s="26" t="s">
        <v>80</v>
      </c>
      <c r="N23" s="20" t="s">
        <v>80</v>
      </c>
      <c r="O23" s="20" t="s">
        <v>80</v>
      </c>
      <c r="P23" s="26" t="s">
        <v>80</v>
      </c>
    </row>
    <row r="24" spans="1:16">
      <c r="A24" s="9" t="s">
        <v>133</v>
      </c>
      <c r="B24" s="15">
        <v>100</v>
      </c>
      <c r="C24" s="15">
        <v>100</v>
      </c>
      <c r="D24" s="26" t="s">
        <v>80</v>
      </c>
      <c r="E24" s="15">
        <v>100</v>
      </c>
      <c r="F24" s="15">
        <v>100</v>
      </c>
      <c r="G24" s="26" t="s">
        <v>80</v>
      </c>
      <c r="H24" s="15">
        <v>100</v>
      </c>
      <c r="I24" s="15">
        <v>100</v>
      </c>
      <c r="J24" s="26" t="s">
        <v>80</v>
      </c>
      <c r="K24" s="20" t="s">
        <v>80</v>
      </c>
      <c r="L24" s="20" t="s">
        <v>80</v>
      </c>
      <c r="M24" s="26" t="s">
        <v>80</v>
      </c>
      <c r="N24" s="20" t="s">
        <v>80</v>
      </c>
      <c r="O24" s="20" t="s">
        <v>80</v>
      </c>
      <c r="P24" s="26" t="s">
        <v>80</v>
      </c>
    </row>
    <row r="25" spans="1:16">
      <c r="A25" s="9" t="s">
        <v>134</v>
      </c>
      <c r="B25" s="15">
        <v>99.456521739130395</v>
      </c>
      <c r="C25" s="15">
        <v>99.456521739130395</v>
      </c>
      <c r="D25" s="26" t="s">
        <v>80</v>
      </c>
      <c r="E25" s="15">
        <v>100</v>
      </c>
      <c r="F25" s="15">
        <v>100</v>
      </c>
      <c r="G25" s="26" t="s">
        <v>80</v>
      </c>
      <c r="H25" s="15">
        <v>98.913043478260903</v>
      </c>
      <c r="I25" s="15">
        <v>98.913043478260903</v>
      </c>
      <c r="J25" s="26" t="s">
        <v>80</v>
      </c>
      <c r="K25" s="20" t="s">
        <v>80</v>
      </c>
      <c r="L25" s="20" t="s">
        <v>80</v>
      </c>
      <c r="M25" s="26" t="s">
        <v>80</v>
      </c>
      <c r="N25" s="15">
        <v>100</v>
      </c>
      <c r="O25" s="15">
        <v>100</v>
      </c>
      <c r="P25" s="26" t="s">
        <v>80</v>
      </c>
    </row>
    <row r="26" spans="1:16">
      <c r="A26" s="9" t="s">
        <v>135</v>
      </c>
      <c r="B26" s="15">
        <v>100</v>
      </c>
      <c r="C26" s="15">
        <v>100</v>
      </c>
      <c r="D26" s="26" t="s">
        <v>80</v>
      </c>
      <c r="E26" s="15">
        <v>100</v>
      </c>
      <c r="F26" s="15">
        <v>100</v>
      </c>
      <c r="G26" s="26" t="s">
        <v>80</v>
      </c>
      <c r="H26" s="15">
        <v>100</v>
      </c>
      <c r="I26" s="15">
        <v>100</v>
      </c>
      <c r="J26" s="26" t="s">
        <v>80</v>
      </c>
      <c r="K26" s="20" t="s">
        <v>80</v>
      </c>
      <c r="L26" s="20" t="s">
        <v>80</v>
      </c>
      <c r="M26" s="26" t="s">
        <v>80</v>
      </c>
      <c r="N26" s="15">
        <v>100</v>
      </c>
      <c r="O26" s="15">
        <v>100</v>
      </c>
      <c r="P26" s="26" t="s">
        <v>80</v>
      </c>
    </row>
    <row r="27" spans="1:16">
      <c r="A27" s="9" t="s">
        <v>136</v>
      </c>
      <c r="B27" s="15">
        <v>99.122807017543906</v>
      </c>
      <c r="C27" s="15">
        <v>99.122807017543906</v>
      </c>
      <c r="D27" s="26" t="s">
        <v>80</v>
      </c>
      <c r="E27" s="15">
        <v>100</v>
      </c>
      <c r="F27" s="15">
        <v>100</v>
      </c>
      <c r="G27" s="26" t="s">
        <v>80</v>
      </c>
      <c r="H27" s="15">
        <v>98.245614035087698</v>
      </c>
      <c r="I27" s="15">
        <v>98.245614035087698</v>
      </c>
      <c r="J27" s="26" t="s">
        <v>80</v>
      </c>
      <c r="K27" s="20" t="s">
        <v>80</v>
      </c>
      <c r="L27" s="20" t="s">
        <v>80</v>
      </c>
      <c r="M27" s="26" t="s">
        <v>80</v>
      </c>
      <c r="N27" s="15">
        <v>100</v>
      </c>
      <c r="O27" s="15">
        <v>100</v>
      </c>
      <c r="P27" s="26" t="s">
        <v>80</v>
      </c>
    </row>
    <row r="28" spans="1:16" ht="21.9" customHeight="1">
      <c r="A28" s="22" t="s">
        <v>137</v>
      </c>
      <c r="B28" s="15">
        <v>96.898544186018597</v>
      </c>
      <c r="C28" s="20" t="s">
        <v>80</v>
      </c>
      <c r="D28" s="24">
        <v>96.898544186018597</v>
      </c>
      <c r="E28" s="15">
        <v>97.434245700368194</v>
      </c>
      <c r="F28" s="20" t="s">
        <v>80</v>
      </c>
      <c r="G28" s="24">
        <v>97.434245700368194</v>
      </c>
      <c r="H28" s="15">
        <v>96.374617788222906</v>
      </c>
      <c r="I28" s="20" t="s">
        <v>80</v>
      </c>
      <c r="J28" s="24">
        <v>96.374617788222906</v>
      </c>
      <c r="K28" s="15">
        <v>98.5246287936763</v>
      </c>
      <c r="L28" s="20" t="s">
        <v>80</v>
      </c>
      <c r="M28" s="24">
        <v>98.5246287936763</v>
      </c>
      <c r="N28" s="15">
        <v>94.452065257283493</v>
      </c>
      <c r="O28" s="20" t="s">
        <v>80</v>
      </c>
      <c r="P28" s="24">
        <v>94.452065257283493</v>
      </c>
    </row>
    <row r="29" spans="1:16">
      <c r="A29" s="9" t="s">
        <v>138</v>
      </c>
      <c r="B29" s="15">
        <v>96.129032258064498</v>
      </c>
      <c r="C29" s="20" t="s">
        <v>80</v>
      </c>
      <c r="D29" s="24">
        <v>96.129032258064498</v>
      </c>
      <c r="E29" s="15">
        <v>97.014925373134304</v>
      </c>
      <c r="F29" s="20" t="s">
        <v>80</v>
      </c>
      <c r="G29" s="24">
        <v>97.014925373134304</v>
      </c>
      <c r="H29" s="15">
        <v>96.103896103896105</v>
      </c>
      <c r="I29" s="20" t="s">
        <v>80</v>
      </c>
      <c r="J29" s="24">
        <v>96.103896103896105</v>
      </c>
      <c r="K29" s="20" t="s">
        <v>80</v>
      </c>
      <c r="L29" s="20" t="s">
        <v>80</v>
      </c>
      <c r="M29" s="26" t="s">
        <v>80</v>
      </c>
      <c r="N29" s="15">
        <v>88.8888888888889</v>
      </c>
      <c r="O29" s="20" t="s">
        <v>80</v>
      </c>
      <c r="P29" s="24">
        <v>88.8888888888889</v>
      </c>
    </row>
    <row r="30" spans="1:16">
      <c r="A30" s="9" t="s">
        <v>139</v>
      </c>
      <c r="B30" s="15">
        <v>99.369085173501603</v>
      </c>
      <c r="C30" s="20" t="s">
        <v>80</v>
      </c>
      <c r="D30" s="24">
        <v>99.369085173501603</v>
      </c>
      <c r="E30" s="15">
        <v>100</v>
      </c>
      <c r="F30" s="20" t="s">
        <v>80</v>
      </c>
      <c r="G30" s="24">
        <v>100</v>
      </c>
      <c r="H30" s="15">
        <v>99.435028248587599</v>
      </c>
      <c r="I30" s="20" t="s">
        <v>80</v>
      </c>
      <c r="J30" s="24">
        <v>99.435028248587599</v>
      </c>
      <c r="K30" s="15">
        <v>100</v>
      </c>
      <c r="L30" s="20" t="s">
        <v>80</v>
      </c>
      <c r="M30" s="24">
        <v>100</v>
      </c>
      <c r="N30" s="15">
        <v>83.3333333333333</v>
      </c>
      <c r="O30" s="20" t="s">
        <v>80</v>
      </c>
      <c r="P30" s="24">
        <v>83.3333333333333</v>
      </c>
    </row>
    <row r="31" spans="1:16">
      <c r="A31" s="9" t="s">
        <v>140</v>
      </c>
      <c r="B31" s="15">
        <v>96.137339055794001</v>
      </c>
      <c r="C31" s="20" t="s">
        <v>80</v>
      </c>
      <c r="D31" s="24">
        <v>96.137339055794001</v>
      </c>
      <c r="E31" s="15">
        <v>97.457627118644098</v>
      </c>
      <c r="F31" s="20" t="s">
        <v>80</v>
      </c>
      <c r="G31" s="24">
        <v>97.457627118644098</v>
      </c>
      <c r="H31" s="15">
        <v>94.174757281553397</v>
      </c>
      <c r="I31" s="20" t="s">
        <v>80</v>
      </c>
      <c r="J31" s="24">
        <v>94.174757281553397</v>
      </c>
      <c r="K31" s="15">
        <v>100</v>
      </c>
      <c r="L31" s="20" t="s">
        <v>80</v>
      </c>
      <c r="M31" s="24">
        <v>100</v>
      </c>
      <c r="N31" s="15">
        <v>100</v>
      </c>
      <c r="O31" s="20" t="s">
        <v>80</v>
      </c>
      <c r="P31" s="24">
        <v>100</v>
      </c>
    </row>
    <row r="32" spans="1:16">
      <c r="A32" s="9" t="s">
        <v>141</v>
      </c>
      <c r="B32" s="15">
        <v>96.763754045307493</v>
      </c>
      <c r="C32" s="20" t="s">
        <v>80</v>
      </c>
      <c r="D32" s="24">
        <v>96.763754045307493</v>
      </c>
      <c r="E32" s="15">
        <v>96.25</v>
      </c>
      <c r="F32" s="20" t="s">
        <v>80</v>
      </c>
      <c r="G32" s="24">
        <v>96.25</v>
      </c>
      <c r="H32" s="15">
        <v>97.872340425531902</v>
      </c>
      <c r="I32" s="20" t="s">
        <v>80</v>
      </c>
      <c r="J32" s="24">
        <v>97.872340425531902</v>
      </c>
      <c r="K32" s="20" t="s">
        <v>80</v>
      </c>
      <c r="L32" s="20" t="s">
        <v>80</v>
      </c>
      <c r="M32" s="26" t="s">
        <v>80</v>
      </c>
      <c r="N32" s="20" t="s">
        <v>80</v>
      </c>
      <c r="O32" s="20" t="s">
        <v>80</v>
      </c>
      <c r="P32" s="26" t="s">
        <v>80</v>
      </c>
    </row>
    <row r="33" spans="1:16">
      <c r="A33" s="9" t="s">
        <v>142</v>
      </c>
      <c r="B33" s="15">
        <v>97.203728362183796</v>
      </c>
      <c r="C33" s="20" t="s">
        <v>80</v>
      </c>
      <c r="D33" s="24">
        <v>97.203728362183796</v>
      </c>
      <c r="E33" s="15">
        <v>96.231884057971001</v>
      </c>
      <c r="F33" s="20" t="s">
        <v>80</v>
      </c>
      <c r="G33" s="24">
        <v>96.231884057971001</v>
      </c>
      <c r="H33" s="15">
        <v>97.837837837837796</v>
      </c>
      <c r="I33" s="20" t="s">
        <v>80</v>
      </c>
      <c r="J33" s="24">
        <v>97.837837837837796</v>
      </c>
      <c r="K33" s="15">
        <v>100</v>
      </c>
      <c r="L33" s="20" t="s">
        <v>80</v>
      </c>
      <c r="M33" s="24">
        <v>100</v>
      </c>
      <c r="N33" s="15">
        <v>100</v>
      </c>
      <c r="O33" s="20" t="s">
        <v>80</v>
      </c>
      <c r="P33" s="24">
        <v>100</v>
      </c>
    </row>
    <row r="34" spans="1:16">
      <c r="A34" s="9" t="s">
        <v>143</v>
      </c>
      <c r="B34" s="15">
        <v>94.788273615635205</v>
      </c>
      <c r="C34" s="20" t="s">
        <v>80</v>
      </c>
      <c r="D34" s="24">
        <v>94.788273615635205</v>
      </c>
      <c r="E34" s="15">
        <v>95.8333333333333</v>
      </c>
      <c r="F34" s="20" t="s">
        <v>80</v>
      </c>
      <c r="G34" s="24">
        <v>95.8333333333333</v>
      </c>
      <c r="H34" s="15">
        <v>93.939393939393895</v>
      </c>
      <c r="I34" s="20" t="s">
        <v>80</v>
      </c>
      <c r="J34" s="24">
        <v>93.939393939393895</v>
      </c>
      <c r="K34" s="20" t="s">
        <v>80</v>
      </c>
      <c r="L34" s="20" t="s">
        <v>80</v>
      </c>
      <c r="M34" s="26" t="s">
        <v>80</v>
      </c>
      <c r="N34" s="20" t="s">
        <v>80</v>
      </c>
      <c r="O34" s="20" t="s">
        <v>80</v>
      </c>
      <c r="P34" s="26" t="s">
        <v>80</v>
      </c>
    </row>
    <row r="35" spans="1:16">
      <c r="A35" s="9" t="s">
        <v>144</v>
      </c>
      <c r="B35" s="15">
        <v>99.288256227757998</v>
      </c>
      <c r="C35" s="20" t="s">
        <v>80</v>
      </c>
      <c r="D35" s="24">
        <v>99.288256227757998</v>
      </c>
      <c r="E35" s="15">
        <v>98.550724637681199</v>
      </c>
      <c r="F35" s="20" t="s">
        <v>80</v>
      </c>
      <c r="G35" s="24">
        <v>98.550724637681199</v>
      </c>
      <c r="H35" s="15">
        <v>100</v>
      </c>
      <c r="I35" s="20" t="s">
        <v>80</v>
      </c>
      <c r="J35" s="24">
        <v>100</v>
      </c>
      <c r="K35" s="20" t="s">
        <v>80</v>
      </c>
      <c r="L35" s="20" t="s">
        <v>80</v>
      </c>
      <c r="M35" s="26" t="s">
        <v>80</v>
      </c>
      <c r="N35" s="20" t="s">
        <v>80</v>
      </c>
      <c r="O35" s="20" t="s">
        <v>80</v>
      </c>
      <c r="P35" s="26" t="s">
        <v>80</v>
      </c>
    </row>
    <row r="36" spans="1:16">
      <c r="A36" s="11" t="s">
        <v>145</v>
      </c>
      <c r="B36" s="16">
        <v>94.4444444444444</v>
      </c>
      <c r="C36" s="28" t="s">
        <v>80</v>
      </c>
      <c r="D36" s="25">
        <v>94.4444444444444</v>
      </c>
      <c r="E36" s="16">
        <v>90</v>
      </c>
      <c r="F36" s="28" t="s">
        <v>80</v>
      </c>
      <c r="G36" s="25">
        <v>90</v>
      </c>
      <c r="H36" s="16">
        <v>100</v>
      </c>
      <c r="I36" s="28" t="s">
        <v>80</v>
      </c>
      <c r="J36" s="25">
        <v>100</v>
      </c>
      <c r="K36" s="28" t="s">
        <v>80</v>
      </c>
      <c r="L36" s="28" t="s">
        <v>80</v>
      </c>
      <c r="M36" s="29" t="s">
        <v>80</v>
      </c>
      <c r="N36" s="28" t="s">
        <v>80</v>
      </c>
      <c r="O36" s="28" t="s">
        <v>80</v>
      </c>
      <c r="P36" s="29" t="s">
        <v>80</v>
      </c>
    </row>
    <row r="37" spans="1:16" ht="30" customHeight="1">
      <c r="A37" t="s">
        <v>146</v>
      </c>
    </row>
    <row r="38" spans="1:16">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151</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152</v>
      </c>
      <c r="B3" s="15">
        <v>22.908682507805999</v>
      </c>
      <c r="C3" s="15">
        <v>26.183332252021501</v>
      </c>
      <c r="D3" s="24">
        <v>20.186125836774099</v>
      </c>
      <c r="E3" s="15">
        <v>25.015847529752801</v>
      </c>
      <c r="F3" s="15">
        <v>29.5008619340583</v>
      </c>
      <c r="G3" s="24">
        <v>21.2027699102326</v>
      </c>
      <c r="H3" s="15">
        <v>20.038914745930999</v>
      </c>
      <c r="I3" s="15">
        <v>21.725817940618501</v>
      </c>
      <c r="J3" s="24">
        <v>18.656451364828499</v>
      </c>
      <c r="K3" s="20" t="s">
        <v>80</v>
      </c>
      <c r="L3" s="20" t="s">
        <v>80</v>
      </c>
      <c r="M3" s="26" t="s">
        <v>80</v>
      </c>
      <c r="N3" s="15">
        <v>29.0014572886273</v>
      </c>
      <c r="O3" s="20" t="s">
        <v>80</v>
      </c>
      <c r="P3" s="26" t="s">
        <v>80</v>
      </c>
    </row>
    <row r="4" spans="1:16">
      <c r="A4" s="9" t="s">
        <v>153</v>
      </c>
      <c r="B4" s="15">
        <v>27.341515258931601</v>
      </c>
      <c r="C4" s="15">
        <v>30.019591661594799</v>
      </c>
      <c r="D4" s="24">
        <v>25.114952009386201</v>
      </c>
      <c r="E4" s="15">
        <v>28.487247546179098</v>
      </c>
      <c r="F4" s="15">
        <v>30.515150417817299</v>
      </c>
      <c r="G4" s="24">
        <v>26.763161432435201</v>
      </c>
      <c r="H4" s="15">
        <v>26.238886774215299</v>
      </c>
      <c r="I4" s="15">
        <v>29.489116412684702</v>
      </c>
      <c r="J4" s="24">
        <v>23.575234544787801</v>
      </c>
      <c r="K4" s="20" t="s">
        <v>80</v>
      </c>
      <c r="L4" s="20" t="s">
        <v>80</v>
      </c>
      <c r="M4" s="26" t="s">
        <v>80</v>
      </c>
      <c r="N4" s="20" t="s">
        <v>80</v>
      </c>
      <c r="O4" s="20" t="s">
        <v>80</v>
      </c>
      <c r="P4" s="26" t="s">
        <v>80</v>
      </c>
    </row>
    <row r="5" spans="1:16">
      <c r="A5" s="9" t="s">
        <v>154</v>
      </c>
      <c r="B5" s="15">
        <v>31.6456475211419</v>
      </c>
      <c r="C5" s="15">
        <v>20.933913389617398</v>
      </c>
      <c r="D5" s="24">
        <v>40.551425389329502</v>
      </c>
      <c r="E5" s="15">
        <v>32.869316236494697</v>
      </c>
      <c r="F5" s="15">
        <v>22.391824391214602</v>
      </c>
      <c r="G5" s="24">
        <v>41.777089113565196</v>
      </c>
      <c r="H5" s="15">
        <v>30.447915655246799</v>
      </c>
      <c r="I5" s="15">
        <v>19.2447161323743</v>
      </c>
      <c r="J5" s="24">
        <v>39.629244578170102</v>
      </c>
      <c r="K5" s="20" t="s">
        <v>80</v>
      </c>
      <c r="L5" s="20" t="s">
        <v>80</v>
      </c>
      <c r="M5" s="26" t="s">
        <v>80</v>
      </c>
      <c r="N5" s="15">
        <v>27.725274766286699</v>
      </c>
      <c r="O5" s="20" t="s">
        <v>80</v>
      </c>
      <c r="P5" s="26" t="s">
        <v>80</v>
      </c>
    </row>
    <row r="6" spans="1:16">
      <c r="A6" s="9" t="s">
        <v>155</v>
      </c>
      <c r="B6" s="15">
        <v>52.370056827932899</v>
      </c>
      <c r="C6" s="15">
        <v>54.707959463616803</v>
      </c>
      <c r="D6" s="24">
        <v>50.426315385585497</v>
      </c>
      <c r="E6" s="15">
        <v>60.570537442293499</v>
      </c>
      <c r="F6" s="15">
        <v>59.784995164374998</v>
      </c>
      <c r="G6" s="24">
        <v>61.238391190152598</v>
      </c>
      <c r="H6" s="15">
        <v>43.471720972416897</v>
      </c>
      <c r="I6" s="15">
        <v>48.128243223068303</v>
      </c>
      <c r="J6" s="24">
        <v>39.655573421634202</v>
      </c>
      <c r="K6" s="15">
        <v>49.089869652451398</v>
      </c>
      <c r="L6" s="20" t="s">
        <v>80</v>
      </c>
      <c r="M6" s="26" t="s">
        <v>80</v>
      </c>
      <c r="N6" s="15">
        <v>56.367312341088201</v>
      </c>
      <c r="O6" s="15">
        <v>73.084569286411906</v>
      </c>
      <c r="P6" s="26" t="s">
        <v>80</v>
      </c>
    </row>
    <row r="7" spans="1:16">
      <c r="A7" s="9" t="s">
        <v>156</v>
      </c>
      <c r="B7" s="15">
        <v>23.7103421288456</v>
      </c>
      <c r="C7" s="15">
        <v>28.800532450009602</v>
      </c>
      <c r="D7" s="24">
        <v>19.478337884670601</v>
      </c>
      <c r="E7" s="15">
        <v>29.926038389437998</v>
      </c>
      <c r="F7" s="15">
        <v>33.836782108788498</v>
      </c>
      <c r="G7" s="24">
        <v>26.601195254571099</v>
      </c>
      <c r="H7" s="15">
        <v>17.286279438146199</v>
      </c>
      <c r="I7" s="15">
        <v>23.349669143421799</v>
      </c>
      <c r="J7" s="24">
        <v>12.3171654668788</v>
      </c>
      <c r="K7" s="20" t="s">
        <v>80</v>
      </c>
      <c r="L7" s="20" t="s">
        <v>80</v>
      </c>
      <c r="M7" s="26" t="s">
        <v>80</v>
      </c>
      <c r="N7" s="20" t="s">
        <v>80</v>
      </c>
      <c r="O7" s="20" t="s">
        <v>80</v>
      </c>
      <c r="P7" s="26" t="s">
        <v>80</v>
      </c>
    </row>
    <row r="8" spans="1:16">
      <c r="A8" s="9" t="s">
        <v>157</v>
      </c>
      <c r="B8" s="15">
        <v>1.4620413859700301</v>
      </c>
      <c r="C8" s="15">
        <v>1.87971346769339</v>
      </c>
      <c r="D8" s="24">
        <v>1.1147871752232601</v>
      </c>
      <c r="E8" s="15">
        <v>1.6991818498586799</v>
      </c>
      <c r="F8" s="20" t="s">
        <v>80</v>
      </c>
      <c r="G8" s="26" t="s">
        <v>80</v>
      </c>
      <c r="H8" s="20" t="s">
        <v>80</v>
      </c>
      <c r="I8" s="20" t="s">
        <v>80</v>
      </c>
      <c r="J8" s="26" t="s">
        <v>80</v>
      </c>
      <c r="K8" s="20" t="s">
        <v>80</v>
      </c>
      <c r="L8" s="20" t="s">
        <v>80</v>
      </c>
      <c r="M8" s="26" t="s">
        <v>80</v>
      </c>
      <c r="N8" s="20" t="s">
        <v>80</v>
      </c>
      <c r="O8" s="20" t="s">
        <v>80</v>
      </c>
      <c r="P8" s="26" t="s">
        <v>80</v>
      </c>
    </row>
    <row r="9" spans="1:16">
      <c r="A9" s="9" t="s">
        <v>158</v>
      </c>
      <c r="B9" s="15">
        <v>14.227600679939499</v>
      </c>
      <c r="C9" s="15">
        <v>16.706837290889101</v>
      </c>
      <c r="D9" s="24">
        <v>12.166353614927299</v>
      </c>
      <c r="E9" s="15">
        <v>15.309718895038401</v>
      </c>
      <c r="F9" s="15">
        <v>19.2208904358213</v>
      </c>
      <c r="G9" s="24">
        <v>11.984512034175999</v>
      </c>
      <c r="H9" s="15">
        <v>13.138633510555101</v>
      </c>
      <c r="I9" s="15">
        <v>14.303433371552901</v>
      </c>
      <c r="J9" s="24">
        <v>12.184048114538401</v>
      </c>
      <c r="K9" s="20" t="s">
        <v>80</v>
      </c>
      <c r="L9" s="20" t="s">
        <v>80</v>
      </c>
      <c r="M9" s="26" t="s">
        <v>80</v>
      </c>
      <c r="N9" s="20" t="s">
        <v>80</v>
      </c>
      <c r="O9" s="20" t="s">
        <v>80</v>
      </c>
      <c r="P9" s="26" t="s">
        <v>80</v>
      </c>
    </row>
    <row r="10" spans="1:16">
      <c r="A10" s="9" t="s">
        <v>159</v>
      </c>
      <c r="B10" s="15">
        <v>18.923751110146899</v>
      </c>
      <c r="C10" s="15">
        <v>19.201230161340298</v>
      </c>
      <c r="D10" s="24">
        <v>18.693053936126098</v>
      </c>
      <c r="E10" s="15">
        <v>25.261824471405401</v>
      </c>
      <c r="F10" s="15">
        <v>25.269036774625999</v>
      </c>
      <c r="G10" s="24">
        <v>25.2556927024707</v>
      </c>
      <c r="H10" s="15">
        <v>12.0822938653651</v>
      </c>
      <c r="I10" s="15">
        <v>12.360777520478599</v>
      </c>
      <c r="J10" s="24">
        <v>11.854068880883201</v>
      </c>
      <c r="K10" s="20" t="s">
        <v>80</v>
      </c>
      <c r="L10" s="20" t="s">
        <v>80</v>
      </c>
      <c r="M10" s="26" t="s">
        <v>80</v>
      </c>
      <c r="N10" s="20" t="s">
        <v>80</v>
      </c>
      <c r="O10" s="20" t="s">
        <v>80</v>
      </c>
      <c r="P10" s="26" t="s">
        <v>80</v>
      </c>
    </row>
    <row r="11" spans="1:16">
      <c r="A11" s="9" t="s">
        <v>160</v>
      </c>
      <c r="B11" s="15">
        <v>17.5000962519869</v>
      </c>
      <c r="C11" s="15">
        <v>18.091405828826101</v>
      </c>
      <c r="D11" s="24">
        <v>17.008479145176601</v>
      </c>
      <c r="E11" s="15">
        <v>17.488231099044</v>
      </c>
      <c r="F11" s="15">
        <v>18.542517060676499</v>
      </c>
      <c r="G11" s="24">
        <v>16.591896362411699</v>
      </c>
      <c r="H11" s="15">
        <v>17.436987656779099</v>
      </c>
      <c r="I11" s="15">
        <v>17.502510343881202</v>
      </c>
      <c r="J11" s="24">
        <v>17.3832900196916</v>
      </c>
      <c r="K11" s="20" t="s">
        <v>80</v>
      </c>
      <c r="L11" s="20" t="s">
        <v>80</v>
      </c>
      <c r="M11" s="26" t="s">
        <v>80</v>
      </c>
      <c r="N11" s="20" t="s">
        <v>80</v>
      </c>
      <c r="O11" s="20" t="s">
        <v>80</v>
      </c>
      <c r="P11" s="26" t="s">
        <v>80</v>
      </c>
    </row>
    <row r="12" spans="1:16">
      <c r="A12" s="9" t="s">
        <v>161</v>
      </c>
      <c r="B12" s="15">
        <v>7.2437709501055103</v>
      </c>
      <c r="C12" s="15">
        <v>9.5544800314144194</v>
      </c>
      <c r="D12" s="24">
        <v>5.3226383357719902</v>
      </c>
      <c r="E12" s="15">
        <v>8.5482726178753801</v>
      </c>
      <c r="F12" s="15">
        <v>11.1125690939626</v>
      </c>
      <c r="G12" s="24">
        <v>6.3681544239636398</v>
      </c>
      <c r="H12" s="15">
        <v>5.9063972797902897</v>
      </c>
      <c r="I12" s="15">
        <v>8.0762677258399602</v>
      </c>
      <c r="J12" s="24">
        <v>4.1281290052104396</v>
      </c>
      <c r="K12" s="20" t="s">
        <v>80</v>
      </c>
      <c r="L12" s="20" t="s">
        <v>80</v>
      </c>
      <c r="M12" s="26" t="s">
        <v>80</v>
      </c>
      <c r="N12" s="20" t="s">
        <v>80</v>
      </c>
      <c r="O12" s="20" t="s">
        <v>80</v>
      </c>
      <c r="P12" s="26" t="s">
        <v>80</v>
      </c>
    </row>
    <row r="13" spans="1:16">
      <c r="A13" s="9" t="s">
        <v>162</v>
      </c>
      <c r="B13" s="15">
        <v>5.1239184599666103</v>
      </c>
      <c r="C13" s="15">
        <v>7.0428566455046102</v>
      </c>
      <c r="D13" s="24">
        <v>3.5285057085531801</v>
      </c>
      <c r="E13" s="15">
        <v>2.3929254457889102</v>
      </c>
      <c r="F13" s="15">
        <v>2.8497783721493399</v>
      </c>
      <c r="G13" s="26" t="s">
        <v>80</v>
      </c>
      <c r="H13" s="15">
        <v>7.8491973861278002</v>
      </c>
      <c r="I13" s="15">
        <v>11.928614608297099</v>
      </c>
      <c r="J13" s="24">
        <v>4.5060032160956398</v>
      </c>
      <c r="K13" s="20" t="s">
        <v>80</v>
      </c>
      <c r="L13" s="20" t="s">
        <v>80</v>
      </c>
      <c r="M13" s="26" t="s">
        <v>80</v>
      </c>
      <c r="N13" s="20" t="s">
        <v>80</v>
      </c>
      <c r="O13" s="20" t="s">
        <v>80</v>
      </c>
      <c r="P13" s="26" t="s">
        <v>80</v>
      </c>
    </row>
    <row r="14" spans="1:16">
      <c r="A14" s="9" t="s">
        <v>163</v>
      </c>
      <c r="B14" s="15">
        <v>32.322265795620602</v>
      </c>
      <c r="C14" s="15">
        <v>37.0243086692182</v>
      </c>
      <c r="D14" s="24">
        <v>28.412968865283499</v>
      </c>
      <c r="E14" s="15">
        <v>33.522371670950101</v>
      </c>
      <c r="F14" s="15">
        <v>39.794168606021003</v>
      </c>
      <c r="G14" s="24">
        <v>28.190204063118902</v>
      </c>
      <c r="H14" s="15">
        <v>31.0812471417204</v>
      </c>
      <c r="I14" s="15">
        <v>34.380074885431497</v>
      </c>
      <c r="J14" s="24">
        <v>28.377767433692298</v>
      </c>
      <c r="K14" s="15">
        <v>36.910243145139702</v>
      </c>
      <c r="L14" s="20" t="s">
        <v>80</v>
      </c>
      <c r="M14" s="26" t="s">
        <v>80</v>
      </c>
      <c r="N14" s="15">
        <v>28.6597081526354</v>
      </c>
      <c r="O14" s="20" t="s">
        <v>80</v>
      </c>
      <c r="P14" s="26" t="s">
        <v>80</v>
      </c>
    </row>
    <row r="15" spans="1:16">
      <c r="A15" s="9" t="s">
        <v>164</v>
      </c>
      <c r="B15" s="15">
        <v>32.424333471460102</v>
      </c>
      <c r="C15" s="15">
        <v>35.843828405912603</v>
      </c>
      <c r="D15" s="24">
        <v>29.5813519398328</v>
      </c>
      <c r="E15" s="15">
        <v>40.360787266753</v>
      </c>
      <c r="F15" s="15">
        <v>42.292404627101199</v>
      </c>
      <c r="G15" s="24">
        <v>38.718561342316796</v>
      </c>
      <c r="H15" s="15">
        <v>24.137864469680999</v>
      </c>
      <c r="I15" s="15">
        <v>28.534465140773001</v>
      </c>
      <c r="J15" s="24">
        <v>20.5347297739516</v>
      </c>
      <c r="K15" s="20" t="s">
        <v>80</v>
      </c>
      <c r="L15" s="20" t="s">
        <v>80</v>
      </c>
      <c r="M15" s="26" t="s">
        <v>80</v>
      </c>
      <c r="N15" s="15">
        <v>31.4252072398459</v>
      </c>
      <c r="O15" s="20" t="s">
        <v>80</v>
      </c>
      <c r="P15" s="26" t="s">
        <v>80</v>
      </c>
    </row>
    <row r="16" spans="1:16">
      <c r="A16" s="9" t="s">
        <v>165</v>
      </c>
      <c r="B16" s="15">
        <v>3.6917283954781701</v>
      </c>
      <c r="C16" s="15">
        <v>6.3711399991730602</v>
      </c>
      <c r="D16" s="24">
        <v>1.4640550545458999</v>
      </c>
      <c r="E16" s="15">
        <v>4.3048488910152702</v>
      </c>
      <c r="F16" s="15">
        <v>7.7254426486607199</v>
      </c>
      <c r="G16" s="26" t="s">
        <v>80</v>
      </c>
      <c r="H16" s="15">
        <v>2.7964234751602399</v>
      </c>
      <c r="I16" s="15">
        <v>4.8705677620724099</v>
      </c>
      <c r="J16" s="26" t="s">
        <v>80</v>
      </c>
      <c r="K16" s="20" t="s">
        <v>80</v>
      </c>
      <c r="L16" s="20" t="s">
        <v>80</v>
      </c>
      <c r="M16" s="26" t="s">
        <v>80</v>
      </c>
      <c r="N16" s="20" t="s">
        <v>80</v>
      </c>
      <c r="O16" s="20" t="s">
        <v>80</v>
      </c>
      <c r="P16" s="26" t="s">
        <v>80</v>
      </c>
    </row>
    <row r="17" spans="1:16">
      <c r="A17" s="9" t="s">
        <v>166</v>
      </c>
      <c r="B17" s="15">
        <v>59.003311851624197</v>
      </c>
      <c r="C17" s="15">
        <v>58.308610016825902</v>
      </c>
      <c r="D17" s="24">
        <v>59.580889688169599</v>
      </c>
      <c r="E17" s="15">
        <v>61.354338543124399</v>
      </c>
      <c r="F17" s="15">
        <v>61.4669270161572</v>
      </c>
      <c r="G17" s="24">
        <v>61.258617872456099</v>
      </c>
      <c r="H17" s="15">
        <v>56.954380375591498</v>
      </c>
      <c r="I17" s="15">
        <v>55.514702285402798</v>
      </c>
      <c r="J17" s="24">
        <v>58.134236010775297</v>
      </c>
      <c r="K17" s="15">
        <v>51.6205766935648</v>
      </c>
      <c r="L17" s="20" t="s">
        <v>80</v>
      </c>
      <c r="M17" s="24">
        <v>51.179224898579903</v>
      </c>
      <c r="N17" s="15">
        <v>53.4989415195056</v>
      </c>
      <c r="O17" s="15">
        <v>47.934393555701398</v>
      </c>
      <c r="P17" s="24">
        <v>59.487313953125103</v>
      </c>
    </row>
    <row r="18" spans="1:16">
      <c r="A18" s="9" t="s">
        <v>167</v>
      </c>
      <c r="B18" s="15">
        <v>37.237983025390598</v>
      </c>
      <c r="C18" s="15">
        <v>48.338523261736</v>
      </c>
      <c r="D18" s="24">
        <v>28.008950233134101</v>
      </c>
      <c r="E18" s="15">
        <v>21.490419720133701</v>
      </c>
      <c r="F18" s="15">
        <v>35.202978797097501</v>
      </c>
      <c r="G18" s="24">
        <v>9.8322515607349494</v>
      </c>
      <c r="H18" s="15">
        <v>53.480903856299001</v>
      </c>
      <c r="I18" s="15">
        <v>62.456341773467301</v>
      </c>
      <c r="J18" s="24">
        <v>46.125286599232503</v>
      </c>
      <c r="K18" s="15">
        <v>43.439348040511199</v>
      </c>
      <c r="L18" s="20" t="s">
        <v>80</v>
      </c>
      <c r="M18" s="26" t="s">
        <v>80</v>
      </c>
      <c r="N18" s="15">
        <v>47.169843710956997</v>
      </c>
      <c r="O18" s="15">
        <v>47.451819304077297</v>
      </c>
      <c r="P18" s="26" t="s">
        <v>80</v>
      </c>
    </row>
    <row r="19" spans="1:16">
      <c r="A19" s="9" t="s">
        <v>168</v>
      </c>
      <c r="B19" s="15">
        <v>40.948719438561497</v>
      </c>
      <c r="C19" s="15">
        <v>47.753043080307798</v>
      </c>
      <c r="D19" s="24">
        <v>35.291578012850501</v>
      </c>
      <c r="E19" s="15">
        <v>44.048803031943599</v>
      </c>
      <c r="F19" s="15">
        <v>51.896180077008601</v>
      </c>
      <c r="G19" s="24">
        <v>37.3771058900684</v>
      </c>
      <c r="H19" s="15">
        <v>37.488009436556197</v>
      </c>
      <c r="I19" s="15">
        <v>43.053428434289401</v>
      </c>
      <c r="J19" s="24">
        <v>32.926996102128598</v>
      </c>
      <c r="K19" s="15">
        <v>47.1922471335834</v>
      </c>
      <c r="L19" s="20" t="s">
        <v>80</v>
      </c>
      <c r="M19" s="26" t="s">
        <v>80</v>
      </c>
      <c r="N19" s="15">
        <v>40.077158791863297</v>
      </c>
      <c r="O19" s="15">
        <v>46.119566328772997</v>
      </c>
      <c r="P19" s="26" t="s">
        <v>80</v>
      </c>
    </row>
    <row r="20" spans="1:16">
      <c r="A20" s="9" t="s">
        <v>169</v>
      </c>
      <c r="B20" s="15">
        <v>4.0659583093003997</v>
      </c>
      <c r="C20" s="15">
        <v>6.0244623632507803</v>
      </c>
      <c r="D20" s="24">
        <v>2.4376503393428899</v>
      </c>
      <c r="E20" s="15">
        <v>4.9220731626866403</v>
      </c>
      <c r="F20" s="15">
        <v>7.4780991917985098</v>
      </c>
      <c r="G20" s="24">
        <v>2.7489863522716398</v>
      </c>
      <c r="H20" s="15">
        <v>2.8346833329330599</v>
      </c>
      <c r="I20" s="15">
        <v>4.3691423666967397</v>
      </c>
      <c r="J20" s="24">
        <v>1.5771521179464401</v>
      </c>
      <c r="K20" s="20" t="s">
        <v>80</v>
      </c>
      <c r="L20" s="20" t="s">
        <v>80</v>
      </c>
      <c r="M20" s="26" t="s">
        <v>80</v>
      </c>
      <c r="N20" s="20" t="s">
        <v>80</v>
      </c>
      <c r="O20" s="20" t="s">
        <v>80</v>
      </c>
      <c r="P20" s="26" t="s">
        <v>80</v>
      </c>
    </row>
    <row r="21" spans="1:16">
      <c r="A21" s="9" t="s">
        <v>170</v>
      </c>
      <c r="B21" s="15">
        <v>10.2872607216612</v>
      </c>
      <c r="C21" s="15">
        <v>13.0266990096009</v>
      </c>
      <c r="D21" s="24">
        <v>8.0096809594638696</v>
      </c>
      <c r="E21" s="15">
        <v>8.9680328852325299</v>
      </c>
      <c r="F21" s="15">
        <v>13.200301644639</v>
      </c>
      <c r="G21" s="24">
        <v>5.3698350130483403</v>
      </c>
      <c r="H21" s="15">
        <v>11.576302149719201</v>
      </c>
      <c r="I21" s="15">
        <v>12.832471895011301</v>
      </c>
      <c r="J21" s="24">
        <v>10.546836630426601</v>
      </c>
      <c r="K21" s="20" t="s">
        <v>80</v>
      </c>
      <c r="L21" s="20" t="s">
        <v>80</v>
      </c>
      <c r="M21" s="26" t="s">
        <v>80</v>
      </c>
      <c r="N21" s="20" t="s">
        <v>80</v>
      </c>
      <c r="O21" s="20" t="s">
        <v>80</v>
      </c>
      <c r="P21" s="26" t="s">
        <v>80</v>
      </c>
    </row>
    <row r="22" spans="1:16">
      <c r="A22" s="9" t="s">
        <v>171</v>
      </c>
      <c r="B22" s="15">
        <v>13.6527705303843</v>
      </c>
      <c r="C22" s="15">
        <v>13.231103351875699</v>
      </c>
      <c r="D22" s="24">
        <v>14.003346280304401</v>
      </c>
      <c r="E22" s="15">
        <v>19.175140872135401</v>
      </c>
      <c r="F22" s="15">
        <v>17.876187223807001</v>
      </c>
      <c r="G22" s="24">
        <v>20.279487623057701</v>
      </c>
      <c r="H22" s="15">
        <v>7.7320175555058199</v>
      </c>
      <c r="I22" s="15">
        <v>8.1335055774670497</v>
      </c>
      <c r="J22" s="24">
        <v>7.4029871226625801</v>
      </c>
      <c r="K22" s="20" t="s">
        <v>80</v>
      </c>
      <c r="L22" s="20" t="s">
        <v>80</v>
      </c>
      <c r="M22" s="26" t="s">
        <v>80</v>
      </c>
      <c r="N22" s="20" t="s">
        <v>80</v>
      </c>
      <c r="O22" s="20" t="s">
        <v>80</v>
      </c>
      <c r="P22" s="26" t="s">
        <v>80</v>
      </c>
    </row>
    <row r="23" spans="1:16">
      <c r="A23" s="9" t="s">
        <v>172</v>
      </c>
      <c r="B23" s="15">
        <v>26.7807369223402</v>
      </c>
      <c r="C23" s="15">
        <v>27.725801473936698</v>
      </c>
      <c r="D23" s="24">
        <v>25.995006538793199</v>
      </c>
      <c r="E23" s="15">
        <v>19.066030333559599</v>
      </c>
      <c r="F23" s="15">
        <v>22.2759266658352</v>
      </c>
      <c r="G23" s="24">
        <v>16.337034891799</v>
      </c>
      <c r="H23" s="15">
        <v>34.771338459892398</v>
      </c>
      <c r="I23" s="15">
        <v>33.302189889153503</v>
      </c>
      <c r="J23" s="24">
        <v>35.975345961236798</v>
      </c>
      <c r="K23" s="20" t="s">
        <v>80</v>
      </c>
      <c r="L23" s="20" t="s">
        <v>80</v>
      </c>
      <c r="M23" s="26" t="s">
        <v>80</v>
      </c>
      <c r="N23" s="15">
        <v>30.489628360798701</v>
      </c>
      <c r="O23" s="20" t="s">
        <v>80</v>
      </c>
      <c r="P23" s="26" t="s">
        <v>80</v>
      </c>
    </row>
    <row r="24" spans="1:16">
      <c r="A24" s="9" t="s">
        <v>173</v>
      </c>
      <c r="B24" s="15">
        <v>64.6412789785482</v>
      </c>
      <c r="C24" s="15">
        <v>71.438149531852105</v>
      </c>
      <c r="D24" s="24">
        <v>58.990334079868603</v>
      </c>
      <c r="E24" s="15">
        <v>76.826139907546406</v>
      </c>
      <c r="F24" s="15">
        <v>80.780189099275901</v>
      </c>
      <c r="G24" s="24">
        <v>73.464479248220101</v>
      </c>
      <c r="H24" s="15">
        <v>52.581876301399198</v>
      </c>
      <c r="I24" s="15">
        <v>61.633084391945403</v>
      </c>
      <c r="J24" s="24">
        <v>45.164163311510301</v>
      </c>
      <c r="K24" s="15">
        <v>52.089831541182399</v>
      </c>
      <c r="L24" s="20" t="s">
        <v>80</v>
      </c>
      <c r="M24" s="26" t="s">
        <v>80</v>
      </c>
      <c r="N24" s="15">
        <v>50.9389137150064</v>
      </c>
      <c r="O24" s="15">
        <v>67.295417078892697</v>
      </c>
      <c r="P24" s="26" t="s">
        <v>80</v>
      </c>
    </row>
    <row r="25" spans="1:16">
      <c r="A25" s="9" t="s">
        <v>174</v>
      </c>
      <c r="B25" s="15">
        <v>2.3975987081705701</v>
      </c>
      <c r="C25" s="15">
        <v>3.0612791646820301</v>
      </c>
      <c r="D25" s="24">
        <v>1.8458121674877099</v>
      </c>
      <c r="E25" s="15">
        <v>3.0468680583438199</v>
      </c>
      <c r="F25" s="15">
        <v>4.08078601149069</v>
      </c>
      <c r="G25" s="24">
        <v>2.16784983182936</v>
      </c>
      <c r="H25" s="15">
        <v>1.4979212517271501</v>
      </c>
      <c r="I25" s="20" t="s">
        <v>80</v>
      </c>
      <c r="J25" s="26" t="s">
        <v>80</v>
      </c>
      <c r="K25" s="20" t="s">
        <v>80</v>
      </c>
      <c r="L25" s="20" t="s">
        <v>80</v>
      </c>
      <c r="M25" s="26" t="s">
        <v>80</v>
      </c>
      <c r="N25" s="20" t="s">
        <v>80</v>
      </c>
      <c r="O25" s="20" t="s">
        <v>80</v>
      </c>
      <c r="P25" s="26" t="s">
        <v>80</v>
      </c>
    </row>
    <row r="26" spans="1:16">
      <c r="A26" s="9" t="s">
        <v>175</v>
      </c>
      <c r="B26" s="15">
        <v>29.174654036447201</v>
      </c>
      <c r="C26" s="15">
        <v>29.138493566365899</v>
      </c>
      <c r="D26" s="24">
        <v>29.204717993431199</v>
      </c>
      <c r="E26" s="15">
        <v>33.955473267763203</v>
      </c>
      <c r="F26" s="15">
        <v>34.141055823085097</v>
      </c>
      <c r="G26" s="24">
        <v>33.797694356821097</v>
      </c>
      <c r="H26" s="15">
        <v>24.055520829573801</v>
      </c>
      <c r="I26" s="15">
        <v>23.756491597240501</v>
      </c>
      <c r="J26" s="24">
        <v>24.300583477437499</v>
      </c>
      <c r="K26" s="20" t="s">
        <v>80</v>
      </c>
      <c r="L26" s="20" t="s">
        <v>80</v>
      </c>
      <c r="M26" s="26" t="s">
        <v>80</v>
      </c>
      <c r="N26" s="15">
        <v>26.284968365701999</v>
      </c>
      <c r="O26" s="20" t="s">
        <v>80</v>
      </c>
      <c r="P26" s="26" t="s">
        <v>80</v>
      </c>
    </row>
    <row r="27" spans="1:16">
      <c r="A27" s="9" t="s">
        <v>176</v>
      </c>
      <c r="B27" s="15">
        <v>19.600646001947499</v>
      </c>
      <c r="C27" s="15">
        <v>27.933087545949601</v>
      </c>
      <c r="D27" s="24">
        <v>12.673021344782899</v>
      </c>
      <c r="E27" s="15">
        <v>9.8492819693183105</v>
      </c>
      <c r="F27" s="15">
        <v>14.745252738164201</v>
      </c>
      <c r="G27" s="24">
        <v>5.6868167280495303</v>
      </c>
      <c r="H27" s="15">
        <v>30.187640544575299</v>
      </c>
      <c r="I27" s="15">
        <v>43.244907161378997</v>
      </c>
      <c r="J27" s="24">
        <v>19.486852845630299</v>
      </c>
      <c r="K27" s="20" t="s">
        <v>80</v>
      </c>
      <c r="L27" s="20" t="s">
        <v>80</v>
      </c>
      <c r="M27" s="26" t="s">
        <v>80</v>
      </c>
      <c r="N27" s="20" t="s">
        <v>80</v>
      </c>
      <c r="O27" s="20" t="s">
        <v>80</v>
      </c>
      <c r="P27" s="26" t="s">
        <v>80</v>
      </c>
    </row>
    <row r="28" spans="1:16">
      <c r="A28" s="9" t="s">
        <v>177</v>
      </c>
      <c r="B28" s="15">
        <v>14.4323803714747</v>
      </c>
      <c r="C28" s="15">
        <v>16.425371393465898</v>
      </c>
      <c r="D28" s="24">
        <v>12.7753998007087</v>
      </c>
      <c r="E28" s="15">
        <v>9.7236251739855</v>
      </c>
      <c r="F28" s="15">
        <v>11.709047943590599</v>
      </c>
      <c r="G28" s="24">
        <v>8.0356548698546</v>
      </c>
      <c r="H28" s="15">
        <v>19.5973492170233</v>
      </c>
      <c r="I28" s="15">
        <v>21.969448359946501</v>
      </c>
      <c r="J28" s="24">
        <v>17.653348985259299</v>
      </c>
      <c r="K28" s="20" t="s">
        <v>80</v>
      </c>
      <c r="L28" s="20" t="s">
        <v>80</v>
      </c>
      <c r="M28" s="26" t="s">
        <v>80</v>
      </c>
      <c r="N28" s="20" t="s">
        <v>80</v>
      </c>
      <c r="O28" s="20" t="s">
        <v>80</v>
      </c>
      <c r="P28" s="26" t="s">
        <v>80</v>
      </c>
    </row>
    <row r="29" spans="1:16">
      <c r="A29" s="9" t="s">
        <v>178</v>
      </c>
      <c r="B29" s="15">
        <v>2.4729472525368599</v>
      </c>
      <c r="C29" s="15">
        <v>3.16546920149352</v>
      </c>
      <c r="D29" s="24">
        <v>1.8971817816499701</v>
      </c>
      <c r="E29" s="15">
        <v>3.0928650120683998</v>
      </c>
      <c r="F29" s="15">
        <v>4.3685891293182904</v>
      </c>
      <c r="G29" s="24">
        <v>2.0082675856927001</v>
      </c>
      <c r="H29" s="15">
        <v>1.47479713131014</v>
      </c>
      <c r="I29" s="20" t="s">
        <v>80</v>
      </c>
      <c r="J29" s="26" t="s">
        <v>80</v>
      </c>
      <c r="K29" s="20" t="s">
        <v>80</v>
      </c>
      <c r="L29" s="20" t="s">
        <v>80</v>
      </c>
      <c r="M29" s="26" t="s">
        <v>80</v>
      </c>
      <c r="N29" s="20" t="s">
        <v>80</v>
      </c>
      <c r="O29" s="20" t="s">
        <v>80</v>
      </c>
      <c r="P29" s="26" t="s">
        <v>80</v>
      </c>
    </row>
    <row r="30" spans="1:16">
      <c r="A30" s="9" t="s">
        <v>179</v>
      </c>
      <c r="B30" s="15">
        <v>8.3853280637905296</v>
      </c>
      <c r="C30" s="15">
        <v>11.0807492661268</v>
      </c>
      <c r="D30" s="24">
        <v>6.1443442796089798</v>
      </c>
      <c r="E30" s="15">
        <v>10.3459590884178</v>
      </c>
      <c r="F30" s="15">
        <v>13.1011159567778</v>
      </c>
      <c r="G30" s="24">
        <v>8.0035748626445997</v>
      </c>
      <c r="H30" s="15">
        <v>5.7703007067455303</v>
      </c>
      <c r="I30" s="15">
        <v>8.2969218775421805</v>
      </c>
      <c r="J30" s="24">
        <v>3.6996654399768798</v>
      </c>
      <c r="K30" s="20" t="s">
        <v>80</v>
      </c>
      <c r="L30" s="20" t="s">
        <v>80</v>
      </c>
      <c r="M30" s="26" t="s">
        <v>80</v>
      </c>
      <c r="N30" s="20" t="s">
        <v>80</v>
      </c>
      <c r="O30" s="20" t="s">
        <v>80</v>
      </c>
      <c r="P30" s="26" t="s">
        <v>80</v>
      </c>
    </row>
    <row r="31" spans="1:16">
      <c r="A31" s="9" t="s">
        <v>180</v>
      </c>
      <c r="B31" s="15">
        <v>13.807907989593099</v>
      </c>
      <c r="C31" s="15">
        <v>15.9391222553147</v>
      </c>
      <c r="D31" s="24">
        <v>12.036008070590199</v>
      </c>
      <c r="E31" s="15">
        <v>17.0026200626004</v>
      </c>
      <c r="F31" s="15">
        <v>20.577403208170001</v>
      </c>
      <c r="G31" s="24">
        <v>13.963404493097601</v>
      </c>
      <c r="H31" s="15">
        <v>10.0428821178623</v>
      </c>
      <c r="I31" s="15">
        <v>10.871952486692299</v>
      </c>
      <c r="J31" s="24">
        <v>9.3634362380547707</v>
      </c>
      <c r="K31" s="20" t="s">
        <v>80</v>
      </c>
      <c r="L31" s="20" t="s">
        <v>80</v>
      </c>
      <c r="M31" s="26" t="s">
        <v>80</v>
      </c>
      <c r="N31" s="20" t="s">
        <v>80</v>
      </c>
      <c r="O31" s="20" t="s">
        <v>80</v>
      </c>
      <c r="P31" s="26" t="s">
        <v>80</v>
      </c>
    </row>
    <row r="32" spans="1:16">
      <c r="A32" s="9" t="s">
        <v>181</v>
      </c>
      <c r="B32" s="15">
        <v>1.73347916308383</v>
      </c>
      <c r="C32" s="15">
        <v>1.9734277213373199</v>
      </c>
      <c r="D32" s="24">
        <v>1.5339849884376799</v>
      </c>
      <c r="E32" s="15">
        <v>1.9776199055777299</v>
      </c>
      <c r="F32" s="15">
        <v>2.4036798987315899</v>
      </c>
      <c r="G32" s="26" t="s">
        <v>80</v>
      </c>
      <c r="H32" s="15">
        <v>1.2171187595995601</v>
      </c>
      <c r="I32" s="20" t="s">
        <v>80</v>
      </c>
      <c r="J32" s="26" t="s">
        <v>80</v>
      </c>
      <c r="K32" s="20" t="s">
        <v>80</v>
      </c>
      <c r="L32" s="20" t="s">
        <v>80</v>
      </c>
      <c r="M32" s="26" t="s">
        <v>80</v>
      </c>
      <c r="N32" s="20" t="s">
        <v>80</v>
      </c>
      <c r="O32" s="20" t="s">
        <v>80</v>
      </c>
      <c r="P32" s="26" t="s">
        <v>80</v>
      </c>
    </row>
    <row r="33" spans="1:16">
      <c r="A33" s="9" t="s">
        <v>182</v>
      </c>
      <c r="B33" s="15">
        <v>10.787624138010001</v>
      </c>
      <c r="C33" s="15">
        <v>12.7014403225623</v>
      </c>
      <c r="D33" s="24">
        <v>9.1964698383523</v>
      </c>
      <c r="E33" s="15">
        <v>9.6928698846770391</v>
      </c>
      <c r="F33" s="15">
        <v>11.980613013783399</v>
      </c>
      <c r="G33" s="24">
        <v>7.7478723131123504</v>
      </c>
      <c r="H33" s="15">
        <v>11.887432188593801</v>
      </c>
      <c r="I33" s="15">
        <v>13.465579901164199</v>
      </c>
      <c r="J33" s="24">
        <v>10.5940969044649</v>
      </c>
      <c r="K33" s="20" t="s">
        <v>80</v>
      </c>
      <c r="L33" s="20" t="s">
        <v>80</v>
      </c>
      <c r="M33" s="26" t="s">
        <v>80</v>
      </c>
      <c r="N33" s="20" t="s">
        <v>80</v>
      </c>
      <c r="O33" s="20" t="s">
        <v>80</v>
      </c>
      <c r="P33" s="26" t="s">
        <v>80</v>
      </c>
    </row>
    <row r="34" spans="1:16">
      <c r="A34" s="9" t="s">
        <v>183</v>
      </c>
      <c r="B34" s="15">
        <v>19.4187360024304</v>
      </c>
      <c r="C34" s="15">
        <v>17.733995758051499</v>
      </c>
      <c r="D34" s="24">
        <v>20.819435664857401</v>
      </c>
      <c r="E34" s="15">
        <v>26.790129583153401</v>
      </c>
      <c r="F34" s="15">
        <v>24.466467429741002</v>
      </c>
      <c r="G34" s="24">
        <v>28.765664855458699</v>
      </c>
      <c r="H34" s="15">
        <v>11.8086455127987</v>
      </c>
      <c r="I34" s="15">
        <v>10.592890392671899</v>
      </c>
      <c r="J34" s="24">
        <v>12.8049901396013</v>
      </c>
      <c r="K34" s="20" t="s">
        <v>80</v>
      </c>
      <c r="L34" s="20" t="s">
        <v>80</v>
      </c>
      <c r="M34" s="26" t="s">
        <v>80</v>
      </c>
      <c r="N34" s="20" t="s">
        <v>80</v>
      </c>
      <c r="O34" s="20" t="s">
        <v>80</v>
      </c>
      <c r="P34" s="26" t="s">
        <v>80</v>
      </c>
    </row>
    <row r="35" spans="1:16">
      <c r="A35" s="9" t="s">
        <v>184</v>
      </c>
      <c r="B35" s="15">
        <v>21.433183666409501</v>
      </c>
      <c r="C35" s="15">
        <v>19.395184892959101</v>
      </c>
      <c r="D35" s="24">
        <v>23.127583858678399</v>
      </c>
      <c r="E35" s="15">
        <v>28.748584680358199</v>
      </c>
      <c r="F35" s="15">
        <v>24.302373416733001</v>
      </c>
      <c r="G35" s="24">
        <v>32.5286725758871</v>
      </c>
      <c r="H35" s="15">
        <v>13.8622374765985</v>
      </c>
      <c r="I35" s="15">
        <v>14.245814071067899</v>
      </c>
      <c r="J35" s="24">
        <v>13.547885949272001</v>
      </c>
      <c r="K35" s="20" t="s">
        <v>80</v>
      </c>
      <c r="L35" s="20" t="s">
        <v>80</v>
      </c>
      <c r="M35" s="26" t="s">
        <v>80</v>
      </c>
      <c r="N35" s="20" t="s">
        <v>80</v>
      </c>
      <c r="O35" s="20" t="s">
        <v>80</v>
      </c>
      <c r="P35" s="26" t="s">
        <v>80</v>
      </c>
    </row>
    <row r="36" spans="1:16">
      <c r="A36" s="9" t="s">
        <v>185</v>
      </c>
      <c r="B36" s="15">
        <v>29.678783506415101</v>
      </c>
      <c r="C36" s="15">
        <v>32.184151261146503</v>
      </c>
      <c r="D36" s="24">
        <v>27.5958109057329</v>
      </c>
      <c r="E36" s="15">
        <v>16.404127892497701</v>
      </c>
      <c r="F36" s="15">
        <v>25.6206904106492</v>
      </c>
      <c r="G36" s="24">
        <v>8.5683741805060993</v>
      </c>
      <c r="H36" s="15">
        <v>43.480328564030103</v>
      </c>
      <c r="I36" s="15">
        <v>38.599571251166402</v>
      </c>
      <c r="J36" s="24">
        <v>47.480242891261</v>
      </c>
      <c r="K36" s="20" t="s">
        <v>80</v>
      </c>
      <c r="L36" s="20" t="s">
        <v>80</v>
      </c>
      <c r="M36" s="26" t="s">
        <v>80</v>
      </c>
      <c r="N36" s="15">
        <v>37.903227856447103</v>
      </c>
      <c r="O36" s="20" t="s">
        <v>80</v>
      </c>
      <c r="P36" s="26" t="s">
        <v>80</v>
      </c>
    </row>
    <row r="37" spans="1:16">
      <c r="A37" s="9" t="s">
        <v>186</v>
      </c>
      <c r="B37" s="15">
        <v>22.239539840544801</v>
      </c>
      <c r="C37" s="15">
        <v>20.484944121907201</v>
      </c>
      <c r="D37" s="24">
        <v>23.698317618894599</v>
      </c>
      <c r="E37" s="15">
        <v>19.871125898893101</v>
      </c>
      <c r="F37" s="15">
        <v>19.862304030141502</v>
      </c>
      <c r="G37" s="24">
        <v>19.878626091148099</v>
      </c>
      <c r="H37" s="15">
        <v>25.118676997214902</v>
      </c>
      <c r="I37" s="15">
        <v>21.743768805822199</v>
      </c>
      <c r="J37" s="24">
        <v>27.8845067163574</v>
      </c>
      <c r="K37" s="20" t="s">
        <v>80</v>
      </c>
      <c r="L37" s="20" t="s">
        <v>80</v>
      </c>
      <c r="M37" s="26" t="s">
        <v>80</v>
      </c>
      <c r="N37" s="20" t="s">
        <v>80</v>
      </c>
      <c r="O37" s="20" t="s">
        <v>80</v>
      </c>
      <c r="P37" s="26" t="s">
        <v>80</v>
      </c>
    </row>
    <row r="38" spans="1:16">
      <c r="A38" s="9" t="s">
        <v>187</v>
      </c>
      <c r="B38" s="15">
        <v>24.6189560692975</v>
      </c>
      <c r="C38" s="15">
        <v>33.324657702543597</v>
      </c>
      <c r="D38" s="24">
        <v>17.381001506531099</v>
      </c>
      <c r="E38" s="15">
        <v>31.085613864495599</v>
      </c>
      <c r="F38" s="15">
        <v>40.102890945867202</v>
      </c>
      <c r="G38" s="24">
        <v>23.419289003870201</v>
      </c>
      <c r="H38" s="15">
        <v>17.443882531279598</v>
      </c>
      <c r="I38" s="15">
        <v>25.71748401304</v>
      </c>
      <c r="J38" s="24">
        <v>10.663439459981699</v>
      </c>
      <c r="K38" s="20" t="s">
        <v>80</v>
      </c>
      <c r="L38" s="20" t="s">
        <v>80</v>
      </c>
      <c r="M38" s="26" t="s">
        <v>80</v>
      </c>
      <c r="N38" s="15">
        <v>27.749249736665501</v>
      </c>
      <c r="O38" s="20" t="s">
        <v>80</v>
      </c>
      <c r="P38" s="26" t="s">
        <v>80</v>
      </c>
    </row>
    <row r="39" spans="1:16">
      <c r="A39" s="9" t="s">
        <v>188</v>
      </c>
      <c r="B39" s="15">
        <v>40.110180025861197</v>
      </c>
      <c r="C39" s="15">
        <v>30.697851602664301</v>
      </c>
      <c r="D39" s="24">
        <v>47.935626879767803</v>
      </c>
      <c r="E39" s="15">
        <v>48.356737622751503</v>
      </c>
      <c r="F39" s="15">
        <v>40.158328714652903</v>
      </c>
      <c r="G39" s="24">
        <v>55.3268756658169</v>
      </c>
      <c r="H39" s="15">
        <v>31.8577365927286</v>
      </c>
      <c r="I39" s="15">
        <v>20.627061926883101</v>
      </c>
      <c r="J39" s="24">
        <v>41.0615821480053</v>
      </c>
      <c r="K39" s="20" t="s">
        <v>80</v>
      </c>
      <c r="L39" s="20" t="s">
        <v>80</v>
      </c>
      <c r="M39" s="26" t="s">
        <v>80</v>
      </c>
      <c r="N39" s="15">
        <v>31.581957255549199</v>
      </c>
      <c r="O39" s="20" t="s">
        <v>80</v>
      </c>
      <c r="P39" s="26" t="s">
        <v>80</v>
      </c>
    </row>
    <row r="40" spans="1:16">
      <c r="A40" s="9" t="s">
        <v>189</v>
      </c>
      <c r="B40" s="15">
        <v>14.5522011063891</v>
      </c>
      <c r="C40" s="15">
        <v>17.292675931876001</v>
      </c>
      <c r="D40" s="24">
        <v>12.273759562799899</v>
      </c>
      <c r="E40" s="15">
        <v>8.3471906704941308</v>
      </c>
      <c r="F40" s="15">
        <v>10.831743223070101</v>
      </c>
      <c r="G40" s="24">
        <v>6.2348693090165401</v>
      </c>
      <c r="H40" s="15">
        <v>20.704123274447099</v>
      </c>
      <c r="I40" s="15">
        <v>24.4455049863253</v>
      </c>
      <c r="J40" s="24">
        <v>17.637958465650101</v>
      </c>
      <c r="K40" s="20" t="s">
        <v>80</v>
      </c>
      <c r="L40" s="20" t="s">
        <v>80</v>
      </c>
      <c r="M40" s="26" t="s">
        <v>80</v>
      </c>
      <c r="N40" s="20" t="s">
        <v>80</v>
      </c>
      <c r="O40" s="20" t="s">
        <v>80</v>
      </c>
      <c r="P40" s="26" t="s">
        <v>80</v>
      </c>
    </row>
    <row r="41" spans="1:16">
      <c r="A41" s="9" t="s">
        <v>190</v>
      </c>
      <c r="B41" s="15">
        <v>34.119233912861802</v>
      </c>
      <c r="C41" s="15">
        <v>33.755491263715903</v>
      </c>
      <c r="D41" s="24">
        <v>34.421650981349899</v>
      </c>
      <c r="E41" s="15">
        <v>36.268388886708003</v>
      </c>
      <c r="F41" s="15">
        <v>36.661973027738</v>
      </c>
      <c r="G41" s="24">
        <v>35.933770813214501</v>
      </c>
      <c r="H41" s="15">
        <v>31.9243626050262</v>
      </c>
      <c r="I41" s="15">
        <v>30.321059464003699</v>
      </c>
      <c r="J41" s="24">
        <v>33.238313451909796</v>
      </c>
      <c r="K41" s="20" t="s">
        <v>80</v>
      </c>
      <c r="L41" s="20" t="s">
        <v>80</v>
      </c>
      <c r="M41" s="26" t="s">
        <v>80</v>
      </c>
      <c r="N41" s="15">
        <v>32.2691389508418</v>
      </c>
      <c r="O41" s="20" t="s">
        <v>80</v>
      </c>
      <c r="P41" s="26" t="s">
        <v>80</v>
      </c>
    </row>
    <row r="42" spans="1:16">
      <c r="A42" s="9" t="s">
        <v>191</v>
      </c>
      <c r="B42" s="15">
        <v>5.9957511045176002</v>
      </c>
      <c r="C42" s="15">
        <v>7.3982167343515401</v>
      </c>
      <c r="D42" s="24">
        <v>4.8297356663346402</v>
      </c>
      <c r="E42" s="15">
        <v>6.3488983160585999</v>
      </c>
      <c r="F42" s="15">
        <v>7.9131520963089299</v>
      </c>
      <c r="G42" s="24">
        <v>5.0189982214242299</v>
      </c>
      <c r="H42" s="15">
        <v>5.3463769163191603</v>
      </c>
      <c r="I42" s="15">
        <v>6.6447472780830603</v>
      </c>
      <c r="J42" s="24">
        <v>4.2823268357335396</v>
      </c>
      <c r="K42" s="20" t="s">
        <v>80</v>
      </c>
      <c r="L42" s="20" t="s">
        <v>80</v>
      </c>
      <c r="M42" s="26" t="s">
        <v>80</v>
      </c>
      <c r="N42" s="20" t="s">
        <v>80</v>
      </c>
      <c r="O42" s="20" t="s">
        <v>80</v>
      </c>
      <c r="P42" s="26" t="s">
        <v>80</v>
      </c>
    </row>
    <row r="43" spans="1:16">
      <c r="A43" s="9" t="s">
        <v>192</v>
      </c>
      <c r="B43" s="15">
        <v>37.2908576848181</v>
      </c>
      <c r="C43" s="15">
        <v>40.092912955126103</v>
      </c>
      <c r="D43" s="24">
        <v>34.961217917312503</v>
      </c>
      <c r="E43" s="15">
        <v>50.674960938961704</v>
      </c>
      <c r="F43" s="15">
        <v>53.112820623012603</v>
      </c>
      <c r="G43" s="24">
        <v>48.602337004496398</v>
      </c>
      <c r="H43" s="15">
        <v>23.021041532074602</v>
      </c>
      <c r="I43" s="15">
        <v>25.493790824944</v>
      </c>
      <c r="J43" s="24">
        <v>20.9945557450983</v>
      </c>
      <c r="K43" s="20" t="s">
        <v>80</v>
      </c>
      <c r="L43" s="20" t="s">
        <v>80</v>
      </c>
      <c r="M43" s="26" t="s">
        <v>80</v>
      </c>
      <c r="N43" s="15">
        <v>36.690169785852397</v>
      </c>
      <c r="O43" s="15">
        <v>43.062652057245799</v>
      </c>
      <c r="P43" s="26" t="s">
        <v>80</v>
      </c>
    </row>
    <row r="44" spans="1:16">
      <c r="A44" s="9" t="s">
        <v>193</v>
      </c>
      <c r="B44" s="15">
        <v>72.043151028281599</v>
      </c>
      <c r="C44" s="15">
        <v>70.671880009068104</v>
      </c>
      <c r="D44" s="24">
        <v>73.183231144558803</v>
      </c>
      <c r="E44" s="15">
        <v>73.818953649803305</v>
      </c>
      <c r="F44" s="15">
        <v>73.911908149997998</v>
      </c>
      <c r="G44" s="24">
        <v>73.739925425504694</v>
      </c>
      <c r="H44" s="15">
        <v>70.192334109015505</v>
      </c>
      <c r="I44" s="15">
        <v>67.3893647058933</v>
      </c>
      <c r="J44" s="24">
        <v>72.489444322791101</v>
      </c>
      <c r="K44" s="15">
        <v>78.862921852687705</v>
      </c>
      <c r="L44" s="20" t="s">
        <v>80</v>
      </c>
      <c r="M44" s="24">
        <v>81.674695173806597</v>
      </c>
      <c r="N44" s="15">
        <v>66.906235207959796</v>
      </c>
      <c r="O44" s="15">
        <v>65.847398305122098</v>
      </c>
      <c r="P44" s="24">
        <v>68.045718551781505</v>
      </c>
    </row>
    <row r="45" spans="1:16">
      <c r="A45" s="9" t="s">
        <v>194</v>
      </c>
      <c r="B45" s="15">
        <v>5.4251793357368099</v>
      </c>
      <c r="C45" s="15">
        <v>7.5933439127180797</v>
      </c>
      <c r="D45" s="24">
        <v>3.6225587826891501</v>
      </c>
      <c r="E45" s="15">
        <v>6.0187540375949604</v>
      </c>
      <c r="F45" s="15">
        <v>8.10752181908693</v>
      </c>
      <c r="G45" s="24">
        <v>4.2429216852314697</v>
      </c>
      <c r="H45" s="15">
        <v>4.48440347318384</v>
      </c>
      <c r="I45" s="15">
        <v>6.9519724982544098</v>
      </c>
      <c r="J45" s="24">
        <v>2.4621630575832598</v>
      </c>
      <c r="K45" s="20" t="s">
        <v>80</v>
      </c>
      <c r="L45" s="20" t="s">
        <v>80</v>
      </c>
      <c r="M45" s="26" t="s">
        <v>80</v>
      </c>
      <c r="N45" s="20" t="s">
        <v>80</v>
      </c>
      <c r="O45" s="20" t="s">
        <v>80</v>
      </c>
      <c r="P45" s="26" t="s">
        <v>80</v>
      </c>
    </row>
    <row r="46" spans="1:16">
      <c r="A46" s="9" t="s">
        <v>195</v>
      </c>
      <c r="B46" s="15">
        <v>24.301956762269398</v>
      </c>
      <c r="C46" s="15">
        <v>27.834264008305698</v>
      </c>
      <c r="D46" s="24">
        <v>21.3651826312901</v>
      </c>
      <c r="E46" s="15">
        <v>21.091950577060299</v>
      </c>
      <c r="F46" s="15">
        <v>26.8911616012869</v>
      </c>
      <c r="G46" s="24">
        <v>16.1615669095908</v>
      </c>
      <c r="H46" s="15">
        <v>27.098694088402901</v>
      </c>
      <c r="I46" s="15">
        <v>29.073253733458198</v>
      </c>
      <c r="J46" s="24">
        <v>25.480488365817099</v>
      </c>
      <c r="K46" s="15">
        <v>43.271774097008702</v>
      </c>
      <c r="L46" s="20" t="s">
        <v>80</v>
      </c>
      <c r="M46" s="26" t="s">
        <v>80</v>
      </c>
      <c r="N46" s="15">
        <v>26.6143702902665</v>
      </c>
      <c r="O46" s="20" t="s">
        <v>80</v>
      </c>
      <c r="P46" s="26" t="s">
        <v>80</v>
      </c>
    </row>
    <row r="47" spans="1:16">
      <c r="A47" s="9" t="s">
        <v>196</v>
      </c>
      <c r="B47" s="15">
        <v>8.4771783382481196</v>
      </c>
      <c r="C47" s="15">
        <v>7.30270510359159</v>
      </c>
      <c r="D47" s="24">
        <v>9.4536400027698804</v>
      </c>
      <c r="E47" s="15">
        <v>9.0994326195662207</v>
      </c>
      <c r="F47" s="15">
        <v>7.8980828276801702</v>
      </c>
      <c r="G47" s="24">
        <v>10.1207983481263</v>
      </c>
      <c r="H47" s="15">
        <v>7.5563582962408002</v>
      </c>
      <c r="I47" s="15">
        <v>6.5499173149759002</v>
      </c>
      <c r="J47" s="24">
        <v>8.3811642520427405</v>
      </c>
      <c r="K47" s="20" t="s">
        <v>80</v>
      </c>
      <c r="L47" s="20" t="s">
        <v>80</v>
      </c>
      <c r="M47" s="26" t="s">
        <v>80</v>
      </c>
      <c r="N47" s="20" t="s">
        <v>80</v>
      </c>
      <c r="O47" s="20" t="s">
        <v>80</v>
      </c>
      <c r="P47" s="26" t="s">
        <v>80</v>
      </c>
    </row>
    <row r="48" spans="1:16">
      <c r="A48" s="9" t="s">
        <v>197</v>
      </c>
      <c r="B48" s="15">
        <v>9.3790376916057294</v>
      </c>
      <c r="C48" s="15">
        <v>12.4162537696534</v>
      </c>
      <c r="D48" s="24">
        <v>6.8538843040532802</v>
      </c>
      <c r="E48" s="15">
        <v>10.210777554858501</v>
      </c>
      <c r="F48" s="15">
        <v>13.4153508051079</v>
      </c>
      <c r="G48" s="24">
        <v>7.4863077005568499</v>
      </c>
      <c r="H48" s="15">
        <v>8.3295828450357305</v>
      </c>
      <c r="I48" s="15">
        <v>11.337621059679501</v>
      </c>
      <c r="J48" s="24">
        <v>5.8644131223165603</v>
      </c>
      <c r="K48" s="20" t="s">
        <v>80</v>
      </c>
      <c r="L48" s="20" t="s">
        <v>80</v>
      </c>
      <c r="M48" s="26" t="s">
        <v>80</v>
      </c>
      <c r="N48" s="20" t="s">
        <v>80</v>
      </c>
      <c r="O48" s="20" t="s">
        <v>80</v>
      </c>
      <c r="P48" s="26" t="s">
        <v>80</v>
      </c>
    </row>
    <row r="49" spans="1:16">
      <c r="A49" s="9" t="s">
        <v>198</v>
      </c>
      <c r="B49" s="15">
        <v>20.279194480111101</v>
      </c>
      <c r="C49" s="15">
        <v>20.9850887923023</v>
      </c>
      <c r="D49" s="24">
        <v>19.692311173859899</v>
      </c>
      <c r="E49" s="15">
        <v>20.667648138959098</v>
      </c>
      <c r="F49" s="15">
        <v>23.114972669656801</v>
      </c>
      <c r="G49" s="24">
        <v>18.586977364134398</v>
      </c>
      <c r="H49" s="15">
        <v>20.174616081405802</v>
      </c>
      <c r="I49" s="15">
        <v>19.0095611276925</v>
      </c>
      <c r="J49" s="24">
        <v>21.129410532891299</v>
      </c>
      <c r="K49" s="20" t="s">
        <v>80</v>
      </c>
      <c r="L49" s="20" t="s">
        <v>80</v>
      </c>
      <c r="M49" s="26" t="s">
        <v>80</v>
      </c>
      <c r="N49" s="20" t="s">
        <v>80</v>
      </c>
      <c r="O49" s="20" t="s">
        <v>80</v>
      </c>
      <c r="P49" s="26" t="s">
        <v>80</v>
      </c>
    </row>
    <row r="50" spans="1:16">
      <c r="A50" s="9" t="s">
        <v>199</v>
      </c>
      <c r="B50" s="15">
        <v>64.005612994388599</v>
      </c>
      <c r="C50" s="15">
        <v>70.797395067191303</v>
      </c>
      <c r="D50" s="24">
        <v>58.358898678402099</v>
      </c>
      <c r="E50" s="15">
        <v>62.143735211123499</v>
      </c>
      <c r="F50" s="15">
        <v>70.464682163294796</v>
      </c>
      <c r="G50" s="24">
        <v>55.069417553173302</v>
      </c>
      <c r="H50" s="15">
        <v>66.119967938164194</v>
      </c>
      <c r="I50" s="15">
        <v>71.770718955485606</v>
      </c>
      <c r="J50" s="24">
        <v>61.489022675996097</v>
      </c>
      <c r="K50" s="15">
        <v>61.733585131134703</v>
      </c>
      <c r="L50" s="20" t="s">
        <v>80</v>
      </c>
      <c r="M50" s="24">
        <v>59.817488769571199</v>
      </c>
      <c r="N50" s="15">
        <v>62.915754406863996</v>
      </c>
      <c r="O50" s="15">
        <v>60.864821554594897</v>
      </c>
      <c r="P50" s="24">
        <v>65.122896808299302</v>
      </c>
    </row>
    <row r="51" spans="1:16">
      <c r="A51" s="9" t="s">
        <v>200</v>
      </c>
      <c r="B51" s="15">
        <v>39.899335012430399</v>
      </c>
      <c r="C51" s="15">
        <v>32.5671525148896</v>
      </c>
      <c r="D51" s="24">
        <v>45.995340366030199</v>
      </c>
      <c r="E51" s="15">
        <v>45.579872779255702</v>
      </c>
      <c r="F51" s="15">
        <v>38.362700952699697</v>
      </c>
      <c r="G51" s="24">
        <v>51.7157809140555</v>
      </c>
      <c r="H51" s="15">
        <v>34.337802460287499</v>
      </c>
      <c r="I51" s="15">
        <v>26.622846256103301</v>
      </c>
      <c r="J51" s="24">
        <v>40.660420422410603</v>
      </c>
      <c r="K51" s="20" t="s">
        <v>80</v>
      </c>
      <c r="L51" s="20" t="s">
        <v>80</v>
      </c>
      <c r="M51" s="26" t="s">
        <v>80</v>
      </c>
      <c r="N51" s="15">
        <v>29.885164178600501</v>
      </c>
      <c r="O51" s="20" t="s">
        <v>80</v>
      </c>
      <c r="P51" s="26" t="s">
        <v>80</v>
      </c>
    </row>
    <row r="52" spans="1:16">
      <c r="A52" s="9" t="s">
        <v>201</v>
      </c>
      <c r="B52" s="15">
        <v>14.811013010176101</v>
      </c>
      <c r="C52" s="15">
        <v>15.4141469042957</v>
      </c>
      <c r="D52" s="24">
        <v>14.3095651194936</v>
      </c>
      <c r="E52" s="15">
        <v>18.400896064413701</v>
      </c>
      <c r="F52" s="15">
        <v>19.466665743482</v>
      </c>
      <c r="G52" s="24">
        <v>17.494798080220601</v>
      </c>
      <c r="H52" s="15">
        <v>10.661641378561599</v>
      </c>
      <c r="I52" s="15">
        <v>10.862270213119199</v>
      </c>
      <c r="J52" s="24">
        <v>10.4972205523739</v>
      </c>
      <c r="K52" s="20" t="s">
        <v>80</v>
      </c>
      <c r="L52" s="20" t="s">
        <v>80</v>
      </c>
      <c r="M52" s="26" t="s">
        <v>80</v>
      </c>
      <c r="N52" s="20" t="s">
        <v>80</v>
      </c>
      <c r="O52" s="20" t="s">
        <v>80</v>
      </c>
      <c r="P52" s="26" t="s">
        <v>80</v>
      </c>
    </row>
    <row r="53" spans="1:16">
      <c r="A53" s="9" t="s">
        <v>202</v>
      </c>
      <c r="B53" s="15">
        <v>32.772509139135202</v>
      </c>
      <c r="C53" s="15">
        <v>34.083234945545001</v>
      </c>
      <c r="D53" s="24">
        <v>31.6827665508054</v>
      </c>
      <c r="E53" s="15">
        <v>35.739243471076598</v>
      </c>
      <c r="F53" s="15">
        <v>37.957530817267802</v>
      </c>
      <c r="G53" s="24">
        <v>33.853295942054899</v>
      </c>
      <c r="H53" s="15">
        <v>29.624134717642601</v>
      </c>
      <c r="I53" s="15">
        <v>29.670021852460302</v>
      </c>
      <c r="J53" s="24">
        <v>29.586528953572198</v>
      </c>
      <c r="K53" s="20" t="s">
        <v>80</v>
      </c>
      <c r="L53" s="20" t="s">
        <v>80</v>
      </c>
      <c r="M53" s="26" t="s">
        <v>80</v>
      </c>
      <c r="N53" s="15">
        <v>33.064303635210102</v>
      </c>
      <c r="O53" s="20" t="s">
        <v>80</v>
      </c>
      <c r="P53" s="26" t="s">
        <v>80</v>
      </c>
    </row>
    <row r="54" spans="1:16">
      <c r="A54" s="9" t="s">
        <v>203</v>
      </c>
      <c r="B54" s="15">
        <v>39.734202360118204</v>
      </c>
      <c r="C54" s="15">
        <v>46.805952582603503</v>
      </c>
      <c r="D54" s="24">
        <v>33.854721423841603</v>
      </c>
      <c r="E54" s="15">
        <v>39.758984626262702</v>
      </c>
      <c r="F54" s="15">
        <v>47.945404159314798</v>
      </c>
      <c r="G54" s="24">
        <v>32.799039731655803</v>
      </c>
      <c r="H54" s="15">
        <v>39.894473680091401</v>
      </c>
      <c r="I54" s="15">
        <v>45.967036826608599</v>
      </c>
      <c r="J54" s="24">
        <v>34.917841822418303</v>
      </c>
      <c r="K54" s="15">
        <v>42.613843216987497</v>
      </c>
      <c r="L54" s="20" t="s">
        <v>80</v>
      </c>
      <c r="M54" s="26" t="s">
        <v>80</v>
      </c>
      <c r="N54" s="15">
        <v>34.161162953094198</v>
      </c>
      <c r="O54" s="20" t="s">
        <v>80</v>
      </c>
      <c r="P54" s="26" t="s">
        <v>80</v>
      </c>
    </row>
    <row r="55" spans="1:16">
      <c r="A55" s="9" t="s">
        <v>204</v>
      </c>
      <c r="B55" s="15">
        <v>7.5138636934733603</v>
      </c>
      <c r="C55" s="15">
        <v>9.4412308284352093</v>
      </c>
      <c r="D55" s="24">
        <v>5.9114430803720701</v>
      </c>
      <c r="E55" s="15">
        <v>8.1922143778776899</v>
      </c>
      <c r="F55" s="15">
        <v>10.6728043540791</v>
      </c>
      <c r="G55" s="24">
        <v>6.0832619267150996</v>
      </c>
      <c r="H55" s="15">
        <v>6.7741191227017001</v>
      </c>
      <c r="I55" s="15">
        <v>8.3810014323612005</v>
      </c>
      <c r="J55" s="24">
        <v>5.4572350490680899</v>
      </c>
      <c r="K55" s="20" t="s">
        <v>80</v>
      </c>
      <c r="L55" s="20" t="s">
        <v>80</v>
      </c>
      <c r="M55" s="26" t="s">
        <v>80</v>
      </c>
      <c r="N55" s="20" t="s">
        <v>80</v>
      </c>
      <c r="O55" s="20" t="s">
        <v>80</v>
      </c>
      <c r="P55" s="26" t="s">
        <v>80</v>
      </c>
    </row>
    <row r="56" spans="1:16">
      <c r="A56" s="9" t="s">
        <v>205</v>
      </c>
      <c r="B56" s="15">
        <v>15.885524455766401</v>
      </c>
      <c r="C56" s="15">
        <v>14.6635460642523</v>
      </c>
      <c r="D56" s="24">
        <v>16.9014820944574</v>
      </c>
      <c r="E56" s="15">
        <v>14.842460185256501</v>
      </c>
      <c r="F56" s="15">
        <v>16.5696445025069</v>
      </c>
      <c r="G56" s="24">
        <v>13.374039513391599</v>
      </c>
      <c r="H56" s="15">
        <v>16.771175120687499</v>
      </c>
      <c r="I56" s="15">
        <v>12.3894539975922</v>
      </c>
      <c r="J56" s="24">
        <v>20.362115619205301</v>
      </c>
      <c r="K56" s="20" t="s">
        <v>80</v>
      </c>
      <c r="L56" s="20" t="s">
        <v>80</v>
      </c>
      <c r="M56" s="26" t="s">
        <v>80</v>
      </c>
      <c r="N56" s="20" t="s">
        <v>80</v>
      </c>
      <c r="O56" s="20" t="s">
        <v>80</v>
      </c>
      <c r="P56" s="26" t="s">
        <v>80</v>
      </c>
    </row>
    <row r="57" spans="1:16">
      <c r="A57" s="9" t="s">
        <v>206</v>
      </c>
      <c r="B57" s="15">
        <v>10.759929824599601</v>
      </c>
      <c r="C57" s="15">
        <v>12.150588998678099</v>
      </c>
      <c r="D57" s="24">
        <v>9.6037303201467292</v>
      </c>
      <c r="E57" s="15">
        <v>11.005610088341401</v>
      </c>
      <c r="F57" s="15">
        <v>12.526589605763901</v>
      </c>
      <c r="G57" s="24">
        <v>9.7125009843739996</v>
      </c>
      <c r="H57" s="15">
        <v>10.5293489126209</v>
      </c>
      <c r="I57" s="15">
        <v>12.0529305213136</v>
      </c>
      <c r="J57" s="24">
        <v>9.2807320454693496</v>
      </c>
      <c r="K57" s="20" t="s">
        <v>80</v>
      </c>
      <c r="L57" s="20" t="s">
        <v>80</v>
      </c>
      <c r="M57" s="26" t="s">
        <v>80</v>
      </c>
      <c r="N57" s="20" t="s">
        <v>80</v>
      </c>
      <c r="O57" s="20" t="s">
        <v>80</v>
      </c>
      <c r="P57" s="26" t="s">
        <v>80</v>
      </c>
    </row>
    <row r="58" spans="1:16">
      <c r="A58" s="9" t="s">
        <v>207</v>
      </c>
      <c r="B58" s="15">
        <v>24.687794961110001</v>
      </c>
      <c r="C58" s="15">
        <v>18.1581310381668</v>
      </c>
      <c r="D58" s="24">
        <v>30.116583216833298</v>
      </c>
      <c r="E58" s="15">
        <v>33.162266654044501</v>
      </c>
      <c r="F58" s="15">
        <v>23.749053733093501</v>
      </c>
      <c r="G58" s="24">
        <v>41.165208959469403</v>
      </c>
      <c r="H58" s="15">
        <v>15.769793805964801</v>
      </c>
      <c r="I58" s="15">
        <v>12.0063980932297</v>
      </c>
      <c r="J58" s="24">
        <v>18.8539996915421</v>
      </c>
      <c r="K58" s="20" t="s">
        <v>80</v>
      </c>
      <c r="L58" s="20" t="s">
        <v>80</v>
      </c>
      <c r="M58" s="26" t="s">
        <v>80</v>
      </c>
      <c r="N58" s="20" t="s">
        <v>80</v>
      </c>
      <c r="O58" s="20" t="s">
        <v>80</v>
      </c>
      <c r="P58" s="26" t="s">
        <v>80</v>
      </c>
    </row>
    <row r="59" spans="1:16">
      <c r="A59" s="9" t="s">
        <v>208</v>
      </c>
      <c r="B59" s="15">
        <v>1.01324526630645</v>
      </c>
      <c r="C59" s="20" t="s">
        <v>80</v>
      </c>
      <c r="D59" s="24">
        <v>1.1491401222231801</v>
      </c>
      <c r="E59" s="15">
        <v>1.0358913274167301</v>
      </c>
      <c r="F59" s="20" t="s">
        <v>80</v>
      </c>
      <c r="G59" s="26" t="s">
        <v>80</v>
      </c>
      <c r="H59" s="20" t="s">
        <v>80</v>
      </c>
      <c r="I59" s="20" t="s">
        <v>80</v>
      </c>
      <c r="J59" s="26" t="s">
        <v>80</v>
      </c>
      <c r="K59" s="20" t="s">
        <v>80</v>
      </c>
      <c r="L59" s="20" t="s">
        <v>80</v>
      </c>
      <c r="M59" s="26" t="s">
        <v>80</v>
      </c>
      <c r="N59" s="20" t="s">
        <v>80</v>
      </c>
      <c r="O59" s="20" t="s">
        <v>80</v>
      </c>
      <c r="P59" s="26" t="s">
        <v>80</v>
      </c>
    </row>
    <row r="60" spans="1:16">
      <c r="A60" s="9" t="s">
        <v>209</v>
      </c>
      <c r="B60" s="15">
        <v>0.98983559807368104</v>
      </c>
      <c r="C60" s="20" t="s">
        <v>80</v>
      </c>
      <c r="D60" s="24">
        <v>1.04373994543334</v>
      </c>
      <c r="E60" s="15">
        <v>1.3132990348765601</v>
      </c>
      <c r="F60" s="20" t="s">
        <v>80</v>
      </c>
      <c r="G60" s="26" t="s">
        <v>80</v>
      </c>
      <c r="H60" s="20" t="s">
        <v>80</v>
      </c>
      <c r="I60" s="20" t="s">
        <v>80</v>
      </c>
      <c r="J60" s="26" t="s">
        <v>80</v>
      </c>
      <c r="K60" s="20" t="s">
        <v>80</v>
      </c>
      <c r="L60" s="20" t="s">
        <v>80</v>
      </c>
      <c r="M60" s="26" t="s">
        <v>80</v>
      </c>
      <c r="N60" s="20" t="s">
        <v>80</v>
      </c>
      <c r="O60" s="20" t="s">
        <v>80</v>
      </c>
      <c r="P60" s="26" t="s">
        <v>80</v>
      </c>
    </row>
    <row r="61" spans="1:16">
      <c r="A61" s="9" t="s">
        <v>210</v>
      </c>
      <c r="B61" s="15">
        <v>1.08921855062454</v>
      </c>
      <c r="C61" s="20" t="s">
        <v>80</v>
      </c>
      <c r="D61" s="24">
        <v>1.2340800432082599</v>
      </c>
      <c r="E61" s="15">
        <v>1.3287735208629501</v>
      </c>
      <c r="F61" s="20" t="s">
        <v>80</v>
      </c>
      <c r="G61" s="26" t="s">
        <v>80</v>
      </c>
      <c r="H61" s="20" t="s">
        <v>80</v>
      </c>
      <c r="I61" s="20" t="s">
        <v>80</v>
      </c>
      <c r="J61" s="26" t="s">
        <v>80</v>
      </c>
      <c r="K61" s="20" t="s">
        <v>80</v>
      </c>
      <c r="L61" s="20" t="s">
        <v>80</v>
      </c>
      <c r="M61" s="26" t="s">
        <v>80</v>
      </c>
      <c r="N61" s="20" t="s">
        <v>80</v>
      </c>
      <c r="O61" s="20" t="s">
        <v>80</v>
      </c>
      <c r="P61" s="26" t="s">
        <v>80</v>
      </c>
    </row>
    <row r="62" spans="1:16">
      <c r="A62" s="9" t="s">
        <v>211</v>
      </c>
      <c r="B62" s="15">
        <v>2.96799476814315</v>
      </c>
      <c r="C62" s="15">
        <v>3.4262980942003201</v>
      </c>
      <c r="D62" s="24">
        <v>2.5869595811228798</v>
      </c>
      <c r="E62" s="15">
        <v>3.0242550704322402</v>
      </c>
      <c r="F62" s="15">
        <v>3.5447547211419699</v>
      </c>
      <c r="G62" s="24">
        <v>2.5817357404644099</v>
      </c>
      <c r="H62" s="15">
        <v>2.4332700693037301</v>
      </c>
      <c r="I62" s="15">
        <v>2.9131450934837502</v>
      </c>
      <c r="J62" s="24">
        <v>2.0399993407143402</v>
      </c>
      <c r="K62" s="20" t="s">
        <v>80</v>
      </c>
      <c r="L62" s="20" t="s">
        <v>80</v>
      </c>
      <c r="M62" s="26" t="s">
        <v>80</v>
      </c>
      <c r="N62" s="20" t="s">
        <v>80</v>
      </c>
      <c r="O62" s="20" t="s">
        <v>80</v>
      </c>
      <c r="P62" s="26" t="s">
        <v>80</v>
      </c>
    </row>
    <row r="63" spans="1:16">
      <c r="A63" s="9" t="s">
        <v>212</v>
      </c>
      <c r="B63" s="15">
        <v>9.7812308168736806</v>
      </c>
      <c r="C63" s="15">
        <v>12.495926424623001</v>
      </c>
      <c r="D63" s="24">
        <v>7.52422221625788</v>
      </c>
      <c r="E63" s="15">
        <v>13.343983086756101</v>
      </c>
      <c r="F63" s="15">
        <v>17.581974666684101</v>
      </c>
      <c r="G63" s="24">
        <v>9.7409197767195295</v>
      </c>
      <c r="H63" s="15">
        <v>5.8027935216403401</v>
      </c>
      <c r="I63" s="15">
        <v>6.71885813264708</v>
      </c>
      <c r="J63" s="24">
        <v>5.0520534771439998</v>
      </c>
      <c r="K63" s="20" t="s">
        <v>80</v>
      </c>
      <c r="L63" s="20" t="s">
        <v>80</v>
      </c>
      <c r="M63" s="26" t="s">
        <v>80</v>
      </c>
      <c r="N63" s="20" t="s">
        <v>80</v>
      </c>
      <c r="O63" s="20" t="s">
        <v>80</v>
      </c>
      <c r="P63" s="26" t="s">
        <v>80</v>
      </c>
    </row>
    <row r="64" spans="1:16">
      <c r="A64" s="11" t="s">
        <v>213</v>
      </c>
      <c r="B64" s="16">
        <v>9.82777500029548</v>
      </c>
      <c r="C64" s="16">
        <v>13.840328720892799</v>
      </c>
      <c r="D64" s="25">
        <v>6.4917220623642899</v>
      </c>
      <c r="E64" s="16">
        <v>10.4247863309871</v>
      </c>
      <c r="F64" s="16">
        <v>13.8547372563678</v>
      </c>
      <c r="G64" s="25">
        <v>7.5087044791504001</v>
      </c>
      <c r="H64" s="16">
        <v>8.7148397762121697</v>
      </c>
      <c r="I64" s="16">
        <v>13.3515277053381</v>
      </c>
      <c r="J64" s="25">
        <v>4.9149469952846996</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71"/>
  <sheetViews>
    <sheetView zoomScale="55" workbookViewId="0"/>
  </sheetViews>
  <sheetFormatPr defaultColWidth="10.90625" defaultRowHeight="15"/>
  <cols>
    <col min="1" max="1" width="51.6796875" customWidth="1"/>
    <col min="2" max="35" width="13.6796875" customWidth="1"/>
  </cols>
  <sheetData>
    <row r="1" spans="1:36" ht="39.9" customHeight="1">
      <c r="A1" s="10" t="s">
        <v>214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9" t="s">
        <v>152</v>
      </c>
      <c r="B3" s="36">
        <v>21.217485631714499</v>
      </c>
      <c r="C3" s="32">
        <v>22.286434371547401</v>
      </c>
      <c r="D3" s="32">
        <v>22.908682507805999</v>
      </c>
      <c r="E3" s="32">
        <v>26.183332252021501</v>
      </c>
      <c r="F3" s="15">
        <v>35.245901639344297</v>
      </c>
      <c r="G3" s="15">
        <v>15.254237288135601</v>
      </c>
      <c r="H3" s="15">
        <v>7.2289156626505999</v>
      </c>
      <c r="I3" s="15">
        <v>16.6666666666667</v>
      </c>
      <c r="J3" s="15">
        <v>53.571428571428598</v>
      </c>
      <c r="K3" s="15">
        <v>77.7777777777778</v>
      </c>
      <c r="L3" s="15">
        <v>36.893203883495097</v>
      </c>
      <c r="M3" s="15">
        <v>28.395061728395099</v>
      </c>
      <c r="N3" s="15">
        <v>25.4237288135593</v>
      </c>
      <c r="O3" s="15">
        <v>26.315789473684202</v>
      </c>
      <c r="P3" s="15">
        <v>46.341463414634099</v>
      </c>
      <c r="Q3" s="15">
        <v>14.7239263803681</v>
      </c>
      <c r="R3" s="15">
        <v>18.181818181818201</v>
      </c>
      <c r="S3" s="15">
        <v>25.675675675675699</v>
      </c>
      <c r="T3" s="15">
        <v>16.6666666666667</v>
      </c>
      <c r="U3" s="15">
        <v>16.393442622950801</v>
      </c>
      <c r="V3" s="15">
        <v>17.5675675675676</v>
      </c>
      <c r="W3" s="15">
        <v>25</v>
      </c>
      <c r="X3" s="15">
        <v>22.2826086956522</v>
      </c>
      <c r="Y3" s="15">
        <v>43.870967741935502</v>
      </c>
      <c r="Z3" s="15">
        <v>36.842105263157897</v>
      </c>
      <c r="AA3" s="32">
        <v>20.186125836774099</v>
      </c>
      <c r="AB3" s="15">
        <v>20</v>
      </c>
      <c r="AC3" s="15">
        <v>31.230283911671901</v>
      </c>
      <c r="AD3" s="15">
        <v>14.5922746781116</v>
      </c>
      <c r="AE3" s="15">
        <v>22.653721682847902</v>
      </c>
      <c r="AF3" s="15">
        <v>20.1065246338216</v>
      </c>
      <c r="AG3" s="15">
        <v>18.566775244299698</v>
      </c>
      <c r="AH3" s="15">
        <v>22.419928825622801</v>
      </c>
      <c r="AI3" s="24">
        <v>33.3333333333333</v>
      </c>
      <c r="AJ3" s="38"/>
    </row>
    <row r="4" spans="1:36">
      <c r="A4" s="9" t="s">
        <v>153</v>
      </c>
      <c r="B4" s="36">
        <v>26.533706300681299</v>
      </c>
      <c r="C4" s="32">
        <v>27.310554912596199</v>
      </c>
      <c r="D4" s="32">
        <v>27.341515258931601</v>
      </c>
      <c r="E4" s="32">
        <v>30.019591661594799</v>
      </c>
      <c r="F4" s="15">
        <v>46.721311475409799</v>
      </c>
      <c r="G4" s="15">
        <v>30.508474576271201</v>
      </c>
      <c r="H4" s="15">
        <v>45.783132530120497</v>
      </c>
      <c r="I4" s="15">
        <v>12.2222222222222</v>
      </c>
      <c r="J4" s="15">
        <v>60.714285714285701</v>
      </c>
      <c r="K4" s="15">
        <v>66.6666666666667</v>
      </c>
      <c r="L4" s="15">
        <v>41.747572815533999</v>
      </c>
      <c r="M4" s="15">
        <v>23.456790123456798</v>
      </c>
      <c r="N4" s="15">
        <v>35.593220338983102</v>
      </c>
      <c r="O4" s="15">
        <v>33.3333333333333</v>
      </c>
      <c r="P4" s="15">
        <v>50</v>
      </c>
      <c r="Q4" s="15">
        <v>36.1963190184049</v>
      </c>
      <c r="R4" s="15">
        <v>18.181818181818201</v>
      </c>
      <c r="S4" s="15">
        <v>10.8108108108108</v>
      </c>
      <c r="T4" s="15">
        <v>45.8333333333333</v>
      </c>
      <c r="U4" s="15">
        <v>19.672131147540998</v>
      </c>
      <c r="V4" s="15">
        <v>25.675675675675699</v>
      </c>
      <c r="W4" s="15">
        <v>61.363636363636402</v>
      </c>
      <c r="X4" s="15">
        <v>17.934782608695699</v>
      </c>
      <c r="Y4" s="15">
        <v>43.870967741935502</v>
      </c>
      <c r="Z4" s="15">
        <v>16.6666666666667</v>
      </c>
      <c r="AA4" s="32">
        <v>25.114952009386201</v>
      </c>
      <c r="AB4" s="15">
        <v>31.612903225806502</v>
      </c>
      <c r="AC4" s="15">
        <v>31.861198738170302</v>
      </c>
      <c r="AD4" s="15">
        <v>24.0343347639485</v>
      </c>
      <c r="AE4" s="15">
        <v>28.1553398058252</v>
      </c>
      <c r="AF4" s="15">
        <v>26.764314247669802</v>
      </c>
      <c r="AG4" s="15">
        <v>25.081433224755699</v>
      </c>
      <c r="AH4" s="15">
        <v>41.281138790035598</v>
      </c>
      <c r="AI4" s="24">
        <v>27.7777777777778</v>
      </c>
      <c r="AJ4" s="38"/>
    </row>
    <row r="5" spans="1:36">
      <c r="A5" s="9" t="s">
        <v>154</v>
      </c>
      <c r="B5" s="36">
        <v>29.899315277971098</v>
      </c>
      <c r="C5" s="32">
        <v>28.8249327386117</v>
      </c>
      <c r="D5" s="32">
        <v>31.6456475211419</v>
      </c>
      <c r="E5" s="32">
        <v>20.933913389617398</v>
      </c>
      <c r="F5" s="15">
        <v>15.5737704918033</v>
      </c>
      <c r="G5" s="15">
        <v>13.559322033898299</v>
      </c>
      <c r="H5" s="15">
        <v>15.662650602409601</v>
      </c>
      <c r="I5" s="15">
        <v>17.7777777777778</v>
      </c>
      <c r="J5" s="15">
        <v>21.428571428571399</v>
      </c>
      <c r="K5" s="15">
        <v>38.8888888888889</v>
      </c>
      <c r="L5" s="15">
        <v>41.747572815533999</v>
      </c>
      <c r="M5" s="15">
        <v>9.8765432098765409</v>
      </c>
      <c r="N5" s="15">
        <v>15.254237288135601</v>
      </c>
      <c r="O5" s="15">
        <v>29.824561403508799</v>
      </c>
      <c r="P5" s="15">
        <v>37.804878048780502</v>
      </c>
      <c r="Q5" s="15">
        <v>11.656441717791401</v>
      </c>
      <c r="R5" s="15">
        <v>13.636363636363599</v>
      </c>
      <c r="S5" s="15">
        <v>12.1621621621622</v>
      </c>
      <c r="T5" s="15">
        <v>18.0555555555556</v>
      </c>
      <c r="U5" s="15">
        <v>45.081967213114801</v>
      </c>
      <c r="V5" s="15">
        <v>18.918918918918902</v>
      </c>
      <c r="W5" s="15">
        <v>10.2272727272727</v>
      </c>
      <c r="X5" s="15">
        <v>35.326086956521699</v>
      </c>
      <c r="Y5" s="15">
        <v>23.2258064516129</v>
      </c>
      <c r="Z5" s="15">
        <v>18.421052631578899</v>
      </c>
      <c r="AA5" s="32">
        <v>40.551425389329502</v>
      </c>
      <c r="AB5" s="15">
        <v>36.774193548387103</v>
      </c>
      <c r="AC5" s="15">
        <v>55.520504731861202</v>
      </c>
      <c r="AD5" s="15">
        <v>56.223175965665199</v>
      </c>
      <c r="AE5" s="15">
        <v>33.009708737864102</v>
      </c>
      <c r="AF5" s="15">
        <v>40.079893475366198</v>
      </c>
      <c r="AG5" s="15">
        <v>28.990228013029299</v>
      </c>
      <c r="AH5" s="15">
        <v>51.2455516014235</v>
      </c>
      <c r="AI5" s="26" t="s">
        <v>80</v>
      </c>
      <c r="AJ5" s="38"/>
    </row>
    <row r="6" spans="1:36">
      <c r="A6" s="9" t="s">
        <v>155</v>
      </c>
      <c r="B6" s="36">
        <v>49.690768888244598</v>
      </c>
      <c r="C6" s="32">
        <v>47.865414928880298</v>
      </c>
      <c r="D6" s="32">
        <v>52.370056827932899</v>
      </c>
      <c r="E6" s="32">
        <v>54.707959463616803</v>
      </c>
      <c r="F6" s="15">
        <v>40.983606557377101</v>
      </c>
      <c r="G6" s="15">
        <v>38.983050847457598</v>
      </c>
      <c r="H6" s="15">
        <v>48.192771084337402</v>
      </c>
      <c r="I6" s="15">
        <v>47.7777777777778</v>
      </c>
      <c r="J6" s="15">
        <v>66.071428571428598</v>
      </c>
      <c r="K6" s="15">
        <v>58.3333333333333</v>
      </c>
      <c r="L6" s="15">
        <v>50.485436893203897</v>
      </c>
      <c r="M6" s="15">
        <v>41.975308641975303</v>
      </c>
      <c r="N6" s="15">
        <v>55.932203389830498</v>
      </c>
      <c r="O6" s="15">
        <v>49.122807017543899</v>
      </c>
      <c r="P6" s="15">
        <v>56.097560975609802</v>
      </c>
      <c r="Q6" s="15">
        <v>51.533742331288302</v>
      </c>
      <c r="R6" s="15">
        <v>53.409090909090899</v>
      </c>
      <c r="S6" s="15">
        <v>50</v>
      </c>
      <c r="T6" s="15">
        <v>72.2222222222222</v>
      </c>
      <c r="U6" s="15">
        <v>48.360655737704903</v>
      </c>
      <c r="V6" s="15">
        <v>50</v>
      </c>
      <c r="W6" s="15">
        <v>84.090909090909093</v>
      </c>
      <c r="X6" s="15">
        <v>40.760869565217398</v>
      </c>
      <c r="Y6" s="15">
        <v>61.290322580645203</v>
      </c>
      <c r="Z6" s="15">
        <v>50</v>
      </c>
      <c r="AA6" s="32">
        <v>50.426315385585497</v>
      </c>
      <c r="AB6" s="15">
        <v>47.096774193548399</v>
      </c>
      <c r="AC6" s="15">
        <v>43.533123028391202</v>
      </c>
      <c r="AD6" s="15">
        <v>60.085836909871198</v>
      </c>
      <c r="AE6" s="15">
        <v>63.430420711974101</v>
      </c>
      <c r="AF6" s="15">
        <v>48.468708388814903</v>
      </c>
      <c r="AG6" s="15">
        <v>46.905537459283401</v>
      </c>
      <c r="AH6" s="15">
        <v>64.412811387900305</v>
      </c>
      <c r="AI6" s="24">
        <v>66.6666666666667</v>
      </c>
      <c r="AJ6" s="38"/>
    </row>
    <row r="7" spans="1:36">
      <c r="A7" s="9" t="s">
        <v>156</v>
      </c>
      <c r="B7" s="36">
        <v>22.491410851983201</v>
      </c>
      <c r="C7" s="32">
        <v>22.5838320654596</v>
      </c>
      <c r="D7" s="32">
        <v>23.7103421288456</v>
      </c>
      <c r="E7" s="32">
        <v>28.800532450009602</v>
      </c>
      <c r="F7" s="15">
        <v>14.7540983606557</v>
      </c>
      <c r="G7" s="15">
        <v>32.203389830508499</v>
      </c>
      <c r="H7" s="15">
        <v>33.734939759036102</v>
      </c>
      <c r="I7" s="15">
        <v>25.5555555555556</v>
      </c>
      <c r="J7" s="15">
        <v>17.8571428571429</v>
      </c>
      <c r="K7" s="15">
        <v>27.7777777777778</v>
      </c>
      <c r="L7" s="15">
        <v>32.038834951456302</v>
      </c>
      <c r="M7" s="15">
        <v>28.395061728395099</v>
      </c>
      <c r="N7" s="15">
        <v>35.593220338983102</v>
      </c>
      <c r="O7" s="15">
        <v>21.052631578947398</v>
      </c>
      <c r="P7" s="15">
        <v>35.365853658536601</v>
      </c>
      <c r="Q7" s="15">
        <v>20.858895705521501</v>
      </c>
      <c r="R7" s="15">
        <v>30.681818181818201</v>
      </c>
      <c r="S7" s="15">
        <v>35.135135135135101</v>
      </c>
      <c r="T7" s="15">
        <v>34.7222222222222</v>
      </c>
      <c r="U7" s="15">
        <v>39.344262295081997</v>
      </c>
      <c r="V7" s="15">
        <v>24.324324324324301</v>
      </c>
      <c r="W7" s="15">
        <v>19.318181818181799</v>
      </c>
      <c r="X7" s="15">
        <v>35.326086956521699</v>
      </c>
      <c r="Y7" s="15">
        <v>25.161290322580601</v>
      </c>
      <c r="Z7" s="15">
        <v>20.175438596491201</v>
      </c>
      <c r="AA7" s="32">
        <v>19.478337884670601</v>
      </c>
      <c r="AB7" s="15">
        <v>16.129032258064498</v>
      </c>
      <c r="AC7" s="15">
        <v>21.451104100946399</v>
      </c>
      <c r="AD7" s="15">
        <v>32.618025751072999</v>
      </c>
      <c r="AE7" s="15">
        <v>15.8576051779935</v>
      </c>
      <c r="AF7" s="15">
        <v>17.709720372836198</v>
      </c>
      <c r="AG7" s="15">
        <v>20.5211726384365</v>
      </c>
      <c r="AH7" s="15">
        <v>20.9964412811388</v>
      </c>
      <c r="AI7" s="26" t="s">
        <v>80</v>
      </c>
      <c r="AJ7" s="38"/>
    </row>
    <row r="8" spans="1:36">
      <c r="A8" s="9" t="s">
        <v>157</v>
      </c>
      <c r="B8" s="36">
        <v>2.1136856943529101</v>
      </c>
      <c r="C8" s="32">
        <v>1.6358085040268</v>
      </c>
      <c r="D8" s="32">
        <v>1.4620413859700301</v>
      </c>
      <c r="E8" s="32">
        <v>1.87971346769339</v>
      </c>
      <c r="F8" s="20" t="s">
        <v>80</v>
      </c>
      <c r="G8" s="20" t="s">
        <v>80</v>
      </c>
      <c r="H8" s="20" t="s">
        <v>80</v>
      </c>
      <c r="I8" s="20" t="s">
        <v>80</v>
      </c>
      <c r="J8" s="20" t="s">
        <v>80</v>
      </c>
      <c r="K8" s="20" t="s">
        <v>80</v>
      </c>
      <c r="L8" s="20" t="s">
        <v>80</v>
      </c>
      <c r="M8" s="20" t="s">
        <v>80</v>
      </c>
      <c r="N8" s="20" t="s">
        <v>80</v>
      </c>
      <c r="O8" s="20" t="s">
        <v>80</v>
      </c>
      <c r="P8" s="20" t="s">
        <v>80</v>
      </c>
      <c r="Q8" s="20" t="s">
        <v>80</v>
      </c>
      <c r="R8" s="20" t="s">
        <v>80</v>
      </c>
      <c r="S8" s="20" t="s">
        <v>80</v>
      </c>
      <c r="T8" s="20" t="s">
        <v>80</v>
      </c>
      <c r="U8" s="20" t="s">
        <v>80</v>
      </c>
      <c r="V8" s="20" t="s">
        <v>80</v>
      </c>
      <c r="W8" s="20" t="s">
        <v>80</v>
      </c>
      <c r="X8" s="20" t="s">
        <v>80</v>
      </c>
      <c r="Y8" s="15">
        <v>3.87096774193548</v>
      </c>
      <c r="Z8" s="20" t="s">
        <v>80</v>
      </c>
      <c r="AA8" s="32">
        <v>1.1147871752232601</v>
      </c>
      <c r="AB8" s="20" t="s">
        <v>80</v>
      </c>
      <c r="AC8" s="15">
        <v>1.5772870662460601</v>
      </c>
      <c r="AD8" s="20" t="s">
        <v>80</v>
      </c>
      <c r="AE8" s="20" t="s">
        <v>80</v>
      </c>
      <c r="AF8" s="15">
        <v>1.4647137150466001</v>
      </c>
      <c r="AG8" s="20" t="s">
        <v>80</v>
      </c>
      <c r="AH8" s="20" t="s">
        <v>80</v>
      </c>
      <c r="AI8" s="26" t="s">
        <v>80</v>
      </c>
      <c r="AJ8" s="38"/>
    </row>
    <row r="9" spans="1:36">
      <c r="A9" s="9" t="s">
        <v>158</v>
      </c>
      <c r="B9" s="36">
        <v>15.2798288185312</v>
      </c>
      <c r="C9" s="32">
        <v>14.647177031035801</v>
      </c>
      <c r="D9" s="32">
        <v>14.227600679939499</v>
      </c>
      <c r="E9" s="32">
        <v>16.706837290889101</v>
      </c>
      <c r="F9" s="15">
        <v>17.213114754098399</v>
      </c>
      <c r="G9" s="15">
        <v>10.1694915254237</v>
      </c>
      <c r="H9" s="15">
        <v>12.048192771084301</v>
      </c>
      <c r="I9" s="15">
        <v>14.4444444444444</v>
      </c>
      <c r="J9" s="15">
        <v>16.071428571428601</v>
      </c>
      <c r="K9" s="15">
        <v>13.8888888888889</v>
      </c>
      <c r="L9" s="15">
        <v>19.417475728155299</v>
      </c>
      <c r="M9" s="15">
        <v>16.049382716049401</v>
      </c>
      <c r="N9" s="15">
        <v>15.254237288135601</v>
      </c>
      <c r="O9" s="15">
        <v>12.280701754386</v>
      </c>
      <c r="P9" s="15">
        <v>18.292682926829301</v>
      </c>
      <c r="Q9" s="15">
        <v>10.429447852760701</v>
      </c>
      <c r="R9" s="15">
        <v>26.136363636363601</v>
      </c>
      <c r="S9" s="15">
        <v>13.5135135135135</v>
      </c>
      <c r="T9" s="15">
        <v>19.4444444444444</v>
      </c>
      <c r="U9" s="15">
        <v>14.7540983606557</v>
      </c>
      <c r="V9" s="15">
        <v>14.8648648648649</v>
      </c>
      <c r="W9" s="15">
        <v>26.136363636363601</v>
      </c>
      <c r="X9" s="15">
        <v>25</v>
      </c>
      <c r="Y9" s="15">
        <v>14.8387096774194</v>
      </c>
      <c r="Z9" s="15">
        <v>14.0350877192982</v>
      </c>
      <c r="AA9" s="32">
        <v>12.166353614927299</v>
      </c>
      <c r="AB9" s="15">
        <v>7.7419354838709697</v>
      </c>
      <c r="AC9" s="15">
        <v>15.772870662460599</v>
      </c>
      <c r="AD9" s="15">
        <v>12.8755364806867</v>
      </c>
      <c r="AE9" s="15">
        <v>13.915857605177999</v>
      </c>
      <c r="AF9" s="15">
        <v>13.1824234354194</v>
      </c>
      <c r="AG9" s="15">
        <v>13.6807817589577</v>
      </c>
      <c r="AH9" s="15">
        <v>11.7437722419929</v>
      </c>
      <c r="AI9" s="26" t="s">
        <v>80</v>
      </c>
      <c r="AJ9" s="38"/>
    </row>
    <row r="10" spans="1:36">
      <c r="A10" s="9" t="s">
        <v>159</v>
      </c>
      <c r="B10" s="36">
        <v>18.488186301768401</v>
      </c>
      <c r="C10" s="32">
        <v>18.1548826663157</v>
      </c>
      <c r="D10" s="32">
        <v>18.923751110146899</v>
      </c>
      <c r="E10" s="32">
        <v>19.201230161340298</v>
      </c>
      <c r="F10" s="15">
        <v>8.1967213114754092</v>
      </c>
      <c r="G10" s="15">
        <v>10.1694915254237</v>
      </c>
      <c r="H10" s="15">
        <v>66.265060240963905</v>
      </c>
      <c r="I10" s="15">
        <v>15.5555555555556</v>
      </c>
      <c r="J10" s="15">
        <v>10.714285714285699</v>
      </c>
      <c r="K10" s="20" t="s">
        <v>80</v>
      </c>
      <c r="L10" s="15">
        <v>15.5339805825243</v>
      </c>
      <c r="M10" s="15">
        <v>12.3456790123457</v>
      </c>
      <c r="N10" s="15">
        <v>10.1694915254237</v>
      </c>
      <c r="O10" s="20" t="s">
        <v>80</v>
      </c>
      <c r="P10" s="15">
        <v>14.634146341463399</v>
      </c>
      <c r="Q10" s="15">
        <v>12.269938650306701</v>
      </c>
      <c r="R10" s="15">
        <v>14.7727272727273</v>
      </c>
      <c r="S10" s="15">
        <v>16.2162162162162</v>
      </c>
      <c r="T10" s="15">
        <v>40.2777777777778</v>
      </c>
      <c r="U10" s="15">
        <v>30.327868852459002</v>
      </c>
      <c r="V10" s="15">
        <v>13.5135135135135</v>
      </c>
      <c r="W10" s="15">
        <v>9.0909090909090899</v>
      </c>
      <c r="X10" s="15">
        <v>12.5</v>
      </c>
      <c r="Y10" s="15">
        <v>21.290322580645199</v>
      </c>
      <c r="Z10" s="15">
        <v>21.052631578947398</v>
      </c>
      <c r="AA10" s="32">
        <v>18.693053936126098</v>
      </c>
      <c r="AB10" s="15">
        <v>15.4838709677419</v>
      </c>
      <c r="AC10" s="15">
        <v>11.98738170347</v>
      </c>
      <c r="AD10" s="15">
        <v>18.454935622317599</v>
      </c>
      <c r="AE10" s="15">
        <v>20.3883495145631</v>
      </c>
      <c r="AF10" s="15">
        <v>16.777629826897499</v>
      </c>
      <c r="AG10" s="15">
        <v>27.6872964169381</v>
      </c>
      <c r="AH10" s="15">
        <v>13.167259786476899</v>
      </c>
      <c r="AI10" s="26" t="s">
        <v>80</v>
      </c>
      <c r="AJ10" s="38"/>
    </row>
    <row r="11" spans="1:36">
      <c r="A11" s="9" t="s">
        <v>160</v>
      </c>
      <c r="B11" s="36">
        <v>20.745590360779499</v>
      </c>
      <c r="C11" s="32">
        <v>20.257252706663198</v>
      </c>
      <c r="D11" s="32">
        <v>17.5000962519869</v>
      </c>
      <c r="E11" s="32">
        <v>18.091405828826101</v>
      </c>
      <c r="F11" s="15">
        <v>33.606557377049199</v>
      </c>
      <c r="G11" s="15">
        <v>22.033898305084701</v>
      </c>
      <c r="H11" s="20" t="s">
        <v>80</v>
      </c>
      <c r="I11" s="15">
        <v>27.7777777777778</v>
      </c>
      <c r="J11" s="15">
        <v>21.428571428571399</v>
      </c>
      <c r="K11" s="15">
        <v>66.6666666666667</v>
      </c>
      <c r="L11" s="15">
        <v>30.097087378640801</v>
      </c>
      <c r="M11" s="15">
        <v>19.7530864197531</v>
      </c>
      <c r="N11" s="15">
        <v>15.254237288135601</v>
      </c>
      <c r="O11" s="15">
        <v>66.6666666666667</v>
      </c>
      <c r="P11" s="15">
        <v>25.609756097561</v>
      </c>
      <c r="Q11" s="15">
        <v>7.3619631901840501</v>
      </c>
      <c r="R11" s="15">
        <v>11.363636363636401</v>
      </c>
      <c r="S11" s="15">
        <v>8.1081081081081106</v>
      </c>
      <c r="T11" s="15">
        <v>15.2777777777778</v>
      </c>
      <c r="U11" s="15">
        <v>6.5573770491803298</v>
      </c>
      <c r="V11" s="15">
        <v>20.270270270270299</v>
      </c>
      <c r="W11" s="15">
        <v>43.181818181818201</v>
      </c>
      <c r="X11" s="15">
        <v>21.195652173913</v>
      </c>
      <c r="Y11" s="15">
        <v>60.645161290322598</v>
      </c>
      <c r="Z11" s="15">
        <v>28.0701754385965</v>
      </c>
      <c r="AA11" s="32">
        <v>17.008479145176601</v>
      </c>
      <c r="AB11" s="15">
        <v>23.870967741935502</v>
      </c>
      <c r="AC11" s="15">
        <v>36.908517350157702</v>
      </c>
      <c r="AD11" s="15">
        <v>6.8669527896995701</v>
      </c>
      <c r="AE11" s="15">
        <v>12.944983818770201</v>
      </c>
      <c r="AF11" s="15">
        <v>18.508655126497999</v>
      </c>
      <c r="AG11" s="15">
        <v>10.7491856677524</v>
      </c>
      <c r="AH11" s="15">
        <v>32.028469750889698</v>
      </c>
      <c r="AI11" s="26" t="s">
        <v>80</v>
      </c>
      <c r="AJ11" s="38"/>
    </row>
    <row r="12" spans="1:36">
      <c r="A12" s="9" t="s">
        <v>161</v>
      </c>
      <c r="B12" s="36">
        <v>8.1130620297486509</v>
      </c>
      <c r="C12" s="32">
        <v>6.5288449645193598</v>
      </c>
      <c r="D12" s="32">
        <v>7.2437709501055103</v>
      </c>
      <c r="E12" s="32">
        <v>9.5544800314144194</v>
      </c>
      <c r="F12" s="15">
        <v>11.4754098360656</v>
      </c>
      <c r="G12" s="20" t="s">
        <v>80</v>
      </c>
      <c r="H12" s="15">
        <v>7.2289156626505999</v>
      </c>
      <c r="I12" s="15">
        <v>7.7777777777777803</v>
      </c>
      <c r="J12" s="20" t="s">
        <v>80</v>
      </c>
      <c r="K12" s="20" t="s">
        <v>80</v>
      </c>
      <c r="L12" s="15">
        <v>11.6504854368932</v>
      </c>
      <c r="M12" s="20" t="s">
        <v>80</v>
      </c>
      <c r="N12" s="15">
        <v>16.9491525423729</v>
      </c>
      <c r="O12" s="20" t="s">
        <v>80</v>
      </c>
      <c r="P12" s="15">
        <v>7.3170731707317103</v>
      </c>
      <c r="Q12" s="15">
        <v>3.6809815950920202</v>
      </c>
      <c r="R12" s="20" t="s">
        <v>80</v>
      </c>
      <c r="S12" s="15">
        <v>25.675675675675699</v>
      </c>
      <c r="T12" s="15">
        <v>16.6666666666667</v>
      </c>
      <c r="U12" s="20" t="s">
        <v>80</v>
      </c>
      <c r="V12" s="20" t="s">
        <v>80</v>
      </c>
      <c r="W12" s="20" t="s">
        <v>80</v>
      </c>
      <c r="X12" s="15">
        <v>10.869565217391299</v>
      </c>
      <c r="Y12" s="15">
        <v>7.0967741935483897</v>
      </c>
      <c r="Z12" s="15">
        <v>7.0175438596491198</v>
      </c>
      <c r="AA12" s="32">
        <v>5.3226383357719902</v>
      </c>
      <c r="AB12" s="15">
        <v>3.2258064516128999</v>
      </c>
      <c r="AC12" s="15">
        <v>8.5173501577287105</v>
      </c>
      <c r="AD12" s="15">
        <v>6.0085836909871198</v>
      </c>
      <c r="AE12" s="15">
        <v>4.5307443365695796</v>
      </c>
      <c r="AF12" s="15">
        <v>7.0572569906790896</v>
      </c>
      <c r="AG12" s="15">
        <v>3.25732899022801</v>
      </c>
      <c r="AH12" s="15">
        <v>6.4056939501779402</v>
      </c>
      <c r="AI12" s="26" t="s">
        <v>80</v>
      </c>
      <c r="AJ12" s="38"/>
    </row>
    <row r="13" spans="1:36">
      <c r="A13" s="9" t="s">
        <v>162</v>
      </c>
      <c r="B13" s="36">
        <v>5.9726095368724703</v>
      </c>
      <c r="C13" s="32">
        <v>4.9850666864461104</v>
      </c>
      <c r="D13" s="32">
        <v>5.1239184599666103</v>
      </c>
      <c r="E13" s="32">
        <v>7.0428566455046102</v>
      </c>
      <c r="F13" s="20" t="s">
        <v>80</v>
      </c>
      <c r="G13" s="15">
        <v>8.4745762711864394</v>
      </c>
      <c r="H13" s="15">
        <v>12.048192771084301</v>
      </c>
      <c r="I13" s="15">
        <v>7.7777777777777803</v>
      </c>
      <c r="J13" s="20" t="s">
        <v>80</v>
      </c>
      <c r="K13" s="20" t="s">
        <v>80</v>
      </c>
      <c r="L13" s="15">
        <v>5.8252427184466002</v>
      </c>
      <c r="M13" s="20" t="s">
        <v>80</v>
      </c>
      <c r="N13" s="20" t="s">
        <v>80</v>
      </c>
      <c r="O13" s="15">
        <v>10.526315789473699</v>
      </c>
      <c r="P13" s="15">
        <v>12.1951219512195</v>
      </c>
      <c r="Q13" s="15">
        <v>6.1349693251533699</v>
      </c>
      <c r="R13" s="20" t="s">
        <v>80</v>
      </c>
      <c r="S13" s="15">
        <v>16.2162162162162</v>
      </c>
      <c r="T13" s="15">
        <v>8.3333333333333304</v>
      </c>
      <c r="U13" s="15">
        <v>4.0983606557377001</v>
      </c>
      <c r="V13" s="20" t="s">
        <v>80</v>
      </c>
      <c r="W13" s="20" t="s">
        <v>80</v>
      </c>
      <c r="X13" s="15">
        <v>9.7826086956521703</v>
      </c>
      <c r="Y13" s="15">
        <v>11.6129032258065</v>
      </c>
      <c r="Z13" s="15">
        <v>7.8947368421052602</v>
      </c>
      <c r="AA13" s="32">
        <v>3.5285057085531801</v>
      </c>
      <c r="AB13" s="15">
        <v>3.87096774193548</v>
      </c>
      <c r="AC13" s="15">
        <v>4.41640378548896</v>
      </c>
      <c r="AD13" s="15">
        <v>3.0042918454935599</v>
      </c>
      <c r="AE13" s="15">
        <v>3.2362459546925599</v>
      </c>
      <c r="AF13" s="15">
        <v>4.92676431424767</v>
      </c>
      <c r="AG13" s="15">
        <v>2.2801302931596101</v>
      </c>
      <c r="AH13" s="15">
        <v>2.1352313167259802</v>
      </c>
      <c r="AI13" s="26" t="s">
        <v>80</v>
      </c>
      <c r="AJ13" s="38"/>
    </row>
    <row r="14" spans="1:36">
      <c r="A14" s="9" t="s">
        <v>163</v>
      </c>
      <c r="B14" s="36">
        <v>29.814034739107701</v>
      </c>
      <c r="C14" s="32">
        <v>30.044468339938</v>
      </c>
      <c r="D14" s="32">
        <v>32.322265795620602</v>
      </c>
      <c r="E14" s="32">
        <v>37.0243086692182</v>
      </c>
      <c r="F14" s="15">
        <v>45.9016393442623</v>
      </c>
      <c r="G14" s="15">
        <v>42.372881355932201</v>
      </c>
      <c r="H14" s="15">
        <v>38.554216867469897</v>
      </c>
      <c r="I14" s="15">
        <v>43.3333333333333</v>
      </c>
      <c r="J14" s="15">
        <v>48.214285714285701</v>
      </c>
      <c r="K14" s="15">
        <v>66.6666666666667</v>
      </c>
      <c r="L14" s="15">
        <v>54.368932038834899</v>
      </c>
      <c r="M14" s="15">
        <v>40.740740740740698</v>
      </c>
      <c r="N14" s="15">
        <v>47.457627118644098</v>
      </c>
      <c r="O14" s="15">
        <v>70.175438596491205</v>
      </c>
      <c r="P14" s="15">
        <v>50</v>
      </c>
      <c r="Q14" s="15">
        <v>20.858895705521501</v>
      </c>
      <c r="R14" s="15">
        <v>26.136363636363601</v>
      </c>
      <c r="S14" s="15">
        <v>27.027027027027</v>
      </c>
      <c r="T14" s="15">
        <v>31.9444444444444</v>
      </c>
      <c r="U14" s="15">
        <v>23.770491803278698</v>
      </c>
      <c r="V14" s="15">
        <v>21.6216216216216</v>
      </c>
      <c r="W14" s="15">
        <v>32.954545454545503</v>
      </c>
      <c r="X14" s="15">
        <v>35.869565217391298</v>
      </c>
      <c r="Y14" s="15">
        <v>85.806451612903203</v>
      </c>
      <c r="Z14" s="15">
        <v>34.210526315789501</v>
      </c>
      <c r="AA14" s="32">
        <v>28.412968865283499</v>
      </c>
      <c r="AB14" s="15">
        <v>26.451612903225801</v>
      </c>
      <c r="AC14" s="15">
        <v>48.580441640378602</v>
      </c>
      <c r="AD14" s="15">
        <v>24.463519313304701</v>
      </c>
      <c r="AE14" s="15">
        <v>27.508090614886701</v>
      </c>
      <c r="AF14" s="15">
        <v>34.087882822902799</v>
      </c>
      <c r="AG14" s="15">
        <v>24.755700325732899</v>
      </c>
      <c r="AH14" s="15">
        <v>35.943060498220603</v>
      </c>
      <c r="AI14" s="24">
        <v>33.3333333333333</v>
      </c>
      <c r="AJ14" s="38"/>
    </row>
    <row r="15" spans="1:36">
      <c r="A15" s="9" t="s">
        <v>164</v>
      </c>
      <c r="B15" s="36">
        <v>30.695360370803499</v>
      </c>
      <c r="C15" s="32">
        <v>34.489291940069499</v>
      </c>
      <c r="D15" s="32">
        <v>32.424333471460102</v>
      </c>
      <c r="E15" s="32">
        <v>35.843828405912603</v>
      </c>
      <c r="F15" s="15">
        <v>31.967213114754099</v>
      </c>
      <c r="G15" s="15">
        <v>27.118644067796598</v>
      </c>
      <c r="H15" s="15">
        <v>38.554216867469897</v>
      </c>
      <c r="I15" s="15">
        <v>21.1111111111111</v>
      </c>
      <c r="J15" s="15">
        <v>53.571428571428598</v>
      </c>
      <c r="K15" s="15">
        <v>52.7777777777778</v>
      </c>
      <c r="L15" s="15">
        <v>42.7184466019417</v>
      </c>
      <c r="M15" s="15">
        <v>46.913580246913597</v>
      </c>
      <c r="N15" s="15">
        <v>35.593220338983102</v>
      </c>
      <c r="O15" s="15">
        <v>28.0701754385965</v>
      </c>
      <c r="P15" s="15">
        <v>56.097560975609802</v>
      </c>
      <c r="Q15" s="15">
        <v>65.0306748466258</v>
      </c>
      <c r="R15" s="15">
        <v>35.227272727272698</v>
      </c>
      <c r="S15" s="15">
        <v>35.135135135135101</v>
      </c>
      <c r="T15" s="15">
        <v>31.9444444444444</v>
      </c>
      <c r="U15" s="15">
        <v>18.8524590163934</v>
      </c>
      <c r="V15" s="15">
        <v>66.216216216216196</v>
      </c>
      <c r="W15" s="15">
        <v>79.545454545454504</v>
      </c>
      <c r="X15" s="15">
        <v>26.086956521739101</v>
      </c>
      <c r="Y15" s="15">
        <v>49.0322580645161</v>
      </c>
      <c r="Z15" s="15">
        <v>34.210526315789501</v>
      </c>
      <c r="AA15" s="32">
        <v>29.5813519398328</v>
      </c>
      <c r="AB15" s="15">
        <v>37.419354838709701</v>
      </c>
      <c r="AC15" s="15">
        <v>43.848580441640401</v>
      </c>
      <c r="AD15" s="15">
        <v>14.1630901287554</v>
      </c>
      <c r="AE15" s="15">
        <v>44.012944983818798</v>
      </c>
      <c r="AF15" s="15">
        <v>27.962716378162501</v>
      </c>
      <c r="AG15" s="15">
        <v>32.247557003257299</v>
      </c>
      <c r="AH15" s="15">
        <v>48.042704626334498</v>
      </c>
      <c r="AI15" s="26" t="s">
        <v>80</v>
      </c>
      <c r="AJ15" s="38"/>
    </row>
    <row r="16" spans="1:36">
      <c r="A16" s="9" t="s">
        <v>165</v>
      </c>
      <c r="B16" s="36">
        <v>2.2770707556957102</v>
      </c>
      <c r="C16" s="32">
        <v>2.8456044704146701</v>
      </c>
      <c r="D16" s="32">
        <v>3.6917283954781701</v>
      </c>
      <c r="E16" s="32">
        <v>6.3711399991730602</v>
      </c>
      <c r="F16" s="20" t="s">
        <v>80</v>
      </c>
      <c r="G16" s="20" t="s">
        <v>80</v>
      </c>
      <c r="H16" s="15">
        <v>51.807228915662698</v>
      </c>
      <c r="I16" s="20" t="s">
        <v>80</v>
      </c>
      <c r="J16" s="20" t="s">
        <v>80</v>
      </c>
      <c r="K16" s="20" t="s">
        <v>80</v>
      </c>
      <c r="L16" s="20" t="s">
        <v>80</v>
      </c>
      <c r="M16" s="20" t="s">
        <v>80</v>
      </c>
      <c r="N16" s="20" t="s">
        <v>80</v>
      </c>
      <c r="O16" s="20" t="s">
        <v>80</v>
      </c>
      <c r="P16" s="20" t="s">
        <v>80</v>
      </c>
      <c r="Q16" s="20" t="s">
        <v>80</v>
      </c>
      <c r="R16" s="20" t="s">
        <v>80</v>
      </c>
      <c r="S16" s="15">
        <v>21.6216216216216</v>
      </c>
      <c r="T16" s="20" t="s">
        <v>80</v>
      </c>
      <c r="U16" s="20" t="s">
        <v>80</v>
      </c>
      <c r="V16" s="20" t="s">
        <v>80</v>
      </c>
      <c r="W16" s="15">
        <v>15.909090909090899</v>
      </c>
      <c r="X16" s="20" t="s">
        <v>80</v>
      </c>
      <c r="Y16" s="15">
        <v>7.7419354838709697</v>
      </c>
      <c r="Z16" s="20" t="s">
        <v>80</v>
      </c>
      <c r="AA16" s="32">
        <v>1.4640550545458999</v>
      </c>
      <c r="AB16" s="20" t="s">
        <v>80</v>
      </c>
      <c r="AC16" s="15">
        <v>1.5772870662460601</v>
      </c>
      <c r="AD16" s="20" t="s">
        <v>80</v>
      </c>
      <c r="AE16" s="20" t="s">
        <v>80</v>
      </c>
      <c r="AF16" s="15">
        <v>2.13049267643142</v>
      </c>
      <c r="AG16" s="15">
        <v>2.9315960912052099</v>
      </c>
      <c r="AH16" s="20" t="s">
        <v>80</v>
      </c>
      <c r="AI16" s="26" t="s">
        <v>80</v>
      </c>
      <c r="AJ16" s="38"/>
    </row>
    <row r="17" spans="1:36">
      <c r="A17" s="9" t="s">
        <v>166</v>
      </c>
      <c r="B17" s="36">
        <v>58.634008539294001</v>
      </c>
      <c r="C17" s="32">
        <v>61.846946436538701</v>
      </c>
      <c r="D17" s="32">
        <v>59.003311851624197</v>
      </c>
      <c r="E17" s="32">
        <v>58.308610016825902</v>
      </c>
      <c r="F17" s="15">
        <v>63.114754098360699</v>
      </c>
      <c r="G17" s="15">
        <v>69.491525423728802</v>
      </c>
      <c r="H17" s="15">
        <v>51.807228915662698</v>
      </c>
      <c r="I17" s="15">
        <v>65.5555555555556</v>
      </c>
      <c r="J17" s="15">
        <v>60.714285714285701</v>
      </c>
      <c r="K17" s="15">
        <v>94.4444444444444</v>
      </c>
      <c r="L17" s="15">
        <v>77.669902912621396</v>
      </c>
      <c r="M17" s="15">
        <v>79.012345679012299</v>
      </c>
      <c r="N17" s="15">
        <v>52.542372881355902</v>
      </c>
      <c r="O17" s="15">
        <v>57.894736842105303</v>
      </c>
      <c r="P17" s="15">
        <v>70.731707317073202</v>
      </c>
      <c r="Q17" s="15">
        <v>50.306748466257702</v>
      </c>
      <c r="R17" s="15">
        <v>63.636363636363598</v>
      </c>
      <c r="S17" s="15">
        <v>48.648648648648702</v>
      </c>
      <c r="T17" s="15">
        <v>33.3333333333333</v>
      </c>
      <c r="U17" s="15">
        <v>46.721311475409799</v>
      </c>
      <c r="V17" s="15">
        <v>78.3783783783784</v>
      </c>
      <c r="W17" s="15">
        <v>70.454545454545496</v>
      </c>
      <c r="X17" s="15">
        <v>64.673913043478294</v>
      </c>
      <c r="Y17" s="15">
        <v>58.709677419354797</v>
      </c>
      <c r="Z17" s="15">
        <v>59.649122807017498</v>
      </c>
      <c r="AA17" s="32">
        <v>59.580889688169599</v>
      </c>
      <c r="AB17" s="15">
        <v>47.096774193548399</v>
      </c>
      <c r="AC17" s="15">
        <v>77.602523659306001</v>
      </c>
      <c r="AD17" s="15">
        <v>52.3605150214592</v>
      </c>
      <c r="AE17" s="15">
        <v>54.045307443365701</v>
      </c>
      <c r="AF17" s="15">
        <v>63.249001331557899</v>
      </c>
      <c r="AG17" s="15">
        <v>49.511400651465799</v>
      </c>
      <c r="AH17" s="15">
        <v>76.512455516014199</v>
      </c>
      <c r="AI17" s="24">
        <v>61.1111111111111</v>
      </c>
      <c r="AJ17" s="38"/>
    </row>
    <row r="18" spans="1:36">
      <c r="A18" s="9" t="s">
        <v>167</v>
      </c>
      <c r="B18" s="36">
        <v>38.110463785732698</v>
      </c>
      <c r="C18" s="32">
        <v>36.338113442537001</v>
      </c>
      <c r="D18" s="32">
        <v>37.237983025390598</v>
      </c>
      <c r="E18" s="32">
        <v>48.338523261736</v>
      </c>
      <c r="F18" s="15">
        <v>38.524590163934398</v>
      </c>
      <c r="G18" s="15">
        <v>35.593220338983102</v>
      </c>
      <c r="H18" s="15">
        <v>63.855421686747</v>
      </c>
      <c r="I18" s="15">
        <v>50</v>
      </c>
      <c r="J18" s="15">
        <v>60.714285714285701</v>
      </c>
      <c r="K18" s="15">
        <v>72.2222222222222</v>
      </c>
      <c r="L18" s="15">
        <v>39.805825242718399</v>
      </c>
      <c r="M18" s="15">
        <v>44.4444444444444</v>
      </c>
      <c r="N18" s="15">
        <v>52.542372881355902</v>
      </c>
      <c r="O18" s="15">
        <v>45.614035087719301</v>
      </c>
      <c r="P18" s="15">
        <v>42.682926829268297</v>
      </c>
      <c r="Q18" s="15">
        <v>50.306748466257702</v>
      </c>
      <c r="R18" s="15">
        <v>40.909090909090899</v>
      </c>
      <c r="S18" s="15">
        <v>50</v>
      </c>
      <c r="T18" s="15">
        <v>50</v>
      </c>
      <c r="U18" s="15">
        <v>40.163934426229503</v>
      </c>
      <c r="V18" s="15">
        <v>36.486486486486498</v>
      </c>
      <c r="W18" s="15">
        <v>71.590909090909093</v>
      </c>
      <c r="X18" s="15">
        <v>41.304347826087003</v>
      </c>
      <c r="Y18" s="15">
        <v>45.806451612903203</v>
      </c>
      <c r="Z18" s="15">
        <v>45.614035087719301</v>
      </c>
      <c r="AA18" s="32">
        <v>28.008950233134101</v>
      </c>
      <c r="AB18" s="15">
        <v>45.161290322580598</v>
      </c>
      <c r="AC18" s="15">
        <v>34.700315457413197</v>
      </c>
      <c r="AD18" s="15">
        <v>20.600858369098699</v>
      </c>
      <c r="AE18" s="15">
        <v>29.7734627831715</v>
      </c>
      <c r="AF18" s="15">
        <v>29.1611185086551</v>
      </c>
      <c r="AG18" s="15">
        <v>31.2703583061889</v>
      </c>
      <c r="AH18" s="15">
        <v>30.2491103202847</v>
      </c>
      <c r="AI18" s="24">
        <v>44.4444444444444</v>
      </c>
      <c r="AJ18" s="38"/>
    </row>
    <row r="19" spans="1:36">
      <c r="A19" s="9" t="s">
        <v>168</v>
      </c>
      <c r="B19" s="36">
        <v>39.874566855450901</v>
      </c>
      <c r="C19" s="32">
        <v>39.818951070321802</v>
      </c>
      <c r="D19" s="32">
        <v>40.948719438561497</v>
      </c>
      <c r="E19" s="32">
        <v>47.753043080307798</v>
      </c>
      <c r="F19" s="15">
        <v>43.442622950819697</v>
      </c>
      <c r="G19" s="15">
        <v>33.8983050847458</v>
      </c>
      <c r="H19" s="15">
        <v>57.831325301204799</v>
      </c>
      <c r="I19" s="15">
        <v>26.6666666666667</v>
      </c>
      <c r="J19" s="15">
        <v>71.428571428571402</v>
      </c>
      <c r="K19" s="15">
        <v>77.7777777777778</v>
      </c>
      <c r="L19" s="15">
        <v>52.427184466019398</v>
      </c>
      <c r="M19" s="15">
        <v>54.320987654321002</v>
      </c>
      <c r="N19" s="15">
        <v>61.016949152542402</v>
      </c>
      <c r="O19" s="15">
        <v>57.894736842105303</v>
      </c>
      <c r="P19" s="15">
        <v>53.658536585365901</v>
      </c>
      <c r="Q19" s="15">
        <v>33.128834355828197</v>
      </c>
      <c r="R19" s="15">
        <v>28.409090909090899</v>
      </c>
      <c r="S19" s="15">
        <v>48.648648648648702</v>
      </c>
      <c r="T19" s="15">
        <v>56.9444444444444</v>
      </c>
      <c r="U19" s="15">
        <v>51.639344262295097</v>
      </c>
      <c r="V19" s="15">
        <v>50</v>
      </c>
      <c r="W19" s="15">
        <v>36.363636363636402</v>
      </c>
      <c r="X19" s="15">
        <v>23.369565217391301</v>
      </c>
      <c r="Y19" s="15">
        <v>56.129032258064498</v>
      </c>
      <c r="Z19" s="15">
        <v>23.684210526315798</v>
      </c>
      <c r="AA19" s="32">
        <v>35.291578012850501</v>
      </c>
      <c r="AB19" s="15">
        <v>37.419354838709701</v>
      </c>
      <c r="AC19" s="15">
        <v>37.2239747634069</v>
      </c>
      <c r="AD19" s="15">
        <v>50.214592274678097</v>
      </c>
      <c r="AE19" s="15">
        <v>40.129449838187703</v>
      </c>
      <c r="AF19" s="15">
        <v>37.283621837549902</v>
      </c>
      <c r="AG19" s="15">
        <v>33.876221498371301</v>
      </c>
      <c r="AH19" s="15">
        <v>24.199288256227799</v>
      </c>
      <c r="AI19" s="24">
        <v>27.7777777777778</v>
      </c>
      <c r="AJ19" s="38"/>
    </row>
    <row r="20" spans="1:36">
      <c r="A20" s="9" t="s">
        <v>169</v>
      </c>
      <c r="B20" s="36">
        <v>3.8033916003541299</v>
      </c>
      <c r="C20" s="32">
        <v>3.28869045326981</v>
      </c>
      <c r="D20" s="32">
        <v>4.0659583093003997</v>
      </c>
      <c r="E20" s="32">
        <v>6.0244623632507803</v>
      </c>
      <c r="F20" s="20" t="s">
        <v>80</v>
      </c>
      <c r="G20" s="20" t="s">
        <v>80</v>
      </c>
      <c r="H20" s="20" t="s">
        <v>80</v>
      </c>
      <c r="I20" s="20" t="s">
        <v>80</v>
      </c>
      <c r="J20" s="20" t="s">
        <v>80</v>
      </c>
      <c r="K20" s="20" t="s">
        <v>80</v>
      </c>
      <c r="L20" s="15">
        <v>18.446601941747598</v>
      </c>
      <c r="M20" s="20" t="s">
        <v>80</v>
      </c>
      <c r="N20" s="20" t="s">
        <v>80</v>
      </c>
      <c r="O20" s="15">
        <v>59.649122807017498</v>
      </c>
      <c r="P20" s="15">
        <v>6.0975609756097597</v>
      </c>
      <c r="Q20" s="20" t="s">
        <v>80</v>
      </c>
      <c r="R20" s="20" t="s">
        <v>80</v>
      </c>
      <c r="S20" s="20" t="s">
        <v>80</v>
      </c>
      <c r="T20" s="15">
        <v>6.9444444444444402</v>
      </c>
      <c r="U20" s="15">
        <v>4.9180327868852496</v>
      </c>
      <c r="V20" s="20" t="s">
        <v>80</v>
      </c>
      <c r="W20" s="15">
        <v>5.6818181818181799</v>
      </c>
      <c r="X20" s="15">
        <v>3.2608695652173898</v>
      </c>
      <c r="Y20" s="15">
        <v>3.2258064516128999</v>
      </c>
      <c r="Z20" s="15">
        <v>6.1403508771929802</v>
      </c>
      <c r="AA20" s="32">
        <v>2.4376503393428899</v>
      </c>
      <c r="AB20" s="15">
        <v>4.5161290322580596</v>
      </c>
      <c r="AC20" s="15">
        <v>4.1009463722397497</v>
      </c>
      <c r="AD20" s="15">
        <v>2.1459227467811202</v>
      </c>
      <c r="AE20" s="20" t="s">
        <v>80</v>
      </c>
      <c r="AF20" s="15">
        <v>2.79627163781625</v>
      </c>
      <c r="AG20" s="15">
        <v>2.6058631921824098</v>
      </c>
      <c r="AH20" s="20" t="s">
        <v>80</v>
      </c>
      <c r="AI20" s="26" t="s">
        <v>80</v>
      </c>
      <c r="AJ20" s="38"/>
    </row>
    <row r="21" spans="1:36">
      <c r="A21" s="9" t="s">
        <v>170</v>
      </c>
      <c r="B21" s="36">
        <v>12.1003665596907</v>
      </c>
      <c r="C21" s="32">
        <v>11.8449351642236</v>
      </c>
      <c r="D21" s="32">
        <v>10.2872607216612</v>
      </c>
      <c r="E21" s="32">
        <v>13.0266990096009</v>
      </c>
      <c r="F21" s="15">
        <v>12.2950819672131</v>
      </c>
      <c r="G21" s="20" t="s">
        <v>80</v>
      </c>
      <c r="H21" s="15">
        <v>7.2289156626505999</v>
      </c>
      <c r="I21" s="15">
        <v>10</v>
      </c>
      <c r="J21" s="20" t="s">
        <v>80</v>
      </c>
      <c r="K21" s="15">
        <v>19.4444444444444</v>
      </c>
      <c r="L21" s="15">
        <v>15.5339805825243</v>
      </c>
      <c r="M21" s="15">
        <v>12.3456790123457</v>
      </c>
      <c r="N21" s="15">
        <v>16.9491525423729</v>
      </c>
      <c r="O21" s="15">
        <v>17.543859649122801</v>
      </c>
      <c r="P21" s="15">
        <v>21.951219512195099</v>
      </c>
      <c r="Q21" s="20" t="s">
        <v>80</v>
      </c>
      <c r="R21" s="15">
        <v>11.363636363636401</v>
      </c>
      <c r="S21" s="20" t="s">
        <v>80</v>
      </c>
      <c r="T21" s="15">
        <v>12.5</v>
      </c>
      <c r="U21" s="20" t="s">
        <v>80</v>
      </c>
      <c r="V21" s="15">
        <v>16.2162162162162</v>
      </c>
      <c r="W21" s="15">
        <v>46.590909090909101</v>
      </c>
      <c r="X21" s="15">
        <v>30.978260869565201</v>
      </c>
      <c r="Y21" s="15">
        <v>45.161290322580598</v>
      </c>
      <c r="Z21" s="15">
        <v>9.6491228070175392</v>
      </c>
      <c r="AA21" s="32">
        <v>8.0096809594638696</v>
      </c>
      <c r="AB21" s="15">
        <v>7.0967741935483897</v>
      </c>
      <c r="AC21" s="15">
        <v>25.867507886435298</v>
      </c>
      <c r="AD21" s="15">
        <v>6.4377682403433498</v>
      </c>
      <c r="AE21" s="15">
        <v>1.94174757281553</v>
      </c>
      <c r="AF21" s="15">
        <v>13.5818908122503</v>
      </c>
      <c r="AG21" s="15">
        <v>4.2345276872964197</v>
      </c>
      <c r="AH21" s="15">
        <v>18.149466192170799</v>
      </c>
      <c r="AI21" s="26" t="s">
        <v>80</v>
      </c>
      <c r="AJ21" s="38"/>
    </row>
    <row r="22" spans="1:36">
      <c r="A22" s="9" t="s">
        <v>171</v>
      </c>
      <c r="B22" s="36">
        <v>15.225174874297901</v>
      </c>
      <c r="C22" s="32">
        <v>16.387817779793401</v>
      </c>
      <c r="D22" s="32">
        <v>13.6527705303843</v>
      </c>
      <c r="E22" s="32">
        <v>13.231103351875699</v>
      </c>
      <c r="F22" s="15">
        <v>9.0163934426229506</v>
      </c>
      <c r="G22" s="15">
        <v>13.559322033898299</v>
      </c>
      <c r="H22" s="15">
        <v>8.4337349397590398</v>
      </c>
      <c r="I22" s="15">
        <v>10</v>
      </c>
      <c r="J22" s="20" t="s">
        <v>80</v>
      </c>
      <c r="K22" s="15">
        <v>27.7777777777778</v>
      </c>
      <c r="L22" s="15">
        <v>24.271844660194201</v>
      </c>
      <c r="M22" s="15">
        <v>13.580246913580201</v>
      </c>
      <c r="N22" s="15">
        <v>20.338983050847499</v>
      </c>
      <c r="O22" s="15">
        <v>10.526315789473699</v>
      </c>
      <c r="P22" s="15">
        <v>12.1951219512195</v>
      </c>
      <c r="Q22" s="15">
        <v>8.5889570552147205</v>
      </c>
      <c r="R22" s="15">
        <v>10.2272727272727</v>
      </c>
      <c r="S22" s="15">
        <v>8.1081081081081106</v>
      </c>
      <c r="T22" s="15">
        <v>19.4444444444444</v>
      </c>
      <c r="U22" s="15">
        <v>19.672131147540998</v>
      </c>
      <c r="V22" s="15">
        <v>22.972972972973</v>
      </c>
      <c r="W22" s="15">
        <v>7.9545454545454497</v>
      </c>
      <c r="X22" s="15">
        <v>15.7608695652174</v>
      </c>
      <c r="Y22" s="15">
        <v>14.8387096774194</v>
      </c>
      <c r="Z22" s="15">
        <v>8.7719298245614006</v>
      </c>
      <c r="AA22" s="32">
        <v>14.003346280304401</v>
      </c>
      <c r="AB22" s="15">
        <v>12.9032258064516</v>
      </c>
      <c r="AC22" s="15">
        <v>17.981072555204999</v>
      </c>
      <c r="AD22" s="15">
        <v>20.600858369098699</v>
      </c>
      <c r="AE22" s="15">
        <v>11.6504854368932</v>
      </c>
      <c r="AF22" s="15">
        <v>12.383488681757701</v>
      </c>
      <c r="AG22" s="15">
        <v>11.726384364820801</v>
      </c>
      <c r="AH22" s="15">
        <v>14.5907473309609</v>
      </c>
      <c r="AI22" s="26" t="s">
        <v>80</v>
      </c>
      <c r="AJ22" s="38"/>
    </row>
    <row r="23" spans="1:36">
      <c r="A23" s="9" t="s">
        <v>172</v>
      </c>
      <c r="B23" s="36">
        <v>24.639004850458001</v>
      </c>
      <c r="C23" s="32">
        <v>25.060820451014401</v>
      </c>
      <c r="D23" s="32">
        <v>26.7807369223402</v>
      </c>
      <c r="E23" s="32">
        <v>27.725801473936698</v>
      </c>
      <c r="F23" s="15">
        <v>26.229508196721302</v>
      </c>
      <c r="G23" s="15">
        <v>15.254237288135601</v>
      </c>
      <c r="H23" s="15">
        <v>57.831325301204799</v>
      </c>
      <c r="I23" s="15">
        <v>15.5555555555556</v>
      </c>
      <c r="J23" s="15">
        <v>19.6428571428571</v>
      </c>
      <c r="K23" s="15">
        <v>27.7777777777778</v>
      </c>
      <c r="L23" s="15">
        <v>20.3883495145631</v>
      </c>
      <c r="M23" s="15">
        <v>16.049382716049401</v>
      </c>
      <c r="N23" s="15">
        <v>15.254237288135601</v>
      </c>
      <c r="O23" s="15">
        <v>29.824561403508799</v>
      </c>
      <c r="P23" s="15">
        <v>30.487804878048799</v>
      </c>
      <c r="Q23" s="15">
        <v>22.699386503067501</v>
      </c>
      <c r="R23" s="15">
        <v>25</v>
      </c>
      <c r="S23" s="15">
        <v>31.081081081081098</v>
      </c>
      <c r="T23" s="15">
        <v>44.4444444444444</v>
      </c>
      <c r="U23" s="15">
        <v>23.770491803278698</v>
      </c>
      <c r="V23" s="15">
        <v>33.783783783783797</v>
      </c>
      <c r="W23" s="15">
        <v>36.363636363636402</v>
      </c>
      <c r="X23" s="15">
        <v>25</v>
      </c>
      <c r="Y23" s="15">
        <v>48.387096774193502</v>
      </c>
      <c r="Z23" s="15">
        <v>22.8070175438597</v>
      </c>
      <c r="AA23" s="32">
        <v>25.995006538793199</v>
      </c>
      <c r="AB23" s="15">
        <v>25.806451612903199</v>
      </c>
      <c r="AC23" s="15">
        <v>33.123028391167203</v>
      </c>
      <c r="AD23" s="15">
        <v>25.751072961373399</v>
      </c>
      <c r="AE23" s="15">
        <v>25.5663430420712</v>
      </c>
      <c r="AF23" s="15">
        <v>21.8375499334221</v>
      </c>
      <c r="AG23" s="15">
        <v>21.172638436482099</v>
      </c>
      <c r="AH23" s="15">
        <v>37.722419928825602</v>
      </c>
      <c r="AI23" s="24">
        <v>38.8888888888889</v>
      </c>
      <c r="AJ23" s="38"/>
    </row>
    <row r="24" spans="1:36">
      <c r="A24" s="9" t="s">
        <v>173</v>
      </c>
      <c r="B24" s="36">
        <v>64.290106979300305</v>
      </c>
      <c r="C24" s="32">
        <v>64.147493138509304</v>
      </c>
      <c r="D24" s="32">
        <v>64.6412789785482</v>
      </c>
      <c r="E24" s="32">
        <v>71.438149531852105</v>
      </c>
      <c r="F24" s="15">
        <v>63.114754098360699</v>
      </c>
      <c r="G24" s="15">
        <v>64.406779661016998</v>
      </c>
      <c r="H24" s="15">
        <v>78.313253012048193</v>
      </c>
      <c r="I24" s="15">
        <v>60</v>
      </c>
      <c r="J24" s="15">
        <v>80.357142857142804</v>
      </c>
      <c r="K24" s="15">
        <v>80.5555555555556</v>
      </c>
      <c r="L24" s="15">
        <v>70.873786407767</v>
      </c>
      <c r="M24" s="15">
        <v>79.012345679012299</v>
      </c>
      <c r="N24" s="15">
        <v>66.1016949152542</v>
      </c>
      <c r="O24" s="15">
        <v>84.210526315789494</v>
      </c>
      <c r="P24" s="15">
        <v>68.292682926829301</v>
      </c>
      <c r="Q24" s="15">
        <v>60.736196319018397</v>
      </c>
      <c r="R24" s="15">
        <v>69.318181818181799</v>
      </c>
      <c r="S24" s="15">
        <v>74.324324324324294</v>
      </c>
      <c r="T24" s="15">
        <v>77.7777777777778</v>
      </c>
      <c r="U24" s="15">
        <v>78.688524590163894</v>
      </c>
      <c r="V24" s="15">
        <v>78.3783783783784</v>
      </c>
      <c r="W24" s="15">
        <v>78.409090909090907</v>
      </c>
      <c r="X24" s="15">
        <v>58.152173913043498</v>
      </c>
      <c r="Y24" s="15">
        <v>76.774193548387103</v>
      </c>
      <c r="Z24" s="15">
        <v>65.789473684210506</v>
      </c>
      <c r="AA24" s="32">
        <v>58.990334079868603</v>
      </c>
      <c r="AB24" s="15">
        <v>50.9677419354839</v>
      </c>
      <c r="AC24" s="15">
        <v>69.716088328075699</v>
      </c>
      <c r="AD24" s="15">
        <v>63.090128755364802</v>
      </c>
      <c r="AE24" s="15">
        <v>64.724919093851099</v>
      </c>
      <c r="AF24" s="15">
        <v>55.2596537949401</v>
      </c>
      <c r="AG24" s="15">
        <v>64.495114006514697</v>
      </c>
      <c r="AH24" s="15">
        <v>59.430604982206397</v>
      </c>
      <c r="AI24" s="24">
        <v>44.4444444444444</v>
      </c>
      <c r="AJ24" s="38"/>
    </row>
    <row r="25" spans="1:36">
      <c r="A25" s="9" t="s">
        <v>174</v>
      </c>
      <c r="B25" s="36">
        <v>2.2834625439291401</v>
      </c>
      <c r="C25" s="32">
        <v>2.0007170920420299</v>
      </c>
      <c r="D25" s="32">
        <v>2.3975987081705701</v>
      </c>
      <c r="E25" s="32">
        <v>3.0612791646820301</v>
      </c>
      <c r="F25" s="20" t="s">
        <v>80</v>
      </c>
      <c r="G25" s="20" t="s">
        <v>80</v>
      </c>
      <c r="H25" s="20" t="s">
        <v>80</v>
      </c>
      <c r="I25" s="20" t="s">
        <v>80</v>
      </c>
      <c r="J25" s="20" t="s">
        <v>80</v>
      </c>
      <c r="K25" s="20" t="s">
        <v>80</v>
      </c>
      <c r="L25" s="20" t="s">
        <v>80</v>
      </c>
      <c r="M25" s="20" t="s">
        <v>80</v>
      </c>
      <c r="N25" s="15">
        <v>8.4745762711864394</v>
      </c>
      <c r="O25" s="20" t="s">
        <v>80</v>
      </c>
      <c r="P25" s="20" t="s">
        <v>80</v>
      </c>
      <c r="Q25" s="20" t="s">
        <v>80</v>
      </c>
      <c r="R25" s="15">
        <v>5.6818181818181799</v>
      </c>
      <c r="S25" s="15">
        <v>6.7567567567567597</v>
      </c>
      <c r="T25" s="20" t="s">
        <v>80</v>
      </c>
      <c r="U25" s="20" t="s">
        <v>80</v>
      </c>
      <c r="V25" s="20" t="s">
        <v>80</v>
      </c>
      <c r="W25" s="20" t="s">
        <v>80</v>
      </c>
      <c r="X25" s="15">
        <v>3.8043478260869601</v>
      </c>
      <c r="Y25" s="15">
        <v>5.8064516129032304</v>
      </c>
      <c r="Z25" s="15">
        <v>5.2631578947368398</v>
      </c>
      <c r="AA25" s="32">
        <v>1.8458121674877099</v>
      </c>
      <c r="AB25" s="20" t="s">
        <v>80</v>
      </c>
      <c r="AC25" s="15">
        <v>1.8927444794952699</v>
      </c>
      <c r="AD25" s="15">
        <v>3.0042918454935599</v>
      </c>
      <c r="AE25" s="15">
        <v>1.94174757281553</v>
      </c>
      <c r="AF25" s="15">
        <v>1.9973368841544601</v>
      </c>
      <c r="AG25" s="15">
        <v>1.6286644951140099</v>
      </c>
      <c r="AH25" s="20" t="s">
        <v>80</v>
      </c>
      <c r="AI25" s="26" t="s">
        <v>80</v>
      </c>
      <c r="AJ25" s="38"/>
    </row>
    <row r="26" spans="1:36">
      <c r="A26" s="9" t="s">
        <v>175</v>
      </c>
      <c r="B26" s="36">
        <v>30.478778849706501</v>
      </c>
      <c r="C26" s="32">
        <v>31.0577847516738</v>
      </c>
      <c r="D26" s="32">
        <v>29.174654036447201</v>
      </c>
      <c r="E26" s="32">
        <v>29.138493566365899</v>
      </c>
      <c r="F26" s="15">
        <v>22.131147540983601</v>
      </c>
      <c r="G26" s="15">
        <v>25.4237288135593</v>
      </c>
      <c r="H26" s="15">
        <v>18.0722891566265</v>
      </c>
      <c r="I26" s="15">
        <v>32.2222222222222</v>
      </c>
      <c r="J26" s="15">
        <v>21.428571428571399</v>
      </c>
      <c r="K26" s="15">
        <v>36.1111111111111</v>
      </c>
      <c r="L26" s="15">
        <v>51.456310679611597</v>
      </c>
      <c r="M26" s="15">
        <v>40.740740740740698</v>
      </c>
      <c r="N26" s="15">
        <v>28.8135593220339</v>
      </c>
      <c r="O26" s="15">
        <v>35.087719298245602</v>
      </c>
      <c r="P26" s="15">
        <v>28.048780487804901</v>
      </c>
      <c r="Q26" s="15">
        <v>24.539877300613501</v>
      </c>
      <c r="R26" s="15">
        <v>35.227272727272698</v>
      </c>
      <c r="S26" s="15">
        <v>16.2162162162162</v>
      </c>
      <c r="T26" s="15">
        <v>20.8333333333333</v>
      </c>
      <c r="U26" s="15">
        <v>27.0491803278689</v>
      </c>
      <c r="V26" s="15">
        <v>35.135135135135101</v>
      </c>
      <c r="W26" s="15">
        <v>17.045454545454501</v>
      </c>
      <c r="X26" s="15">
        <v>42.934782608695599</v>
      </c>
      <c r="Y26" s="15">
        <v>48.387096774193502</v>
      </c>
      <c r="Z26" s="15">
        <v>20.175438596491201</v>
      </c>
      <c r="AA26" s="32">
        <v>29.204717993431199</v>
      </c>
      <c r="AB26" s="15">
        <v>20.645161290322601</v>
      </c>
      <c r="AC26" s="15">
        <v>34.069400630914799</v>
      </c>
      <c r="AD26" s="15">
        <v>19.742489270386301</v>
      </c>
      <c r="AE26" s="15">
        <v>32.362459546925599</v>
      </c>
      <c r="AF26" s="15">
        <v>24.500665778961402</v>
      </c>
      <c r="AG26" s="15">
        <v>31.921824104234499</v>
      </c>
      <c r="AH26" s="15">
        <v>35.587188612099602</v>
      </c>
      <c r="AI26" s="26" t="s">
        <v>80</v>
      </c>
      <c r="AJ26" s="38"/>
    </row>
    <row r="27" spans="1:36">
      <c r="A27" s="9" t="s">
        <v>176</v>
      </c>
      <c r="B27" s="36">
        <v>19.413708247396499</v>
      </c>
      <c r="C27" s="32">
        <v>18.118465021806202</v>
      </c>
      <c r="D27" s="32">
        <v>19.600646001947499</v>
      </c>
      <c r="E27" s="32">
        <v>27.933087545949601</v>
      </c>
      <c r="F27" s="15">
        <v>31.1475409836066</v>
      </c>
      <c r="G27" s="15">
        <v>22.033898305084701</v>
      </c>
      <c r="H27" s="15">
        <v>39.759036144578303</v>
      </c>
      <c r="I27" s="15">
        <v>24.4444444444444</v>
      </c>
      <c r="J27" s="15">
        <v>32.142857142857103</v>
      </c>
      <c r="K27" s="15">
        <v>19.4444444444444</v>
      </c>
      <c r="L27" s="15">
        <v>33.009708737864102</v>
      </c>
      <c r="M27" s="15">
        <v>23.456790123456798</v>
      </c>
      <c r="N27" s="15">
        <v>23.728813559321999</v>
      </c>
      <c r="O27" s="15">
        <v>24.5614035087719</v>
      </c>
      <c r="P27" s="15">
        <v>34.146341463414601</v>
      </c>
      <c r="Q27" s="15">
        <v>31.2883435582822</v>
      </c>
      <c r="R27" s="15">
        <v>19.318181818181799</v>
      </c>
      <c r="S27" s="15">
        <v>22.972972972973</v>
      </c>
      <c r="T27" s="15">
        <v>34.7222222222222</v>
      </c>
      <c r="U27" s="15">
        <v>15.5737704918033</v>
      </c>
      <c r="V27" s="15">
        <v>10.8108108108108</v>
      </c>
      <c r="W27" s="15">
        <v>31.818181818181799</v>
      </c>
      <c r="X27" s="15">
        <v>26.086956521739101</v>
      </c>
      <c r="Y27" s="15">
        <v>49.677419354838698</v>
      </c>
      <c r="Z27" s="15">
        <v>22.8070175438597</v>
      </c>
      <c r="AA27" s="32">
        <v>12.673021344782899</v>
      </c>
      <c r="AB27" s="15">
        <v>16.129032258064498</v>
      </c>
      <c r="AC27" s="15">
        <v>15.141955835962101</v>
      </c>
      <c r="AD27" s="15">
        <v>9.0128755364806903</v>
      </c>
      <c r="AE27" s="15">
        <v>12.2977346278317</v>
      </c>
      <c r="AF27" s="15">
        <v>15.4460719041278</v>
      </c>
      <c r="AG27" s="15">
        <v>14.332247557003299</v>
      </c>
      <c r="AH27" s="15">
        <v>9.6085409252668992</v>
      </c>
      <c r="AI27" s="24">
        <v>27.7777777777778</v>
      </c>
      <c r="AJ27" s="38"/>
    </row>
    <row r="28" spans="1:36">
      <c r="A28" s="9" t="s">
        <v>177</v>
      </c>
      <c r="B28" s="36">
        <v>16.6712787974203</v>
      </c>
      <c r="C28" s="32">
        <v>16.428954964728199</v>
      </c>
      <c r="D28" s="32">
        <v>14.4323803714747</v>
      </c>
      <c r="E28" s="32">
        <v>16.425371393465898</v>
      </c>
      <c r="F28" s="15">
        <v>21.311475409836099</v>
      </c>
      <c r="G28" s="15">
        <v>13.559322033898299</v>
      </c>
      <c r="H28" s="15">
        <v>7.2289156626505999</v>
      </c>
      <c r="I28" s="15">
        <v>24.4444444444444</v>
      </c>
      <c r="J28" s="15">
        <v>23.214285714285701</v>
      </c>
      <c r="K28" s="15">
        <v>16.6666666666667</v>
      </c>
      <c r="L28" s="15">
        <v>33.980582524271803</v>
      </c>
      <c r="M28" s="15">
        <v>16.049382716049401</v>
      </c>
      <c r="N28" s="15">
        <v>16.9491525423729</v>
      </c>
      <c r="O28" s="15">
        <v>19.2982456140351</v>
      </c>
      <c r="P28" s="15">
        <v>30.487804878048799</v>
      </c>
      <c r="Q28" s="15">
        <v>14.1104294478528</v>
      </c>
      <c r="R28" s="15">
        <v>15.909090909090899</v>
      </c>
      <c r="S28" s="15">
        <v>10.8108108108108</v>
      </c>
      <c r="T28" s="15">
        <v>22.2222222222222</v>
      </c>
      <c r="U28" s="15">
        <v>12.2950819672131</v>
      </c>
      <c r="V28" s="15">
        <v>6.7567567567567597</v>
      </c>
      <c r="W28" s="15">
        <v>5.6818181818181799</v>
      </c>
      <c r="X28" s="15">
        <v>23.369565217391301</v>
      </c>
      <c r="Y28" s="15">
        <v>21.935483870967701</v>
      </c>
      <c r="Z28" s="15">
        <v>14.912280701754399</v>
      </c>
      <c r="AA28" s="32">
        <v>12.7753998007087</v>
      </c>
      <c r="AB28" s="15">
        <v>15.4838709677419</v>
      </c>
      <c r="AC28" s="15">
        <v>24.921135646687699</v>
      </c>
      <c r="AD28" s="15">
        <v>11.587982832618</v>
      </c>
      <c r="AE28" s="15">
        <v>13.2686084142395</v>
      </c>
      <c r="AF28" s="15">
        <v>17.043941411451399</v>
      </c>
      <c r="AG28" s="15">
        <v>8.4690553745928305</v>
      </c>
      <c r="AH28" s="15">
        <v>17.081850533807799</v>
      </c>
      <c r="AI28" s="26" t="s">
        <v>80</v>
      </c>
      <c r="AJ28" s="38"/>
    </row>
    <row r="29" spans="1:36">
      <c r="A29" s="9" t="s">
        <v>178</v>
      </c>
      <c r="B29" s="36">
        <v>2.7685570728450699</v>
      </c>
      <c r="C29" s="32">
        <v>2.2941349550922601</v>
      </c>
      <c r="D29" s="32">
        <v>2.4729472525368599</v>
      </c>
      <c r="E29" s="32">
        <v>3.16546920149352</v>
      </c>
      <c r="F29" s="20" t="s">
        <v>80</v>
      </c>
      <c r="G29" s="20" t="s">
        <v>80</v>
      </c>
      <c r="H29" s="20" t="s">
        <v>80</v>
      </c>
      <c r="I29" s="20" t="s">
        <v>80</v>
      </c>
      <c r="J29" s="20" t="s">
        <v>80</v>
      </c>
      <c r="K29" s="20" t="s">
        <v>80</v>
      </c>
      <c r="L29" s="20" t="s">
        <v>80</v>
      </c>
      <c r="M29" s="20" t="s">
        <v>80</v>
      </c>
      <c r="N29" s="20" t="s">
        <v>80</v>
      </c>
      <c r="O29" s="20" t="s">
        <v>80</v>
      </c>
      <c r="P29" s="20" t="s">
        <v>80</v>
      </c>
      <c r="Q29" s="20" t="s">
        <v>80</v>
      </c>
      <c r="R29" s="20" t="s">
        <v>80</v>
      </c>
      <c r="S29" s="20" t="s">
        <v>80</v>
      </c>
      <c r="T29" s="20" t="s">
        <v>80</v>
      </c>
      <c r="U29" s="15">
        <v>4.0983606557377001</v>
      </c>
      <c r="V29" s="20" t="s">
        <v>80</v>
      </c>
      <c r="W29" s="20" t="s">
        <v>80</v>
      </c>
      <c r="X29" s="15">
        <v>6.5217391304347796</v>
      </c>
      <c r="Y29" s="15">
        <v>9.0322580645161299</v>
      </c>
      <c r="Z29" s="20" t="s">
        <v>80</v>
      </c>
      <c r="AA29" s="32">
        <v>1.8971817816499701</v>
      </c>
      <c r="AB29" s="20" t="s">
        <v>80</v>
      </c>
      <c r="AC29" s="15">
        <v>1.5772870662460601</v>
      </c>
      <c r="AD29" s="15">
        <v>3.8626609442060098</v>
      </c>
      <c r="AE29" s="20" t="s">
        <v>80</v>
      </c>
      <c r="AF29" s="15">
        <v>2.5299600532623199</v>
      </c>
      <c r="AG29" s="15">
        <v>1.6286644951140099</v>
      </c>
      <c r="AH29" s="20" t="s">
        <v>80</v>
      </c>
      <c r="AI29" s="26" t="s">
        <v>80</v>
      </c>
      <c r="AJ29" s="38"/>
    </row>
    <row r="30" spans="1:36">
      <c r="A30" s="9" t="s">
        <v>179</v>
      </c>
      <c r="B30" s="36">
        <v>6.2012673054194103</v>
      </c>
      <c r="C30" s="32">
        <v>6.9990662736900902</v>
      </c>
      <c r="D30" s="32">
        <v>8.3853280637905296</v>
      </c>
      <c r="E30" s="32">
        <v>11.0807492661268</v>
      </c>
      <c r="F30" s="15">
        <v>4.9180327868852496</v>
      </c>
      <c r="G30" s="15">
        <v>8.4745762711864394</v>
      </c>
      <c r="H30" s="15">
        <v>8.4337349397590398</v>
      </c>
      <c r="I30" s="15">
        <v>6.6666666666666696</v>
      </c>
      <c r="J30" s="15">
        <v>19.6428571428571</v>
      </c>
      <c r="K30" s="20" t="s">
        <v>80</v>
      </c>
      <c r="L30" s="15">
        <v>13.5922330097087</v>
      </c>
      <c r="M30" s="15">
        <v>7.4074074074074101</v>
      </c>
      <c r="N30" s="20" t="s">
        <v>80</v>
      </c>
      <c r="O30" s="20" t="s">
        <v>80</v>
      </c>
      <c r="P30" s="15">
        <v>17.0731707317073</v>
      </c>
      <c r="Q30" s="15">
        <v>6.74846625766871</v>
      </c>
      <c r="R30" s="20" t="s">
        <v>80</v>
      </c>
      <c r="S30" s="20" t="s">
        <v>80</v>
      </c>
      <c r="T30" s="15">
        <v>13.8888888888889</v>
      </c>
      <c r="U30" s="15">
        <v>6.5573770491803298</v>
      </c>
      <c r="V30" s="20" t="s">
        <v>80</v>
      </c>
      <c r="W30" s="20" t="s">
        <v>80</v>
      </c>
      <c r="X30" s="15">
        <v>9.2391304347826093</v>
      </c>
      <c r="Y30" s="15">
        <v>66.451612903225794</v>
      </c>
      <c r="Z30" s="15">
        <v>8.7719298245614006</v>
      </c>
      <c r="AA30" s="32">
        <v>6.1443442796089798</v>
      </c>
      <c r="AB30" s="15">
        <v>5.1612903225806503</v>
      </c>
      <c r="AC30" s="15">
        <v>6.9400630914826502</v>
      </c>
      <c r="AD30" s="15">
        <v>6.0085836909871198</v>
      </c>
      <c r="AE30" s="15">
        <v>5.8252427184466002</v>
      </c>
      <c r="AF30" s="15">
        <v>5.7256990679094502</v>
      </c>
      <c r="AG30" s="15">
        <v>8.4690553745928305</v>
      </c>
      <c r="AH30" s="15">
        <v>7.1174377224199299</v>
      </c>
      <c r="AI30" s="26" t="s">
        <v>80</v>
      </c>
      <c r="AJ30" s="38"/>
    </row>
    <row r="31" spans="1:36">
      <c r="A31" s="9" t="s">
        <v>180</v>
      </c>
      <c r="B31" s="36">
        <v>13.063229381163101</v>
      </c>
      <c r="C31" s="32">
        <v>12.293477646570199</v>
      </c>
      <c r="D31" s="32">
        <v>13.807907989593099</v>
      </c>
      <c r="E31" s="32">
        <v>15.9391222553147</v>
      </c>
      <c r="F31" s="15">
        <v>13.934426229508199</v>
      </c>
      <c r="G31" s="15">
        <v>11.864406779661</v>
      </c>
      <c r="H31" s="15">
        <v>14.4578313253012</v>
      </c>
      <c r="I31" s="15">
        <v>17.7777777777778</v>
      </c>
      <c r="J31" s="15">
        <v>12.5</v>
      </c>
      <c r="K31" s="20" t="s">
        <v>80</v>
      </c>
      <c r="L31" s="15">
        <v>18.446601941747598</v>
      </c>
      <c r="M31" s="15">
        <v>6.1728395061728403</v>
      </c>
      <c r="N31" s="15">
        <v>15.254237288135601</v>
      </c>
      <c r="O31" s="15">
        <v>12.280701754386</v>
      </c>
      <c r="P31" s="15">
        <v>20.731707317073202</v>
      </c>
      <c r="Q31" s="15">
        <v>15.3374233128834</v>
      </c>
      <c r="R31" s="15">
        <v>18.181818181818201</v>
      </c>
      <c r="S31" s="15">
        <v>9.4594594594594597</v>
      </c>
      <c r="T31" s="15">
        <v>22.2222222222222</v>
      </c>
      <c r="U31" s="15">
        <v>10.655737704918</v>
      </c>
      <c r="V31" s="15">
        <v>16.2162162162162</v>
      </c>
      <c r="W31" s="20" t="s">
        <v>80</v>
      </c>
      <c r="X31" s="15">
        <v>15.7608695652174</v>
      </c>
      <c r="Y31" s="15">
        <v>18.064516129032299</v>
      </c>
      <c r="Z31" s="15">
        <v>6.1403508771929802</v>
      </c>
      <c r="AA31" s="32">
        <v>12.036008070590199</v>
      </c>
      <c r="AB31" s="15">
        <v>11.6129032258065</v>
      </c>
      <c r="AC31" s="15">
        <v>11.671924290220799</v>
      </c>
      <c r="AD31" s="15">
        <v>11.587982832618</v>
      </c>
      <c r="AE31" s="15">
        <v>9.7087378640776691</v>
      </c>
      <c r="AF31" s="15">
        <v>16.1118508655127</v>
      </c>
      <c r="AG31" s="15">
        <v>9.1205211726384405</v>
      </c>
      <c r="AH31" s="15">
        <v>10.676156583629901</v>
      </c>
      <c r="AI31" s="26" t="s">
        <v>80</v>
      </c>
      <c r="AJ31" s="38"/>
    </row>
    <row r="32" spans="1:36">
      <c r="A32" s="9" t="s">
        <v>181</v>
      </c>
      <c r="B32" s="36">
        <v>1.5640941952337599</v>
      </c>
      <c r="C32" s="32">
        <v>1.3933752058950399</v>
      </c>
      <c r="D32" s="32">
        <v>1.73347916308383</v>
      </c>
      <c r="E32" s="32">
        <v>1.9734277213373199</v>
      </c>
      <c r="F32" s="20" t="s">
        <v>80</v>
      </c>
      <c r="G32" s="20" t="s">
        <v>80</v>
      </c>
      <c r="H32" s="20" t="s">
        <v>80</v>
      </c>
      <c r="I32" s="20" t="s">
        <v>80</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15">
        <v>11.363636363636401</v>
      </c>
      <c r="X32" s="20" t="s">
        <v>80</v>
      </c>
      <c r="Y32" s="20" t="s">
        <v>80</v>
      </c>
      <c r="Z32" s="20" t="s">
        <v>80</v>
      </c>
      <c r="AA32" s="32">
        <v>1.5339849884376799</v>
      </c>
      <c r="AB32" s="20" t="s">
        <v>80</v>
      </c>
      <c r="AC32" s="15">
        <v>2.20820189274448</v>
      </c>
      <c r="AD32" s="20" t="s">
        <v>80</v>
      </c>
      <c r="AE32" s="20" t="s">
        <v>80</v>
      </c>
      <c r="AF32" s="15">
        <v>1.8641810918774999</v>
      </c>
      <c r="AG32" s="15">
        <v>1.95439739413681</v>
      </c>
      <c r="AH32" s="20" t="s">
        <v>80</v>
      </c>
      <c r="AI32" s="26" t="s">
        <v>80</v>
      </c>
      <c r="AJ32" s="38"/>
    </row>
    <row r="33" spans="1:36">
      <c r="A33" s="9" t="s">
        <v>182</v>
      </c>
      <c r="B33" s="36">
        <v>10.204029429267701</v>
      </c>
      <c r="C33" s="32">
        <v>10.0535297460863</v>
      </c>
      <c r="D33" s="32">
        <v>10.787624138010001</v>
      </c>
      <c r="E33" s="32">
        <v>12.7014403225623</v>
      </c>
      <c r="F33" s="15">
        <v>18.032786885245901</v>
      </c>
      <c r="G33" s="20" t="s">
        <v>80</v>
      </c>
      <c r="H33" s="15">
        <v>8.4337349397590398</v>
      </c>
      <c r="I33" s="15">
        <v>5.5555555555555598</v>
      </c>
      <c r="J33" s="20" t="s">
        <v>80</v>
      </c>
      <c r="K33" s="20" t="s">
        <v>80</v>
      </c>
      <c r="L33" s="15">
        <v>17.475728155339802</v>
      </c>
      <c r="M33" s="15">
        <v>13.580246913580201</v>
      </c>
      <c r="N33" s="20" t="s">
        <v>80</v>
      </c>
      <c r="O33" s="20" t="s">
        <v>80</v>
      </c>
      <c r="P33" s="15">
        <v>18.292682926829301</v>
      </c>
      <c r="Q33" s="15">
        <v>8.5889570552147205</v>
      </c>
      <c r="R33" s="15">
        <v>9.0909090909090899</v>
      </c>
      <c r="S33" s="15">
        <v>6.7567567567567597</v>
      </c>
      <c r="T33" s="15">
        <v>6.9444444444444402</v>
      </c>
      <c r="U33" s="15">
        <v>4.9180327868852496</v>
      </c>
      <c r="V33" s="15">
        <v>6.7567567567567597</v>
      </c>
      <c r="W33" s="15">
        <v>27.272727272727298</v>
      </c>
      <c r="X33" s="15">
        <v>14.130434782608701</v>
      </c>
      <c r="Y33" s="15">
        <v>23.2258064516129</v>
      </c>
      <c r="Z33" s="15">
        <v>14.912280701754399</v>
      </c>
      <c r="AA33" s="32">
        <v>9.1964698383523</v>
      </c>
      <c r="AB33" s="15">
        <v>7.0967741935483897</v>
      </c>
      <c r="AC33" s="15">
        <v>21.766561514195601</v>
      </c>
      <c r="AD33" s="20" t="s">
        <v>80</v>
      </c>
      <c r="AE33" s="15">
        <v>9.3851132686084107</v>
      </c>
      <c r="AF33" s="15">
        <v>11.051930758988</v>
      </c>
      <c r="AG33" s="15">
        <v>12.0521172638436</v>
      </c>
      <c r="AH33" s="15">
        <v>13.5231316725979</v>
      </c>
      <c r="AI33" s="26" t="s">
        <v>80</v>
      </c>
      <c r="AJ33" s="38"/>
    </row>
    <row r="34" spans="1:36">
      <c r="A34" s="9" t="s">
        <v>183</v>
      </c>
      <c r="B34" s="36">
        <v>19.108161025738799</v>
      </c>
      <c r="C34" s="32">
        <v>21.599468302654401</v>
      </c>
      <c r="D34" s="32">
        <v>19.4187360024304</v>
      </c>
      <c r="E34" s="32">
        <v>17.733995758051499</v>
      </c>
      <c r="F34" s="15">
        <v>8.1967213114754092</v>
      </c>
      <c r="G34" s="15">
        <v>13.559322033898299</v>
      </c>
      <c r="H34" s="15">
        <v>10.8433734939759</v>
      </c>
      <c r="I34" s="15">
        <v>10</v>
      </c>
      <c r="J34" s="15">
        <v>12.5</v>
      </c>
      <c r="K34" s="15">
        <v>19.4444444444444</v>
      </c>
      <c r="L34" s="15">
        <v>24.271844660194201</v>
      </c>
      <c r="M34" s="15">
        <v>19.7530864197531</v>
      </c>
      <c r="N34" s="15">
        <v>11.864406779661</v>
      </c>
      <c r="O34" s="15">
        <v>12.280701754386</v>
      </c>
      <c r="P34" s="15">
        <v>20.731707317073202</v>
      </c>
      <c r="Q34" s="15">
        <v>7.3619631901840501</v>
      </c>
      <c r="R34" s="15">
        <v>17.045454545454501</v>
      </c>
      <c r="S34" s="15">
        <v>9.4594594594594597</v>
      </c>
      <c r="T34" s="15">
        <v>16.6666666666667</v>
      </c>
      <c r="U34" s="15">
        <v>19.672131147540998</v>
      </c>
      <c r="V34" s="15">
        <v>17.5675675675676</v>
      </c>
      <c r="W34" s="15">
        <v>40.909090909090899</v>
      </c>
      <c r="X34" s="15">
        <v>22.826086956521699</v>
      </c>
      <c r="Y34" s="15">
        <v>33.548387096774199</v>
      </c>
      <c r="Z34" s="15">
        <v>13.157894736842101</v>
      </c>
      <c r="AA34" s="32">
        <v>20.819435664857401</v>
      </c>
      <c r="AB34" s="15">
        <v>15.4838709677419</v>
      </c>
      <c r="AC34" s="15">
        <v>20.189274447949501</v>
      </c>
      <c r="AD34" s="15">
        <v>24.0343347639485</v>
      </c>
      <c r="AE34" s="15">
        <v>19.417475728155299</v>
      </c>
      <c r="AF34" s="15">
        <v>17.3102529960053</v>
      </c>
      <c r="AG34" s="15">
        <v>25.081433224755699</v>
      </c>
      <c r="AH34" s="15">
        <v>18.149466192170799</v>
      </c>
      <c r="AI34" s="26" t="s">
        <v>80</v>
      </c>
      <c r="AJ34" s="38"/>
    </row>
    <row r="35" spans="1:36">
      <c r="A35" s="9" t="s">
        <v>184</v>
      </c>
      <c r="B35" s="36">
        <v>24.166626986424799</v>
      </c>
      <c r="C35" s="32">
        <v>24.3803638047238</v>
      </c>
      <c r="D35" s="32">
        <v>21.433183666409501</v>
      </c>
      <c r="E35" s="32">
        <v>19.395184892959101</v>
      </c>
      <c r="F35" s="15">
        <v>30.327868852459002</v>
      </c>
      <c r="G35" s="15">
        <v>16.9491525423729</v>
      </c>
      <c r="H35" s="15">
        <v>9.6385542168674707</v>
      </c>
      <c r="I35" s="15">
        <v>26.6666666666667</v>
      </c>
      <c r="J35" s="15">
        <v>12.5</v>
      </c>
      <c r="K35" s="15">
        <v>27.7777777777778</v>
      </c>
      <c r="L35" s="15">
        <v>37.864077669902898</v>
      </c>
      <c r="M35" s="15">
        <v>28.395061728395099</v>
      </c>
      <c r="N35" s="15">
        <v>16.9491525423729</v>
      </c>
      <c r="O35" s="15">
        <v>24.5614035087719</v>
      </c>
      <c r="P35" s="15">
        <v>31.707317073170699</v>
      </c>
      <c r="Q35" s="15">
        <v>18.404907975460102</v>
      </c>
      <c r="R35" s="15">
        <v>21.590909090909101</v>
      </c>
      <c r="S35" s="15">
        <v>13.5135135135135</v>
      </c>
      <c r="T35" s="15">
        <v>16.6666666666667</v>
      </c>
      <c r="U35" s="15">
        <v>14.7540983606557</v>
      </c>
      <c r="V35" s="15">
        <v>24.324324324324301</v>
      </c>
      <c r="W35" s="15">
        <v>13.636363636363599</v>
      </c>
      <c r="X35" s="15">
        <v>29.347826086956498</v>
      </c>
      <c r="Y35" s="15">
        <v>23.870967741935502</v>
      </c>
      <c r="Z35" s="15">
        <v>21.052631578947398</v>
      </c>
      <c r="AA35" s="32">
        <v>23.127583858678399</v>
      </c>
      <c r="AB35" s="15">
        <v>19.354838709677399</v>
      </c>
      <c r="AC35" s="15">
        <v>37.854889589905397</v>
      </c>
      <c r="AD35" s="15">
        <v>18.025751072961398</v>
      </c>
      <c r="AE35" s="15">
        <v>22.977346278317199</v>
      </c>
      <c r="AF35" s="15">
        <v>22.503328894806899</v>
      </c>
      <c r="AG35" s="15">
        <v>18.241042345276899</v>
      </c>
      <c r="AH35" s="15">
        <v>32.7402135231317</v>
      </c>
      <c r="AI35" s="26" t="s">
        <v>80</v>
      </c>
      <c r="AJ35" s="38"/>
    </row>
    <row r="36" spans="1:36">
      <c r="A36" s="9" t="s">
        <v>185</v>
      </c>
      <c r="B36" s="36">
        <v>27.145113418200999</v>
      </c>
      <c r="C36" s="32">
        <v>29.272112624152101</v>
      </c>
      <c r="D36" s="32">
        <v>29.678783506415101</v>
      </c>
      <c r="E36" s="32">
        <v>32.184151261146503</v>
      </c>
      <c r="F36" s="15">
        <v>44.262295081967203</v>
      </c>
      <c r="G36" s="15">
        <v>22.033898305084701</v>
      </c>
      <c r="H36" s="15">
        <v>38.554216867469897</v>
      </c>
      <c r="I36" s="15">
        <v>18.8888888888889</v>
      </c>
      <c r="J36" s="15">
        <v>64.285714285714306</v>
      </c>
      <c r="K36" s="15">
        <v>58.3333333333333</v>
      </c>
      <c r="L36" s="15">
        <v>32.038834951456302</v>
      </c>
      <c r="M36" s="15">
        <v>39.506172839506199</v>
      </c>
      <c r="N36" s="15">
        <v>45.762711864406803</v>
      </c>
      <c r="O36" s="15">
        <v>57.894736842105303</v>
      </c>
      <c r="P36" s="15">
        <v>45.121951219512198</v>
      </c>
      <c r="Q36" s="15">
        <v>36.809815950920203</v>
      </c>
      <c r="R36" s="15">
        <v>32.954545454545503</v>
      </c>
      <c r="S36" s="15">
        <v>18.918918918918902</v>
      </c>
      <c r="T36" s="15">
        <v>36.1111111111111</v>
      </c>
      <c r="U36" s="15">
        <v>20.491803278688501</v>
      </c>
      <c r="V36" s="15">
        <v>33.783783783783797</v>
      </c>
      <c r="W36" s="15">
        <v>45.454545454545503</v>
      </c>
      <c r="X36" s="15">
        <v>23.913043478260899</v>
      </c>
      <c r="Y36" s="15">
        <v>27.741935483871</v>
      </c>
      <c r="Z36" s="15">
        <v>26.315789473684202</v>
      </c>
      <c r="AA36" s="32">
        <v>27.5958109057329</v>
      </c>
      <c r="AB36" s="15">
        <v>27.096774193548399</v>
      </c>
      <c r="AC36" s="15">
        <v>44.794952681387997</v>
      </c>
      <c r="AD36" s="15">
        <v>22.746781115879799</v>
      </c>
      <c r="AE36" s="15">
        <v>30.097087378640801</v>
      </c>
      <c r="AF36" s="15">
        <v>35.952063914780297</v>
      </c>
      <c r="AG36" s="15">
        <v>25.081433224755699</v>
      </c>
      <c r="AH36" s="15">
        <v>34.519572953736699</v>
      </c>
      <c r="AI36" s="26" t="s">
        <v>80</v>
      </c>
      <c r="AJ36" s="38"/>
    </row>
    <row r="37" spans="1:36">
      <c r="A37" s="9" t="s">
        <v>186</v>
      </c>
      <c r="B37" s="36">
        <v>19.825448733027901</v>
      </c>
      <c r="C37" s="32">
        <v>23.696768664742098</v>
      </c>
      <c r="D37" s="32">
        <v>22.239539840544801</v>
      </c>
      <c r="E37" s="32">
        <v>20.484944121907201</v>
      </c>
      <c r="F37" s="15">
        <v>48.360655737704903</v>
      </c>
      <c r="G37" s="15">
        <v>23.728813559321999</v>
      </c>
      <c r="H37" s="15">
        <v>10.8433734939759</v>
      </c>
      <c r="I37" s="15">
        <v>30</v>
      </c>
      <c r="J37" s="15">
        <v>17.8571428571429</v>
      </c>
      <c r="K37" s="15">
        <v>72.2222222222222</v>
      </c>
      <c r="L37" s="15">
        <v>63.106796116504903</v>
      </c>
      <c r="M37" s="15">
        <v>38.271604938271601</v>
      </c>
      <c r="N37" s="15">
        <v>16.9491525423729</v>
      </c>
      <c r="O37" s="15">
        <v>71.929824561403507</v>
      </c>
      <c r="P37" s="15">
        <v>32.9268292682927</v>
      </c>
      <c r="Q37" s="15">
        <v>7.3619631901840501</v>
      </c>
      <c r="R37" s="15">
        <v>20.454545454545499</v>
      </c>
      <c r="S37" s="15">
        <v>6.7567567567567597</v>
      </c>
      <c r="T37" s="15">
        <v>12.5</v>
      </c>
      <c r="U37" s="15">
        <v>5.7377049180327901</v>
      </c>
      <c r="V37" s="15">
        <v>29.729729729729701</v>
      </c>
      <c r="W37" s="15">
        <v>15.909090909090899</v>
      </c>
      <c r="X37" s="15">
        <v>25</v>
      </c>
      <c r="Y37" s="15">
        <v>25.161290322580601</v>
      </c>
      <c r="Z37" s="15">
        <v>29.824561403508799</v>
      </c>
      <c r="AA37" s="32">
        <v>23.698317618894599</v>
      </c>
      <c r="AB37" s="15">
        <v>17.419354838709701</v>
      </c>
      <c r="AC37" s="15">
        <v>60.567823343848602</v>
      </c>
      <c r="AD37" s="15">
        <v>6.4377682403433498</v>
      </c>
      <c r="AE37" s="15">
        <v>16.828478964401299</v>
      </c>
      <c r="AF37" s="15">
        <v>30.359520639147799</v>
      </c>
      <c r="AG37" s="15">
        <v>13.6807817589577</v>
      </c>
      <c r="AH37" s="15">
        <v>50.177935943060497</v>
      </c>
      <c r="AI37" s="26" t="s">
        <v>80</v>
      </c>
      <c r="AJ37" s="38"/>
    </row>
    <row r="38" spans="1:36">
      <c r="A38" s="9" t="s">
        <v>187</v>
      </c>
      <c r="B38" s="36">
        <v>23.862937732422701</v>
      </c>
      <c r="C38" s="32">
        <v>23.313029821354899</v>
      </c>
      <c r="D38" s="32">
        <v>24.6189560692975</v>
      </c>
      <c r="E38" s="32">
        <v>33.324657702543597</v>
      </c>
      <c r="F38" s="15">
        <v>18.032786885245901</v>
      </c>
      <c r="G38" s="15">
        <v>27.118644067796598</v>
      </c>
      <c r="H38" s="15">
        <v>30.120481927710799</v>
      </c>
      <c r="I38" s="15">
        <v>28.8888888888889</v>
      </c>
      <c r="J38" s="15">
        <v>26.785714285714299</v>
      </c>
      <c r="K38" s="15">
        <v>27.7777777777778</v>
      </c>
      <c r="L38" s="15">
        <v>39.805825242718399</v>
      </c>
      <c r="M38" s="15">
        <v>19.7530864197531</v>
      </c>
      <c r="N38" s="15">
        <v>25.4237288135593</v>
      </c>
      <c r="O38" s="15">
        <v>21.052631578947398</v>
      </c>
      <c r="P38" s="15">
        <v>37.804878048780502</v>
      </c>
      <c r="Q38" s="15">
        <v>26.380368098159501</v>
      </c>
      <c r="R38" s="15">
        <v>31.818181818181799</v>
      </c>
      <c r="S38" s="15">
        <v>29.729729729729701</v>
      </c>
      <c r="T38" s="15">
        <v>34.7222222222222</v>
      </c>
      <c r="U38" s="15">
        <v>50</v>
      </c>
      <c r="V38" s="15">
        <v>28.3783783783784</v>
      </c>
      <c r="W38" s="15">
        <v>21.590909090909101</v>
      </c>
      <c r="X38" s="15">
        <v>41.847826086956502</v>
      </c>
      <c r="Y38" s="15">
        <v>43.870967741935502</v>
      </c>
      <c r="Z38" s="15">
        <v>21.052631578947398</v>
      </c>
      <c r="AA38" s="32">
        <v>17.381001506531099</v>
      </c>
      <c r="AB38" s="15">
        <v>16.7741935483871</v>
      </c>
      <c r="AC38" s="15">
        <v>16.403785488958999</v>
      </c>
      <c r="AD38" s="15">
        <v>21.0300429184549</v>
      </c>
      <c r="AE38" s="15">
        <v>20.064724919093901</v>
      </c>
      <c r="AF38" s="15">
        <v>16.777629826897499</v>
      </c>
      <c r="AG38" s="15">
        <v>26.710097719869701</v>
      </c>
      <c r="AH38" s="15">
        <v>14.9466192170818</v>
      </c>
      <c r="AI38" s="26" t="s">
        <v>80</v>
      </c>
      <c r="AJ38" s="38"/>
    </row>
    <row r="39" spans="1:36">
      <c r="A39" s="9" t="s">
        <v>188</v>
      </c>
      <c r="B39" s="36">
        <v>39.849172057532698</v>
      </c>
      <c r="C39" s="32">
        <v>41.522559337295199</v>
      </c>
      <c r="D39" s="32">
        <v>40.110180025861197</v>
      </c>
      <c r="E39" s="32">
        <v>30.697851602664301</v>
      </c>
      <c r="F39" s="15">
        <v>21.311475409836099</v>
      </c>
      <c r="G39" s="15">
        <v>33.8983050847458</v>
      </c>
      <c r="H39" s="15">
        <v>20.481927710843401</v>
      </c>
      <c r="I39" s="15">
        <v>32.2222222222222</v>
      </c>
      <c r="J39" s="15">
        <v>16.071428571428601</v>
      </c>
      <c r="K39" s="15">
        <v>61.1111111111111</v>
      </c>
      <c r="L39" s="15">
        <v>44.660194174757301</v>
      </c>
      <c r="M39" s="15">
        <v>33.3333333333333</v>
      </c>
      <c r="N39" s="15">
        <v>25.4237288135593</v>
      </c>
      <c r="O39" s="15">
        <v>29.824561403508799</v>
      </c>
      <c r="P39" s="15">
        <v>40.243902439024403</v>
      </c>
      <c r="Q39" s="15">
        <v>19.018404907975501</v>
      </c>
      <c r="R39" s="15">
        <v>30.681818181818201</v>
      </c>
      <c r="S39" s="15">
        <v>33.783783783783797</v>
      </c>
      <c r="T39" s="15">
        <v>25</v>
      </c>
      <c r="U39" s="15">
        <v>36.065573770491802</v>
      </c>
      <c r="V39" s="15">
        <v>24.324324324324301</v>
      </c>
      <c r="W39" s="15">
        <v>15.909090909090899</v>
      </c>
      <c r="X39" s="15">
        <v>40.760869565217398</v>
      </c>
      <c r="Y39" s="15">
        <v>40.645161290322598</v>
      </c>
      <c r="Z39" s="15">
        <v>29.824561403508799</v>
      </c>
      <c r="AA39" s="32">
        <v>47.935626879767803</v>
      </c>
      <c r="AB39" s="15">
        <v>39.354838709677402</v>
      </c>
      <c r="AC39" s="15">
        <v>50.473186119873802</v>
      </c>
      <c r="AD39" s="15">
        <v>55.793991416308998</v>
      </c>
      <c r="AE39" s="15">
        <v>40.453074433657001</v>
      </c>
      <c r="AF39" s="15">
        <v>39.6804260985353</v>
      </c>
      <c r="AG39" s="15">
        <v>49.837133550488602</v>
      </c>
      <c r="AH39" s="15">
        <v>48.398576512455499</v>
      </c>
      <c r="AI39" s="24">
        <v>27.7777777777778</v>
      </c>
      <c r="AJ39" s="38"/>
    </row>
    <row r="40" spans="1:36">
      <c r="A40" s="9" t="s">
        <v>189</v>
      </c>
      <c r="B40" s="36">
        <v>14.3479585669636</v>
      </c>
      <c r="C40" s="32">
        <v>14.3024950524274</v>
      </c>
      <c r="D40" s="32">
        <v>14.5522011063891</v>
      </c>
      <c r="E40" s="32">
        <v>17.292675931876001</v>
      </c>
      <c r="F40" s="15">
        <v>14.7540983606557</v>
      </c>
      <c r="G40" s="15">
        <v>8.4745762711864394</v>
      </c>
      <c r="H40" s="15">
        <v>16.867469879518101</v>
      </c>
      <c r="I40" s="15">
        <v>17.7777777777778</v>
      </c>
      <c r="J40" s="20" t="s">
        <v>80</v>
      </c>
      <c r="K40" s="15">
        <v>33.3333333333333</v>
      </c>
      <c r="L40" s="15">
        <v>35.922330097087404</v>
      </c>
      <c r="M40" s="15">
        <v>18.518518518518501</v>
      </c>
      <c r="N40" s="15">
        <v>20.338983050847499</v>
      </c>
      <c r="O40" s="15">
        <v>28.0701754385965</v>
      </c>
      <c r="P40" s="15">
        <v>24.390243902439</v>
      </c>
      <c r="Q40" s="15">
        <v>13.4969325153374</v>
      </c>
      <c r="R40" s="15">
        <v>18.181818181818201</v>
      </c>
      <c r="S40" s="15">
        <v>16.2162162162162</v>
      </c>
      <c r="T40" s="15">
        <v>20.8333333333333</v>
      </c>
      <c r="U40" s="15">
        <v>22.131147540983601</v>
      </c>
      <c r="V40" s="15">
        <v>9.4594594594594597</v>
      </c>
      <c r="W40" s="20" t="s">
        <v>80</v>
      </c>
      <c r="X40" s="15">
        <v>25</v>
      </c>
      <c r="Y40" s="15">
        <v>18.064516129032299</v>
      </c>
      <c r="Z40" s="15">
        <v>12.280701754386</v>
      </c>
      <c r="AA40" s="32">
        <v>12.273759562799899</v>
      </c>
      <c r="AB40" s="15">
        <v>7.7419354838709697</v>
      </c>
      <c r="AC40" s="15">
        <v>19.5583596214511</v>
      </c>
      <c r="AD40" s="15">
        <v>6.0085836909871198</v>
      </c>
      <c r="AE40" s="15">
        <v>13.915857605177999</v>
      </c>
      <c r="AF40" s="15">
        <v>15.1797603195739</v>
      </c>
      <c r="AG40" s="15">
        <v>10.4234527687296</v>
      </c>
      <c r="AH40" s="15">
        <v>17.793594306049801</v>
      </c>
      <c r="AI40" s="26" t="s">
        <v>80</v>
      </c>
      <c r="AJ40" s="38"/>
    </row>
    <row r="41" spans="1:36">
      <c r="A41" s="9" t="s">
        <v>190</v>
      </c>
      <c r="B41" s="36">
        <v>32.505436725395697</v>
      </c>
      <c r="C41" s="32">
        <v>34.757710600637999</v>
      </c>
      <c r="D41" s="32">
        <v>34.119233912861802</v>
      </c>
      <c r="E41" s="32">
        <v>33.755491263715903</v>
      </c>
      <c r="F41" s="15">
        <v>32.786885245901601</v>
      </c>
      <c r="G41" s="15">
        <v>30.508474576271201</v>
      </c>
      <c r="H41" s="15">
        <v>32.530120481927703</v>
      </c>
      <c r="I41" s="15">
        <v>13.3333333333333</v>
      </c>
      <c r="J41" s="15">
        <v>57.142857142857103</v>
      </c>
      <c r="K41" s="15">
        <v>69.4444444444444</v>
      </c>
      <c r="L41" s="15">
        <v>38.834951456310698</v>
      </c>
      <c r="M41" s="15">
        <v>41.975308641975303</v>
      </c>
      <c r="N41" s="15">
        <v>37.288135593220296</v>
      </c>
      <c r="O41" s="15">
        <v>36.842105263157897</v>
      </c>
      <c r="P41" s="15">
        <v>53.658536585365901</v>
      </c>
      <c r="Q41" s="15">
        <v>44.171779141104302</v>
      </c>
      <c r="R41" s="15">
        <v>21.590909090909101</v>
      </c>
      <c r="S41" s="15">
        <v>33.783783783783797</v>
      </c>
      <c r="T41" s="15">
        <v>44.4444444444444</v>
      </c>
      <c r="U41" s="15">
        <v>17.213114754098399</v>
      </c>
      <c r="V41" s="15">
        <v>44.594594594594597</v>
      </c>
      <c r="W41" s="15">
        <v>54.545454545454497</v>
      </c>
      <c r="X41" s="15">
        <v>11.413043478260899</v>
      </c>
      <c r="Y41" s="15">
        <v>54.838709677419402</v>
      </c>
      <c r="Z41" s="15">
        <v>10.526315789473699</v>
      </c>
      <c r="AA41" s="32">
        <v>34.421650981349899</v>
      </c>
      <c r="AB41" s="15">
        <v>27.741935483871</v>
      </c>
      <c r="AC41" s="15">
        <v>39.432176656151398</v>
      </c>
      <c r="AD41" s="15">
        <v>27.467811158798298</v>
      </c>
      <c r="AE41" s="15">
        <v>45.307443365695804</v>
      </c>
      <c r="AF41" s="15">
        <v>35.952063914780297</v>
      </c>
      <c r="AG41" s="15">
        <v>37.133550488599298</v>
      </c>
      <c r="AH41" s="15">
        <v>43.772241992882599</v>
      </c>
      <c r="AI41" s="26" t="s">
        <v>80</v>
      </c>
      <c r="AJ41" s="38"/>
    </row>
    <row r="42" spans="1:36">
      <c r="A42" s="9" t="s">
        <v>191</v>
      </c>
      <c r="B42" s="36">
        <v>7.3874278748413298</v>
      </c>
      <c r="C42" s="32">
        <v>6.98211191728931</v>
      </c>
      <c r="D42" s="32">
        <v>5.9957511045176002</v>
      </c>
      <c r="E42" s="32">
        <v>7.3982167343515401</v>
      </c>
      <c r="F42" s="15">
        <v>4.9180327868852496</v>
      </c>
      <c r="G42" s="20" t="s">
        <v>80</v>
      </c>
      <c r="H42" s="20" t="s">
        <v>80</v>
      </c>
      <c r="I42" s="15">
        <v>5.5555555555555598</v>
      </c>
      <c r="J42" s="15">
        <v>10.714285714285699</v>
      </c>
      <c r="K42" s="15">
        <v>27.7777777777778</v>
      </c>
      <c r="L42" s="15">
        <v>16.504854368932001</v>
      </c>
      <c r="M42" s="20" t="s">
        <v>80</v>
      </c>
      <c r="N42" s="15">
        <v>8.4745762711864394</v>
      </c>
      <c r="O42" s="15">
        <v>19.2982456140351</v>
      </c>
      <c r="P42" s="15">
        <v>8.5365853658536608</v>
      </c>
      <c r="Q42" s="15">
        <v>3.0674846625766898</v>
      </c>
      <c r="R42" s="15">
        <v>6.8181818181818201</v>
      </c>
      <c r="S42" s="20" t="s">
        <v>80</v>
      </c>
      <c r="T42" s="20" t="s">
        <v>80</v>
      </c>
      <c r="U42" s="20" t="s">
        <v>80</v>
      </c>
      <c r="V42" s="20" t="s">
        <v>80</v>
      </c>
      <c r="W42" s="15">
        <v>22.727272727272702</v>
      </c>
      <c r="X42" s="15">
        <v>8.6956521739130395</v>
      </c>
      <c r="Y42" s="15">
        <v>33.548387096774199</v>
      </c>
      <c r="Z42" s="15">
        <v>6.1403508771929802</v>
      </c>
      <c r="AA42" s="32">
        <v>4.8297356663346402</v>
      </c>
      <c r="AB42" s="15">
        <v>5.1612903225806503</v>
      </c>
      <c r="AC42" s="15">
        <v>6.6246056782334399</v>
      </c>
      <c r="AD42" s="15">
        <v>5.15021459227468</v>
      </c>
      <c r="AE42" s="15">
        <v>3.2362459546925599</v>
      </c>
      <c r="AF42" s="15">
        <v>5.1930758988015997</v>
      </c>
      <c r="AG42" s="15">
        <v>5.2117263843648196</v>
      </c>
      <c r="AH42" s="15">
        <v>6.04982206405694</v>
      </c>
      <c r="AI42" s="26" t="s">
        <v>80</v>
      </c>
      <c r="AJ42" s="38"/>
    </row>
    <row r="43" spans="1:36">
      <c r="A43" s="9" t="s">
        <v>192</v>
      </c>
      <c r="B43" s="36">
        <v>36.9494710022649</v>
      </c>
      <c r="C43" s="32">
        <v>41.191476613988002</v>
      </c>
      <c r="D43" s="32">
        <v>37.2908576848181</v>
      </c>
      <c r="E43" s="32">
        <v>40.092912955126103</v>
      </c>
      <c r="F43" s="15">
        <v>40.163934426229503</v>
      </c>
      <c r="G43" s="15">
        <v>28.8135593220339</v>
      </c>
      <c r="H43" s="15">
        <v>27.710843373494001</v>
      </c>
      <c r="I43" s="15">
        <v>40</v>
      </c>
      <c r="J43" s="15">
        <v>60.714285714285701</v>
      </c>
      <c r="K43" s="15">
        <v>80.5555555555556</v>
      </c>
      <c r="L43" s="15">
        <v>44.660194174757301</v>
      </c>
      <c r="M43" s="15">
        <v>37.037037037037003</v>
      </c>
      <c r="N43" s="15">
        <v>50.847457627118601</v>
      </c>
      <c r="O43" s="15">
        <v>54.385964912280699</v>
      </c>
      <c r="P43" s="15">
        <v>45.121951219512198</v>
      </c>
      <c r="Q43" s="15">
        <v>47.239263803680998</v>
      </c>
      <c r="R43" s="15">
        <v>38.636363636363598</v>
      </c>
      <c r="S43" s="15">
        <v>41.891891891891902</v>
      </c>
      <c r="T43" s="15">
        <v>40.2777777777778</v>
      </c>
      <c r="U43" s="15">
        <v>28.688524590163901</v>
      </c>
      <c r="V43" s="15">
        <v>51.351351351351397</v>
      </c>
      <c r="W43" s="15">
        <v>29.545454545454501</v>
      </c>
      <c r="X43" s="15">
        <v>45.652173913043498</v>
      </c>
      <c r="Y43" s="15">
        <v>55.4838709677419</v>
      </c>
      <c r="Z43" s="15">
        <v>32.456140350877199</v>
      </c>
      <c r="AA43" s="32">
        <v>34.961217917312503</v>
      </c>
      <c r="AB43" s="15">
        <v>32.903225806451601</v>
      </c>
      <c r="AC43" s="15">
        <v>51.104100946372199</v>
      </c>
      <c r="AD43" s="15">
        <v>33.4763948497854</v>
      </c>
      <c r="AE43" s="15">
        <v>42.7184466019417</v>
      </c>
      <c r="AF43" s="15">
        <v>32.090545938748299</v>
      </c>
      <c r="AG43" s="15">
        <v>33.876221498371301</v>
      </c>
      <c r="AH43" s="15">
        <v>41.637010676156599</v>
      </c>
      <c r="AI43" s="24">
        <v>38.8888888888889</v>
      </c>
      <c r="AJ43" s="38"/>
    </row>
    <row r="44" spans="1:36">
      <c r="A44" s="9" t="s">
        <v>193</v>
      </c>
      <c r="B44" s="36">
        <v>70.714544305944997</v>
      </c>
      <c r="C44" s="32">
        <v>71.830301457796196</v>
      </c>
      <c r="D44" s="32">
        <v>72.043151028281599</v>
      </c>
      <c r="E44" s="32">
        <v>70.671880009068104</v>
      </c>
      <c r="F44" s="15">
        <v>58.1967213114754</v>
      </c>
      <c r="G44" s="15">
        <v>66.1016949152542</v>
      </c>
      <c r="H44" s="15">
        <v>68.674698795180703</v>
      </c>
      <c r="I44" s="15">
        <v>64.4444444444444</v>
      </c>
      <c r="J44" s="15">
        <v>67.857142857142804</v>
      </c>
      <c r="K44" s="15">
        <v>88.8888888888889</v>
      </c>
      <c r="L44" s="15">
        <v>70.873786407767</v>
      </c>
      <c r="M44" s="15">
        <v>72.839506172839506</v>
      </c>
      <c r="N44" s="15">
        <v>77.966101694915295</v>
      </c>
      <c r="O44" s="15">
        <v>68.421052631579002</v>
      </c>
      <c r="P44" s="15">
        <v>74.390243902438996</v>
      </c>
      <c r="Q44" s="15">
        <v>74.233128834355796</v>
      </c>
      <c r="R44" s="15">
        <v>81.818181818181799</v>
      </c>
      <c r="S44" s="15">
        <v>58.108108108108098</v>
      </c>
      <c r="T44" s="15">
        <v>84.7222222222222</v>
      </c>
      <c r="U44" s="15">
        <v>68.032786885245898</v>
      </c>
      <c r="V44" s="15">
        <v>66.216216216216196</v>
      </c>
      <c r="W44" s="15">
        <v>72.727272727272705</v>
      </c>
      <c r="X44" s="15">
        <v>61.413043478260903</v>
      </c>
      <c r="Y44" s="15">
        <v>78.064516129032299</v>
      </c>
      <c r="Z44" s="15">
        <v>69.298245614035096</v>
      </c>
      <c r="AA44" s="32">
        <v>73.183231144558803</v>
      </c>
      <c r="AB44" s="15">
        <v>70.9677419354839</v>
      </c>
      <c r="AC44" s="15">
        <v>80.757097791798103</v>
      </c>
      <c r="AD44" s="15">
        <v>73.819742489270396</v>
      </c>
      <c r="AE44" s="15">
        <v>76.375404530744305</v>
      </c>
      <c r="AF44" s="15">
        <v>70.705725699067898</v>
      </c>
      <c r="AG44" s="15">
        <v>70.684039087947895</v>
      </c>
      <c r="AH44" s="15">
        <v>81.4946619217082</v>
      </c>
      <c r="AI44" s="24">
        <v>50</v>
      </c>
      <c r="AJ44" s="38"/>
    </row>
    <row r="45" spans="1:36">
      <c r="A45" s="9" t="s">
        <v>194</v>
      </c>
      <c r="B45" s="36">
        <v>5.6496898069387997</v>
      </c>
      <c r="C45" s="32">
        <v>5.70576741092344</v>
      </c>
      <c r="D45" s="32">
        <v>5.4251793357368099</v>
      </c>
      <c r="E45" s="32">
        <v>7.5933439127180797</v>
      </c>
      <c r="F45" s="15">
        <v>16.393442622950801</v>
      </c>
      <c r="G45" s="15">
        <v>8.4745762711864394</v>
      </c>
      <c r="H45" s="20" t="s">
        <v>80</v>
      </c>
      <c r="I45" s="20" t="s">
        <v>80</v>
      </c>
      <c r="J45" s="20" t="s">
        <v>80</v>
      </c>
      <c r="K45" s="20" t="s">
        <v>80</v>
      </c>
      <c r="L45" s="15">
        <v>12.621359223301001</v>
      </c>
      <c r="M45" s="15">
        <v>14.814814814814801</v>
      </c>
      <c r="N45" s="20" t="s">
        <v>80</v>
      </c>
      <c r="O45" s="15">
        <v>14.0350877192982</v>
      </c>
      <c r="P45" s="15">
        <v>9.7560975609756095</v>
      </c>
      <c r="Q45" s="15">
        <v>3.6809815950920202</v>
      </c>
      <c r="R45" s="15">
        <v>9.0909090909090899</v>
      </c>
      <c r="S45" s="15">
        <v>6.7567567567567597</v>
      </c>
      <c r="T45" s="15">
        <v>6.9444444444444402</v>
      </c>
      <c r="U45" s="15">
        <v>4.0983606557377001</v>
      </c>
      <c r="V45" s="15">
        <v>28.3783783783784</v>
      </c>
      <c r="W45" s="20" t="s">
        <v>80</v>
      </c>
      <c r="X45" s="15">
        <v>5.9782608695652204</v>
      </c>
      <c r="Y45" s="15">
        <v>5.8064516129032304</v>
      </c>
      <c r="Z45" s="20" t="s">
        <v>80</v>
      </c>
      <c r="AA45" s="32">
        <v>3.6225587826891501</v>
      </c>
      <c r="AB45" s="20" t="s">
        <v>80</v>
      </c>
      <c r="AC45" s="15">
        <v>11.0410094637224</v>
      </c>
      <c r="AD45" s="15">
        <v>2.1459227467811202</v>
      </c>
      <c r="AE45" s="15">
        <v>1.94174757281553</v>
      </c>
      <c r="AF45" s="15">
        <v>4.6604527296937404</v>
      </c>
      <c r="AG45" s="15">
        <v>4.2345276872964197</v>
      </c>
      <c r="AH45" s="15">
        <v>4.6263345195729499</v>
      </c>
      <c r="AI45" s="26" t="s">
        <v>80</v>
      </c>
      <c r="AJ45" s="38"/>
    </row>
    <row r="46" spans="1:36">
      <c r="A46" s="9" t="s">
        <v>195</v>
      </c>
      <c r="B46" s="36">
        <v>21.748359918418199</v>
      </c>
      <c r="C46" s="32">
        <v>22.559460264461698</v>
      </c>
      <c r="D46" s="32">
        <v>24.301956762269398</v>
      </c>
      <c r="E46" s="32">
        <v>27.834264008305698</v>
      </c>
      <c r="F46" s="15">
        <v>31.1475409836066</v>
      </c>
      <c r="G46" s="15">
        <v>18.644067796610202</v>
      </c>
      <c r="H46" s="15">
        <v>51.807228915662698</v>
      </c>
      <c r="I46" s="15">
        <v>34.4444444444444</v>
      </c>
      <c r="J46" s="15">
        <v>23.214285714285701</v>
      </c>
      <c r="K46" s="15">
        <v>25</v>
      </c>
      <c r="L46" s="15">
        <v>56.3106796116505</v>
      </c>
      <c r="M46" s="15">
        <v>39.506172839506199</v>
      </c>
      <c r="N46" s="15">
        <v>22.033898305084701</v>
      </c>
      <c r="O46" s="15">
        <v>29.824561403508799</v>
      </c>
      <c r="P46" s="15">
        <v>43.902439024390198</v>
      </c>
      <c r="Q46" s="15">
        <v>15.9509202453988</v>
      </c>
      <c r="R46" s="15">
        <v>26.136363636363601</v>
      </c>
      <c r="S46" s="15">
        <v>21.6216216216216</v>
      </c>
      <c r="T46" s="15">
        <v>44.4444444444444</v>
      </c>
      <c r="U46" s="15">
        <v>25.409836065573799</v>
      </c>
      <c r="V46" s="15">
        <v>16.2162162162162</v>
      </c>
      <c r="W46" s="20" t="s">
        <v>80</v>
      </c>
      <c r="X46" s="15">
        <v>26.630434782608699</v>
      </c>
      <c r="Y46" s="15">
        <v>29.0322580645161</v>
      </c>
      <c r="Z46" s="15">
        <v>28.947368421052602</v>
      </c>
      <c r="AA46" s="32">
        <v>21.3651826312901</v>
      </c>
      <c r="AB46" s="15">
        <v>13.548387096774199</v>
      </c>
      <c r="AC46" s="15">
        <v>41.640378548895903</v>
      </c>
      <c r="AD46" s="15">
        <v>15.8798283261803</v>
      </c>
      <c r="AE46" s="15">
        <v>20.711974110032401</v>
      </c>
      <c r="AF46" s="15">
        <v>30.8921438082557</v>
      </c>
      <c r="AG46" s="15">
        <v>14.332247557003299</v>
      </c>
      <c r="AH46" s="15">
        <v>30.2491103202847</v>
      </c>
      <c r="AI46" s="26" t="s">
        <v>80</v>
      </c>
      <c r="AJ46" s="38"/>
    </row>
    <row r="47" spans="1:36">
      <c r="A47" s="9" t="s">
        <v>196</v>
      </c>
      <c r="B47" s="36">
        <v>7.8932173642932097</v>
      </c>
      <c r="C47" s="32">
        <v>8.37442602833206</v>
      </c>
      <c r="D47" s="32">
        <v>8.4771783382481196</v>
      </c>
      <c r="E47" s="32">
        <v>7.30270510359159</v>
      </c>
      <c r="F47" s="15">
        <v>12.2950819672131</v>
      </c>
      <c r="G47" s="20" t="s">
        <v>80</v>
      </c>
      <c r="H47" s="20" t="s">
        <v>80</v>
      </c>
      <c r="I47" s="20" t="s">
        <v>80</v>
      </c>
      <c r="J47" s="20" t="s">
        <v>80</v>
      </c>
      <c r="K47" s="15">
        <v>16.6666666666667</v>
      </c>
      <c r="L47" s="15">
        <v>30.097087378640801</v>
      </c>
      <c r="M47" s="15">
        <v>13.580246913580201</v>
      </c>
      <c r="N47" s="15">
        <v>13.559322033898299</v>
      </c>
      <c r="O47" s="15">
        <v>28.0701754385965</v>
      </c>
      <c r="P47" s="15">
        <v>15.853658536585399</v>
      </c>
      <c r="Q47" s="20" t="s">
        <v>80</v>
      </c>
      <c r="R47" s="20" t="s">
        <v>80</v>
      </c>
      <c r="S47" s="20" t="s">
        <v>80</v>
      </c>
      <c r="T47" s="15">
        <v>6.9444444444444402</v>
      </c>
      <c r="U47" s="20" t="s">
        <v>80</v>
      </c>
      <c r="V47" s="20" t="s">
        <v>80</v>
      </c>
      <c r="W47" s="20" t="s">
        <v>80</v>
      </c>
      <c r="X47" s="15">
        <v>8.6956521739130395</v>
      </c>
      <c r="Y47" s="15">
        <v>12.258064516129</v>
      </c>
      <c r="Z47" s="20" t="s">
        <v>80</v>
      </c>
      <c r="AA47" s="32">
        <v>9.4536400027698804</v>
      </c>
      <c r="AB47" s="15">
        <v>9.67741935483871</v>
      </c>
      <c r="AC47" s="15">
        <v>26.498422712933799</v>
      </c>
      <c r="AD47" s="15">
        <v>3.0042918454935599</v>
      </c>
      <c r="AE47" s="15">
        <v>5.5016181229773498</v>
      </c>
      <c r="AF47" s="15">
        <v>9.5872170439414095</v>
      </c>
      <c r="AG47" s="15">
        <v>3.90879478827362</v>
      </c>
      <c r="AH47" s="15">
        <v>17.081850533807799</v>
      </c>
      <c r="AI47" s="26" t="s">
        <v>80</v>
      </c>
      <c r="AJ47" s="38"/>
    </row>
    <row r="48" spans="1:36">
      <c r="A48" s="9" t="s">
        <v>197</v>
      </c>
      <c r="B48" s="36">
        <v>9.1008720610949503</v>
      </c>
      <c r="C48" s="32">
        <v>8.6157201597710795</v>
      </c>
      <c r="D48" s="32">
        <v>9.3790376916057294</v>
      </c>
      <c r="E48" s="32">
        <v>12.4162537696534</v>
      </c>
      <c r="F48" s="15">
        <v>4.0983606557377001</v>
      </c>
      <c r="G48" s="20" t="s">
        <v>80</v>
      </c>
      <c r="H48" s="15">
        <v>6.0240963855421699</v>
      </c>
      <c r="I48" s="20" t="s">
        <v>80</v>
      </c>
      <c r="J48" s="20" t="s">
        <v>80</v>
      </c>
      <c r="K48" s="20" t="s">
        <v>80</v>
      </c>
      <c r="L48" s="15">
        <v>12.621359223301001</v>
      </c>
      <c r="M48" s="20" t="s">
        <v>80</v>
      </c>
      <c r="N48" s="20" t="s">
        <v>80</v>
      </c>
      <c r="O48" s="20" t="s">
        <v>80</v>
      </c>
      <c r="P48" s="15">
        <v>18.292682926829301</v>
      </c>
      <c r="Q48" s="15">
        <v>5.5214723926380396</v>
      </c>
      <c r="R48" s="15">
        <v>5.6818181818181799</v>
      </c>
      <c r="S48" s="15">
        <v>13.5135135135135</v>
      </c>
      <c r="T48" s="15">
        <v>9.7222222222222197</v>
      </c>
      <c r="U48" s="15">
        <v>12.2950819672131</v>
      </c>
      <c r="V48" s="20" t="s">
        <v>80</v>
      </c>
      <c r="W48" s="15">
        <v>53.409090909090899</v>
      </c>
      <c r="X48" s="15">
        <v>11.9565217391304</v>
      </c>
      <c r="Y48" s="15">
        <v>72.258064516128997</v>
      </c>
      <c r="Z48" s="20" t="s">
        <v>80</v>
      </c>
      <c r="AA48" s="32">
        <v>6.8538843040532802</v>
      </c>
      <c r="AB48" s="15">
        <v>5.1612903225806503</v>
      </c>
      <c r="AC48" s="15">
        <v>9.7791798107255499</v>
      </c>
      <c r="AD48" s="15">
        <v>8.1545064377682408</v>
      </c>
      <c r="AE48" s="15">
        <v>10.3559870550162</v>
      </c>
      <c r="AF48" s="15">
        <v>7.9893475366178404</v>
      </c>
      <c r="AG48" s="15">
        <v>2.9315960912052099</v>
      </c>
      <c r="AH48" s="15">
        <v>10.3202846975089</v>
      </c>
      <c r="AI48" s="26" t="s">
        <v>80</v>
      </c>
      <c r="AJ48" s="38"/>
    </row>
    <row r="49" spans="1:36">
      <c r="A49" s="9" t="s">
        <v>198</v>
      </c>
      <c r="B49" s="36">
        <v>13.1062314083759</v>
      </c>
      <c r="C49" s="32">
        <v>18.407599200068699</v>
      </c>
      <c r="D49" s="32">
        <v>20.279194480111101</v>
      </c>
      <c r="E49" s="32">
        <v>20.9850887923023</v>
      </c>
      <c r="F49" s="15">
        <v>59.016393442622899</v>
      </c>
      <c r="G49" s="15">
        <v>28.8135593220339</v>
      </c>
      <c r="H49" s="15">
        <v>13.253012048192801</v>
      </c>
      <c r="I49" s="15">
        <v>8.8888888888888893</v>
      </c>
      <c r="J49" s="15">
        <v>46.428571428571402</v>
      </c>
      <c r="K49" s="15">
        <v>44.4444444444444</v>
      </c>
      <c r="L49" s="15">
        <v>57.2815533980583</v>
      </c>
      <c r="M49" s="15">
        <v>41.975308641975303</v>
      </c>
      <c r="N49" s="15">
        <v>25.4237288135593</v>
      </c>
      <c r="O49" s="15">
        <v>35.087719298245602</v>
      </c>
      <c r="P49" s="15">
        <v>31.707317073170699</v>
      </c>
      <c r="Q49" s="15">
        <v>9.2024539877300597</v>
      </c>
      <c r="R49" s="15">
        <v>15.909090909090899</v>
      </c>
      <c r="S49" s="15">
        <v>10.8108108108108</v>
      </c>
      <c r="T49" s="15">
        <v>12.5</v>
      </c>
      <c r="U49" s="15">
        <v>8.1967213114754092</v>
      </c>
      <c r="V49" s="15">
        <v>8.1081081081081106</v>
      </c>
      <c r="W49" s="15">
        <v>5.6818181818181799</v>
      </c>
      <c r="X49" s="15">
        <v>22.826086956521699</v>
      </c>
      <c r="Y49" s="15">
        <v>18.064516129032299</v>
      </c>
      <c r="Z49" s="15">
        <v>14.912280701754399</v>
      </c>
      <c r="AA49" s="32">
        <v>19.692311173859899</v>
      </c>
      <c r="AB49" s="15">
        <v>10.322580645161301</v>
      </c>
      <c r="AC49" s="15">
        <v>49.526813880126198</v>
      </c>
      <c r="AD49" s="15">
        <v>9.0128755364806903</v>
      </c>
      <c r="AE49" s="15">
        <v>21.3592233009709</v>
      </c>
      <c r="AF49" s="15">
        <v>26.098535286284999</v>
      </c>
      <c r="AG49" s="15">
        <v>13.6807817589577</v>
      </c>
      <c r="AH49" s="15">
        <v>39.145907473309599</v>
      </c>
      <c r="AI49" s="26" t="s">
        <v>80</v>
      </c>
      <c r="AJ49" s="38"/>
    </row>
    <row r="50" spans="1:36">
      <c r="A50" s="9" t="s">
        <v>199</v>
      </c>
      <c r="B50" s="36">
        <v>61.743324930935401</v>
      </c>
      <c r="C50" s="32">
        <v>62.345310132799398</v>
      </c>
      <c r="D50" s="32">
        <v>64.005612994388599</v>
      </c>
      <c r="E50" s="32">
        <v>70.797395067191303</v>
      </c>
      <c r="F50" s="15">
        <v>65.573770491803302</v>
      </c>
      <c r="G50" s="15">
        <v>62.711864406779704</v>
      </c>
      <c r="H50" s="15">
        <v>83.132530120481903</v>
      </c>
      <c r="I50" s="15">
        <v>76.6666666666667</v>
      </c>
      <c r="J50" s="15">
        <v>62.5</v>
      </c>
      <c r="K50" s="15">
        <v>97.2222222222222</v>
      </c>
      <c r="L50" s="15">
        <v>85.4368932038835</v>
      </c>
      <c r="M50" s="15">
        <v>76.543209876543202</v>
      </c>
      <c r="N50" s="15">
        <v>49.152542372881399</v>
      </c>
      <c r="O50" s="15">
        <v>73.684210526315795</v>
      </c>
      <c r="P50" s="15">
        <v>67.073170731707293</v>
      </c>
      <c r="Q50" s="15">
        <v>63.190184049079797</v>
      </c>
      <c r="R50" s="15">
        <v>76.136363636363598</v>
      </c>
      <c r="S50" s="15">
        <v>78.3783783783784</v>
      </c>
      <c r="T50" s="15">
        <v>75</v>
      </c>
      <c r="U50" s="15">
        <v>56.557377049180303</v>
      </c>
      <c r="V50" s="15">
        <v>72.972972972972997</v>
      </c>
      <c r="W50" s="15">
        <v>84.090909090909093</v>
      </c>
      <c r="X50" s="15">
        <v>75.543478260869605</v>
      </c>
      <c r="Y50" s="15">
        <v>87.741935483871003</v>
      </c>
      <c r="Z50" s="15">
        <v>74.561403508771903</v>
      </c>
      <c r="AA50" s="32">
        <v>58.358898678402099</v>
      </c>
      <c r="AB50" s="15">
        <v>51.612903225806399</v>
      </c>
      <c r="AC50" s="15">
        <v>74.132492113564695</v>
      </c>
      <c r="AD50" s="15">
        <v>41.201716738197398</v>
      </c>
      <c r="AE50" s="15">
        <v>69.579288025889994</v>
      </c>
      <c r="AF50" s="15">
        <v>63.914780292942702</v>
      </c>
      <c r="AG50" s="15">
        <v>55.3745928338762</v>
      </c>
      <c r="AH50" s="15">
        <v>72.597864768683294</v>
      </c>
      <c r="AI50" s="24">
        <v>77.7777777777778</v>
      </c>
      <c r="AJ50" s="38"/>
    </row>
    <row r="51" spans="1:36">
      <c r="A51" s="9" t="s">
        <v>200</v>
      </c>
      <c r="B51" s="36">
        <v>34.715225216693199</v>
      </c>
      <c r="C51" s="32">
        <v>35.9651510089653</v>
      </c>
      <c r="D51" s="32">
        <v>39.899335012430399</v>
      </c>
      <c r="E51" s="32">
        <v>32.5671525148896</v>
      </c>
      <c r="F51" s="15">
        <v>31.1475409836066</v>
      </c>
      <c r="G51" s="15">
        <v>28.8135593220339</v>
      </c>
      <c r="H51" s="15">
        <v>16.867469879518101</v>
      </c>
      <c r="I51" s="15">
        <v>27.7777777777778</v>
      </c>
      <c r="J51" s="15">
        <v>26.785714285714299</v>
      </c>
      <c r="K51" s="15">
        <v>58.3333333333333</v>
      </c>
      <c r="L51" s="15">
        <v>55.339805825242699</v>
      </c>
      <c r="M51" s="15">
        <v>37.037037037037003</v>
      </c>
      <c r="N51" s="15">
        <v>16.9491525423729</v>
      </c>
      <c r="O51" s="15">
        <v>35.087719298245602</v>
      </c>
      <c r="P51" s="15">
        <v>39.024390243902403</v>
      </c>
      <c r="Q51" s="15">
        <v>18.404907975460102</v>
      </c>
      <c r="R51" s="15">
        <v>21.590909090909101</v>
      </c>
      <c r="S51" s="15">
        <v>24.324324324324301</v>
      </c>
      <c r="T51" s="15">
        <v>40.2777777777778</v>
      </c>
      <c r="U51" s="15">
        <v>23.770491803278698</v>
      </c>
      <c r="V51" s="15">
        <v>25.675675675675699</v>
      </c>
      <c r="W51" s="15">
        <v>82.954545454545496</v>
      </c>
      <c r="X51" s="15">
        <v>41.304347826087003</v>
      </c>
      <c r="Y51" s="15">
        <v>54.193548387096797</v>
      </c>
      <c r="Z51" s="15">
        <v>21.9298245614035</v>
      </c>
      <c r="AA51" s="32">
        <v>45.995340366030199</v>
      </c>
      <c r="AB51" s="15">
        <v>32.258064516128997</v>
      </c>
      <c r="AC51" s="15">
        <v>55.205047318612003</v>
      </c>
      <c r="AD51" s="15">
        <v>44.206008583691002</v>
      </c>
      <c r="AE51" s="15">
        <v>41.747572815533999</v>
      </c>
      <c r="AF51" s="15">
        <v>48.069241011983998</v>
      </c>
      <c r="AG51" s="15">
        <v>48.534201954397403</v>
      </c>
      <c r="AH51" s="15">
        <v>44.483985765124601</v>
      </c>
      <c r="AI51" s="24">
        <v>44.4444444444444</v>
      </c>
      <c r="AJ51" s="38"/>
    </row>
    <row r="52" spans="1:36">
      <c r="A52" s="9" t="s">
        <v>201</v>
      </c>
      <c r="B52" s="36">
        <v>13.567315293754399</v>
      </c>
      <c r="C52" s="32">
        <v>15.860845886947001</v>
      </c>
      <c r="D52" s="32">
        <v>14.811013010176101</v>
      </c>
      <c r="E52" s="32">
        <v>15.4141469042957</v>
      </c>
      <c r="F52" s="15">
        <v>8.1967213114754092</v>
      </c>
      <c r="G52" s="15">
        <v>18.644067796610202</v>
      </c>
      <c r="H52" s="15">
        <v>8.4337349397590398</v>
      </c>
      <c r="I52" s="15">
        <v>8.8888888888888893</v>
      </c>
      <c r="J52" s="15">
        <v>39.285714285714299</v>
      </c>
      <c r="K52" s="15">
        <v>19.4444444444444</v>
      </c>
      <c r="L52" s="15">
        <v>27.184466019417499</v>
      </c>
      <c r="M52" s="15">
        <v>17.283950617283899</v>
      </c>
      <c r="N52" s="15">
        <v>8.4745762711864394</v>
      </c>
      <c r="O52" s="15">
        <v>54.385964912280699</v>
      </c>
      <c r="P52" s="15">
        <v>12.1951219512195</v>
      </c>
      <c r="Q52" s="15">
        <v>12.269938650306701</v>
      </c>
      <c r="R52" s="15">
        <v>13.636363636363599</v>
      </c>
      <c r="S52" s="15">
        <v>10.8108108108108</v>
      </c>
      <c r="T52" s="15">
        <v>9.7222222222222197</v>
      </c>
      <c r="U52" s="15">
        <v>12.2950819672131</v>
      </c>
      <c r="V52" s="15">
        <v>16.2162162162162</v>
      </c>
      <c r="W52" s="15">
        <v>10.2272727272727</v>
      </c>
      <c r="X52" s="15">
        <v>12.5</v>
      </c>
      <c r="Y52" s="15">
        <v>20.645161290322601</v>
      </c>
      <c r="Z52" s="15">
        <v>5.2631578947368398</v>
      </c>
      <c r="AA52" s="32">
        <v>14.3095651194936</v>
      </c>
      <c r="AB52" s="15">
        <v>21.290322580645199</v>
      </c>
      <c r="AC52" s="15">
        <v>12.3028391167192</v>
      </c>
      <c r="AD52" s="15">
        <v>15.450643776824</v>
      </c>
      <c r="AE52" s="15">
        <v>11.9741100323625</v>
      </c>
      <c r="AF52" s="15">
        <v>12.383488681757701</v>
      </c>
      <c r="AG52" s="15">
        <v>16.286644951140101</v>
      </c>
      <c r="AH52" s="15">
        <v>13.5231316725979</v>
      </c>
      <c r="AI52" s="24">
        <v>27.7777777777778</v>
      </c>
      <c r="AJ52" s="38"/>
    </row>
    <row r="53" spans="1:36">
      <c r="A53" s="9" t="s">
        <v>202</v>
      </c>
      <c r="B53" s="36">
        <v>35.0203711353399</v>
      </c>
      <c r="C53" s="32">
        <v>34.619159984962501</v>
      </c>
      <c r="D53" s="32">
        <v>32.772509139135202</v>
      </c>
      <c r="E53" s="32">
        <v>34.083234945545001</v>
      </c>
      <c r="F53" s="15">
        <v>40.983606557377101</v>
      </c>
      <c r="G53" s="15">
        <v>32.203389830508499</v>
      </c>
      <c r="H53" s="15">
        <v>21.6867469879518</v>
      </c>
      <c r="I53" s="15">
        <v>26.6666666666667</v>
      </c>
      <c r="J53" s="15">
        <v>37.5</v>
      </c>
      <c r="K53" s="15">
        <v>50</v>
      </c>
      <c r="L53" s="15">
        <v>58.252427184466001</v>
      </c>
      <c r="M53" s="15">
        <v>50.617283950617299</v>
      </c>
      <c r="N53" s="15">
        <v>28.8135593220339</v>
      </c>
      <c r="O53" s="15">
        <v>33.3333333333333</v>
      </c>
      <c r="P53" s="15">
        <v>60.975609756097597</v>
      </c>
      <c r="Q53" s="15">
        <v>19.631901840490801</v>
      </c>
      <c r="R53" s="15">
        <v>45.454545454545503</v>
      </c>
      <c r="S53" s="15">
        <v>44.594594594594597</v>
      </c>
      <c r="T53" s="15">
        <v>22.2222222222222</v>
      </c>
      <c r="U53" s="15">
        <v>31.967213114754099</v>
      </c>
      <c r="V53" s="15">
        <v>39.1891891891892</v>
      </c>
      <c r="W53" s="15">
        <v>46.590909090909101</v>
      </c>
      <c r="X53" s="15">
        <v>24.456521739130402</v>
      </c>
      <c r="Y53" s="15">
        <v>47.096774193548399</v>
      </c>
      <c r="Z53" s="15">
        <v>33.3333333333333</v>
      </c>
      <c r="AA53" s="32">
        <v>31.6827665508054</v>
      </c>
      <c r="AB53" s="15">
        <v>28.387096774193498</v>
      </c>
      <c r="AC53" s="15">
        <v>49.526813880126198</v>
      </c>
      <c r="AD53" s="15">
        <v>37.339055793991399</v>
      </c>
      <c r="AE53" s="15">
        <v>32.686084142394797</v>
      </c>
      <c r="AF53" s="15">
        <v>37.283621837549902</v>
      </c>
      <c r="AG53" s="15">
        <v>24.755700325732899</v>
      </c>
      <c r="AH53" s="15">
        <v>50.177935943060497</v>
      </c>
      <c r="AI53" s="24">
        <v>50</v>
      </c>
      <c r="AJ53" s="38"/>
    </row>
    <row r="54" spans="1:36">
      <c r="A54" s="9" t="s">
        <v>203</v>
      </c>
      <c r="B54" s="36">
        <v>38.780831103357599</v>
      </c>
      <c r="C54" s="32">
        <v>39.294564821199899</v>
      </c>
      <c r="D54" s="32">
        <v>39.734202360118204</v>
      </c>
      <c r="E54" s="32">
        <v>46.805952582603503</v>
      </c>
      <c r="F54" s="15">
        <v>37.7049180327869</v>
      </c>
      <c r="G54" s="15">
        <v>42.372881355932201</v>
      </c>
      <c r="H54" s="15">
        <v>78.313253012048193</v>
      </c>
      <c r="I54" s="15">
        <v>37.7777777777778</v>
      </c>
      <c r="J54" s="15">
        <v>23.214285714285701</v>
      </c>
      <c r="K54" s="15">
        <v>55.5555555555556</v>
      </c>
      <c r="L54" s="15">
        <v>57.2815533980583</v>
      </c>
      <c r="M54" s="15">
        <v>44.4444444444444</v>
      </c>
      <c r="N54" s="15">
        <v>37.288135593220296</v>
      </c>
      <c r="O54" s="15">
        <v>45.614035087719301</v>
      </c>
      <c r="P54" s="15">
        <v>52.439024390243901</v>
      </c>
      <c r="Q54" s="15">
        <v>30.061349693251501</v>
      </c>
      <c r="R54" s="15">
        <v>50</v>
      </c>
      <c r="S54" s="15">
        <v>39.1891891891892</v>
      </c>
      <c r="T54" s="15">
        <v>61.1111111111111</v>
      </c>
      <c r="U54" s="15">
        <v>49.180327868852501</v>
      </c>
      <c r="V54" s="15">
        <v>44.594594594594597</v>
      </c>
      <c r="W54" s="15">
        <v>13.636363636363599</v>
      </c>
      <c r="X54" s="15">
        <v>57.065217391304301</v>
      </c>
      <c r="Y54" s="15">
        <v>54.838709677419402</v>
      </c>
      <c r="Z54" s="15">
        <v>45.614035087719301</v>
      </c>
      <c r="AA54" s="32">
        <v>33.854721423841603</v>
      </c>
      <c r="AB54" s="15">
        <v>34.193548387096797</v>
      </c>
      <c r="AC54" s="15">
        <v>36.593059936908503</v>
      </c>
      <c r="AD54" s="15">
        <v>37.7682403433476</v>
      </c>
      <c r="AE54" s="15">
        <v>40.129449838187703</v>
      </c>
      <c r="AF54" s="15">
        <v>35.552596537949398</v>
      </c>
      <c r="AG54" s="15">
        <v>39.413680781758998</v>
      </c>
      <c r="AH54" s="15">
        <v>38.434163701067597</v>
      </c>
      <c r="AI54" s="24">
        <v>44.4444444444444</v>
      </c>
      <c r="AJ54" s="38"/>
    </row>
    <row r="55" spans="1:36">
      <c r="A55" s="9" t="s">
        <v>204</v>
      </c>
      <c r="B55" s="36">
        <v>5.0022913128617201</v>
      </c>
      <c r="C55" s="32">
        <v>6.0488953047688003</v>
      </c>
      <c r="D55" s="32">
        <v>7.5138636934733603</v>
      </c>
      <c r="E55" s="32">
        <v>9.4412308284352093</v>
      </c>
      <c r="F55" s="15">
        <v>4.9180327868852496</v>
      </c>
      <c r="G55" s="20" t="s">
        <v>80</v>
      </c>
      <c r="H55" s="15">
        <v>36.144578313253</v>
      </c>
      <c r="I55" s="20" t="s">
        <v>80</v>
      </c>
      <c r="J55" s="20" t="s">
        <v>80</v>
      </c>
      <c r="K55" s="15">
        <v>13.8888888888889</v>
      </c>
      <c r="L55" s="15">
        <v>7.7669902912621396</v>
      </c>
      <c r="M55" s="15">
        <v>6.1728395061728403</v>
      </c>
      <c r="N55" s="20" t="s">
        <v>80</v>
      </c>
      <c r="O55" s="15">
        <v>14.0350877192982</v>
      </c>
      <c r="P55" s="15">
        <v>12.1951219512195</v>
      </c>
      <c r="Q55" s="15">
        <v>5.5214723926380396</v>
      </c>
      <c r="R55" s="20" t="s">
        <v>80</v>
      </c>
      <c r="S55" s="15">
        <v>8.1081081081081106</v>
      </c>
      <c r="T55" s="15">
        <v>6.9444444444444402</v>
      </c>
      <c r="U55" s="15">
        <v>9.0163934426229506</v>
      </c>
      <c r="V55" s="20" t="s">
        <v>80</v>
      </c>
      <c r="W55" s="15">
        <v>56.818181818181799</v>
      </c>
      <c r="X55" s="15">
        <v>8.6956521739130395</v>
      </c>
      <c r="Y55" s="15">
        <v>9.0322580645161299</v>
      </c>
      <c r="Z55" s="15">
        <v>7.8947368421052602</v>
      </c>
      <c r="AA55" s="32">
        <v>5.9114430803720701</v>
      </c>
      <c r="AB55" s="15">
        <v>3.87096774193548</v>
      </c>
      <c r="AC55" s="15">
        <v>6.6246056782334399</v>
      </c>
      <c r="AD55" s="15">
        <v>11.587982832618</v>
      </c>
      <c r="AE55" s="15">
        <v>9.3851132686084107</v>
      </c>
      <c r="AF55" s="15">
        <v>6.1251664447403504</v>
      </c>
      <c r="AG55" s="15">
        <v>5.2117263843648196</v>
      </c>
      <c r="AH55" s="15">
        <v>7.4733096085409203</v>
      </c>
      <c r="AI55" s="26" t="s">
        <v>80</v>
      </c>
      <c r="AJ55" s="38"/>
    </row>
    <row r="56" spans="1:36">
      <c r="A56" s="9" t="s">
        <v>205</v>
      </c>
      <c r="B56" s="36">
        <v>13.9800913504642</v>
      </c>
      <c r="C56" s="32">
        <v>14.2112147714221</v>
      </c>
      <c r="D56" s="32">
        <v>15.885524455766401</v>
      </c>
      <c r="E56" s="32">
        <v>14.6635460642523</v>
      </c>
      <c r="F56" s="15">
        <v>9.0163934426229506</v>
      </c>
      <c r="G56" s="15">
        <v>15.254237288135601</v>
      </c>
      <c r="H56" s="15">
        <v>16.867469879518101</v>
      </c>
      <c r="I56" s="15">
        <v>6.6666666666666696</v>
      </c>
      <c r="J56" s="15">
        <v>23.214285714285701</v>
      </c>
      <c r="K56" s="15">
        <v>22.2222222222222</v>
      </c>
      <c r="L56" s="15">
        <v>32.038834951456302</v>
      </c>
      <c r="M56" s="15">
        <v>16.049382716049401</v>
      </c>
      <c r="N56" s="15">
        <v>16.9491525423729</v>
      </c>
      <c r="O56" s="15">
        <v>8.7719298245614006</v>
      </c>
      <c r="P56" s="15">
        <v>34.146341463414601</v>
      </c>
      <c r="Q56" s="15">
        <v>6.1349693251533699</v>
      </c>
      <c r="R56" s="15">
        <v>9.0909090909090899</v>
      </c>
      <c r="S56" s="15">
        <v>14.8648648648649</v>
      </c>
      <c r="T56" s="15">
        <v>20.8333333333333</v>
      </c>
      <c r="U56" s="15">
        <v>20.491803278688501</v>
      </c>
      <c r="V56" s="15">
        <v>10.8108108108108</v>
      </c>
      <c r="W56" s="15">
        <v>7.9545454545454497</v>
      </c>
      <c r="X56" s="15">
        <v>12.5</v>
      </c>
      <c r="Y56" s="15">
        <v>18.064516129032299</v>
      </c>
      <c r="Z56" s="15">
        <v>5.2631578947368398</v>
      </c>
      <c r="AA56" s="32">
        <v>16.9014820944574</v>
      </c>
      <c r="AB56" s="15">
        <v>9.0322580645161299</v>
      </c>
      <c r="AC56" s="15">
        <v>19.5583596214511</v>
      </c>
      <c r="AD56" s="15">
        <v>17.596566523605201</v>
      </c>
      <c r="AE56" s="15">
        <v>12.944983818770201</v>
      </c>
      <c r="AF56" s="15">
        <v>13.7150466045273</v>
      </c>
      <c r="AG56" s="15">
        <v>24.4299674267101</v>
      </c>
      <c r="AH56" s="15">
        <v>24.199288256227799</v>
      </c>
      <c r="AI56" s="26" t="s">
        <v>80</v>
      </c>
      <c r="AJ56" s="38"/>
    </row>
    <row r="57" spans="1:36">
      <c r="A57" s="9" t="s">
        <v>206</v>
      </c>
      <c r="B57" s="36">
        <v>10.609941314842301</v>
      </c>
      <c r="C57" s="32">
        <v>10.2423489832728</v>
      </c>
      <c r="D57" s="32">
        <v>10.759929824599601</v>
      </c>
      <c r="E57" s="32">
        <v>12.150588998678099</v>
      </c>
      <c r="F57" s="15">
        <v>5.7377049180327901</v>
      </c>
      <c r="G57" s="15">
        <v>11.864406779661</v>
      </c>
      <c r="H57" s="15">
        <v>10.8433734939759</v>
      </c>
      <c r="I57" s="15">
        <v>5.5555555555555598</v>
      </c>
      <c r="J57" s="15">
        <v>21.428571428571399</v>
      </c>
      <c r="K57" s="15">
        <v>16.6666666666667</v>
      </c>
      <c r="L57" s="15">
        <v>14.5631067961165</v>
      </c>
      <c r="M57" s="15">
        <v>9.8765432098765409</v>
      </c>
      <c r="N57" s="15">
        <v>8.4745762711864394</v>
      </c>
      <c r="O57" s="15">
        <v>24.5614035087719</v>
      </c>
      <c r="P57" s="15">
        <v>17.0731707317073</v>
      </c>
      <c r="Q57" s="15">
        <v>7.3619631901840501</v>
      </c>
      <c r="R57" s="15">
        <v>10.2272727272727</v>
      </c>
      <c r="S57" s="15">
        <v>16.2162162162162</v>
      </c>
      <c r="T57" s="15">
        <v>12.5</v>
      </c>
      <c r="U57" s="15">
        <v>7.3770491803278704</v>
      </c>
      <c r="V57" s="15">
        <v>6.7567567567567597</v>
      </c>
      <c r="W57" s="15">
        <v>9.0909090909090899</v>
      </c>
      <c r="X57" s="15">
        <v>16.847826086956498</v>
      </c>
      <c r="Y57" s="15">
        <v>22.580645161290299</v>
      </c>
      <c r="Z57" s="15">
        <v>9.6491228070175392</v>
      </c>
      <c r="AA57" s="32">
        <v>9.6037303201467292</v>
      </c>
      <c r="AB57" s="15">
        <v>8.3870967741935498</v>
      </c>
      <c r="AC57" s="15">
        <v>7.8864353312302802</v>
      </c>
      <c r="AD57" s="15">
        <v>7.7253218884120196</v>
      </c>
      <c r="AE57" s="15">
        <v>19.417475728155299</v>
      </c>
      <c r="AF57" s="15">
        <v>13.981358189081201</v>
      </c>
      <c r="AG57" s="15">
        <v>14.9837133550489</v>
      </c>
      <c r="AH57" s="15">
        <v>8.1850533807829198</v>
      </c>
      <c r="AI57" s="26" t="s">
        <v>80</v>
      </c>
      <c r="AJ57" s="38"/>
    </row>
    <row r="58" spans="1:36">
      <c r="A58" s="9" t="s">
        <v>207</v>
      </c>
      <c r="B58" s="36">
        <v>25.3531912638284</v>
      </c>
      <c r="C58" s="32">
        <v>25.9382993911799</v>
      </c>
      <c r="D58" s="32">
        <v>24.687794961110001</v>
      </c>
      <c r="E58" s="32">
        <v>18.1581310381668</v>
      </c>
      <c r="F58" s="15">
        <v>10.655737704918</v>
      </c>
      <c r="G58" s="15">
        <v>15.254237288135601</v>
      </c>
      <c r="H58" s="15">
        <v>20.481927710843401</v>
      </c>
      <c r="I58" s="15">
        <v>12.2222222222222</v>
      </c>
      <c r="J58" s="15">
        <v>10.714285714285699</v>
      </c>
      <c r="K58" s="15">
        <v>16.6666666666667</v>
      </c>
      <c r="L58" s="15">
        <v>22.330097087378601</v>
      </c>
      <c r="M58" s="15">
        <v>16.049382716049401</v>
      </c>
      <c r="N58" s="15">
        <v>8.4745762711864394</v>
      </c>
      <c r="O58" s="15">
        <v>15.789473684210501</v>
      </c>
      <c r="P58" s="15">
        <v>25.609756097561</v>
      </c>
      <c r="Q58" s="15">
        <v>12.269938650306701</v>
      </c>
      <c r="R58" s="15">
        <v>27.272727272727298</v>
      </c>
      <c r="S58" s="15">
        <v>13.5135135135135</v>
      </c>
      <c r="T58" s="15">
        <v>20.8333333333333</v>
      </c>
      <c r="U58" s="15">
        <v>16.393442622950801</v>
      </c>
      <c r="V58" s="15">
        <v>25.675675675675699</v>
      </c>
      <c r="W58" s="15">
        <v>9.0909090909090899</v>
      </c>
      <c r="X58" s="15">
        <v>30.434782608695699</v>
      </c>
      <c r="Y58" s="15">
        <v>30.322580645161299</v>
      </c>
      <c r="Z58" s="15">
        <v>16.6666666666667</v>
      </c>
      <c r="AA58" s="32">
        <v>30.116583216833298</v>
      </c>
      <c r="AB58" s="15">
        <v>21.290322580645199</v>
      </c>
      <c r="AC58" s="15">
        <v>33.123028391167203</v>
      </c>
      <c r="AD58" s="15">
        <v>33.047210300429199</v>
      </c>
      <c r="AE58" s="15">
        <v>28.802588996763799</v>
      </c>
      <c r="AF58" s="15">
        <v>25.565912117177099</v>
      </c>
      <c r="AG58" s="15">
        <v>27.3615635179153</v>
      </c>
      <c r="AH58" s="15">
        <v>29.1814946619217</v>
      </c>
      <c r="AI58" s="26" t="s">
        <v>80</v>
      </c>
      <c r="AJ58" s="38"/>
    </row>
    <row r="59" spans="1:36">
      <c r="A59" s="9" t="s">
        <v>208</v>
      </c>
      <c r="B59" s="36">
        <v>1.51754319838762</v>
      </c>
      <c r="C59" s="32">
        <v>1.2067390702879699</v>
      </c>
      <c r="D59" s="32">
        <v>1.01324526630645</v>
      </c>
      <c r="E59" s="34" t="s">
        <v>80</v>
      </c>
      <c r="F59" s="20" t="s">
        <v>80</v>
      </c>
      <c r="G59" s="20" t="s">
        <v>80</v>
      </c>
      <c r="H59" s="20" t="s">
        <v>80</v>
      </c>
      <c r="I59" s="20" t="s">
        <v>80</v>
      </c>
      <c r="J59" s="20" t="s">
        <v>80</v>
      </c>
      <c r="K59" s="20" t="s">
        <v>80</v>
      </c>
      <c r="L59" s="20" t="s">
        <v>80</v>
      </c>
      <c r="M59" s="20" t="s">
        <v>80</v>
      </c>
      <c r="N59" s="20" t="s">
        <v>80</v>
      </c>
      <c r="O59" s="20" t="s">
        <v>80</v>
      </c>
      <c r="P59" s="20" t="s">
        <v>80</v>
      </c>
      <c r="Q59" s="20" t="s">
        <v>80</v>
      </c>
      <c r="R59" s="20" t="s">
        <v>80</v>
      </c>
      <c r="S59" s="20" t="s">
        <v>80</v>
      </c>
      <c r="T59" s="20" t="s">
        <v>80</v>
      </c>
      <c r="U59" s="20" t="s">
        <v>80</v>
      </c>
      <c r="V59" s="20" t="s">
        <v>80</v>
      </c>
      <c r="W59" s="20" t="s">
        <v>80</v>
      </c>
      <c r="X59" s="20" t="s">
        <v>80</v>
      </c>
      <c r="Y59" s="20" t="s">
        <v>80</v>
      </c>
      <c r="Z59" s="20" t="s">
        <v>80</v>
      </c>
      <c r="AA59" s="32">
        <v>1.1491401222231801</v>
      </c>
      <c r="AB59" s="20" t="s">
        <v>80</v>
      </c>
      <c r="AC59" s="15">
        <v>1.5772870662460601</v>
      </c>
      <c r="AD59" s="15">
        <v>2.1459227467811202</v>
      </c>
      <c r="AE59" s="20" t="s">
        <v>80</v>
      </c>
      <c r="AF59" s="15">
        <v>1.59786950732357</v>
      </c>
      <c r="AG59" s="20" t="s">
        <v>80</v>
      </c>
      <c r="AH59" s="20" t="s">
        <v>80</v>
      </c>
      <c r="AI59" s="24">
        <v>38.8888888888889</v>
      </c>
      <c r="AJ59" s="38"/>
    </row>
    <row r="60" spans="1:36">
      <c r="A60" s="9" t="s">
        <v>209</v>
      </c>
      <c r="B60" s="36">
        <v>1.1300126511994499</v>
      </c>
      <c r="C60" s="32">
        <v>0.96552821568578295</v>
      </c>
      <c r="D60" s="32">
        <v>0.98983559807368104</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32">
        <v>1.04373994543334</v>
      </c>
      <c r="AB60" s="20" t="s">
        <v>80</v>
      </c>
      <c r="AC60" s="15">
        <v>1.5772870662460601</v>
      </c>
      <c r="AD60" s="20" t="s">
        <v>80</v>
      </c>
      <c r="AE60" s="20" t="s">
        <v>80</v>
      </c>
      <c r="AF60" s="15">
        <v>1.59786950732357</v>
      </c>
      <c r="AG60" s="20" t="s">
        <v>80</v>
      </c>
      <c r="AH60" s="20" t="s">
        <v>80</v>
      </c>
      <c r="AI60" s="26" t="s">
        <v>80</v>
      </c>
      <c r="AJ60" s="38"/>
    </row>
    <row r="61" spans="1:36">
      <c r="A61" s="9" t="s">
        <v>210</v>
      </c>
      <c r="B61" s="36">
        <v>1.20267165928746</v>
      </c>
      <c r="C61" s="32">
        <v>1.0626238240729999</v>
      </c>
      <c r="D61" s="32">
        <v>1.08921855062454</v>
      </c>
      <c r="E61" s="34" t="s">
        <v>80</v>
      </c>
      <c r="F61" s="20" t="s">
        <v>80</v>
      </c>
      <c r="G61" s="20" t="s">
        <v>80</v>
      </c>
      <c r="H61" s="20" t="s">
        <v>80</v>
      </c>
      <c r="I61" s="20" t="s">
        <v>80</v>
      </c>
      <c r="J61" s="20" t="s">
        <v>80</v>
      </c>
      <c r="K61" s="20" t="s">
        <v>80</v>
      </c>
      <c r="L61" s="20" t="s">
        <v>80</v>
      </c>
      <c r="M61" s="20" t="s">
        <v>80</v>
      </c>
      <c r="N61" s="20" t="s">
        <v>80</v>
      </c>
      <c r="O61" s="20" t="s">
        <v>80</v>
      </c>
      <c r="P61" s="20" t="s">
        <v>80</v>
      </c>
      <c r="Q61" s="20" t="s">
        <v>80</v>
      </c>
      <c r="R61" s="20" t="s">
        <v>80</v>
      </c>
      <c r="S61" s="20" t="s">
        <v>80</v>
      </c>
      <c r="T61" s="20" t="s">
        <v>80</v>
      </c>
      <c r="U61" s="20" t="s">
        <v>80</v>
      </c>
      <c r="V61" s="20" t="s">
        <v>80</v>
      </c>
      <c r="W61" s="20" t="s">
        <v>80</v>
      </c>
      <c r="X61" s="20" t="s">
        <v>80</v>
      </c>
      <c r="Y61" s="20" t="s">
        <v>80</v>
      </c>
      <c r="Z61" s="20" t="s">
        <v>80</v>
      </c>
      <c r="AA61" s="32">
        <v>1.2340800432082599</v>
      </c>
      <c r="AB61" s="20" t="s">
        <v>80</v>
      </c>
      <c r="AC61" s="15">
        <v>1.5772870662460601</v>
      </c>
      <c r="AD61" s="15">
        <v>2.1459227467811202</v>
      </c>
      <c r="AE61" s="20" t="s">
        <v>80</v>
      </c>
      <c r="AF61" s="15">
        <v>1.73102529960053</v>
      </c>
      <c r="AG61" s="15">
        <v>1.6286644951140099</v>
      </c>
      <c r="AH61" s="20" t="s">
        <v>80</v>
      </c>
      <c r="AI61" s="26" t="s">
        <v>80</v>
      </c>
      <c r="AJ61" s="38"/>
    </row>
    <row r="62" spans="1:36">
      <c r="A62" s="9" t="s">
        <v>211</v>
      </c>
      <c r="B62" s="36">
        <v>2.6865863482646999</v>
      </c>
      <c r="C62" s="32">
        <v>2.76955376136927</v>
      </c>
      <c r="D62" s="32">
        <v>2.96799476814315</v>
      </c>
      <c r="E62" s="32">
        <v>3.4262980942003201</v>
      </c>
      <c r="F62" s="15">
        <v>4.0983606557377001</v>
      </c>
      <c r="G62" s="20" t="s">
        <v>80</v>
      </c>
      <c r="H62" s="20" t="s">
        <v>80</v>
      </c>
      <c r="I62" s="20" t="s">
        <v>80</v>
      </c>
      <c r="J62" s="20" t="s">
        <v>80</v>
      </c>
      <c r="K62" s="20" t="s">
        <v>80</v>
      </c>
      <c r="L62" s="20" t="s">
        <v>80</v>
      </c>
      <c r="M62" s="20" t="s">
        <v>80</v>
      </c>
      <c r="N62" s="15">
        <v>8.4745762711864394</v>
      </c>
      <c r="O62" s="20" t="s">
        <v>80</v>
      </c>
      <c r="P62" s="20" t="s">
        <v>80</v>
      </c>
      <c r="Q62" s="15">
        <v>4.9079754601227004</v>
      </c>
      <c r="R62" s="20" t="s">
        <v>80</v>
      </c>
      <c r="S62" s="20" t="s">
        <v>80</v>
      </c>
      <c r="T62" s="15">
        <v>11.1111111111111</v>
      </c>
      <c r="U62" s="15">
        <v>4.0983606557377001</v>
      </c>
      <c r="V62" s="20" t="s">
        <v>80</v>
      </c>
      <c r="W62" s="20" t="s">
        <v>80</v>
      </c>
      <c r="X62" s="15">
        <v>3.2608695652173898</v>
      </c>
      <c r="Y62" s="15">
        <v>3.2258064516128999</v>
      </c>
      <c r="Z62" s="20" t="s">
        <v>80</v>
      </c>
      <c r="AA62" s="32">
        <v>2.5869595811228798</v>
      </c>
      <c r="AB62" s="20" t="s">
        <v>80</v>
      </c>
      <c r="AC62" s="15">
        <v>7.2555205047318596</v>
      </c>
      <c r="AD62" s="20" t="s">
        <v>80</v>
      </c>
      <c r="AE62" s="20" t="s">
        <v>80</v>
      </c>
      <c r="AF62" s="15">
        <v>1.9973368841544601</v>
      </c>
      <c r="AG62" s="15">
        <v>3.25732899022801</v>
      </c>
      <c r="AH62" s="15">
        <v>2.8469750889679699</v>
      </c>
      <c r="AI62" s="26" t="s">
        <v>80</v>
      </c>
      <c r="AJ62" s="38"/>
    </row>
    <row r="63" spans="1:36">
      <c r="A63" s="9" t="s">
        <v>212</v>
      </c>
      <c r="B63" s="36">
        <v>10.778992366175601</v>
      </c>
      <c r="C63" s="32">
        <v>9.8862464954442402</v>
      </c>
      <c r="D63" s="32">
        <v>9.7812308168736806</v>
      </c>
      <c r="E63" s="32">
        <v>12.495926424623001</v>
      </c>
      <c r="F63" s="15">
        <v>11.4754098360656</v>
      </c>
      <c r="G63" s="15">
        <v>10.1694915254237</v>
      </c>
      <c r="H63" s="15">
        <v>15.662650602409601</v>
      </c>
      <c r="I63" s="15">
        <v>8.8888888888888893</v>
      </c>
      <c r="J63" s="20" t="s">
        <v>80</v>
      </c>
      <c r="K63" s="20" t="s">
        <v>80</v>
      </c>
      <c r="L63" s="15">
        <v>13.5922330097087</v>
      </c>
      <c r="M63" s="15">
        <v>9.8765432098765409</v>
      </c>
      <c r="N63" s="15">
        <v>8.4745762711864394</v>
      </c>
      <c r="O63" s="15">
        <v>8.7719298245614006</v>
      </c>
      <c r="P63" s="15">
        <v>12.1951219512195</v>
      </c>
      <c r="Q63" s="15">
        <v>14.1104294478528</v>
      </c>
      <c r="R63" s="15">
        <v>14.7727272727273</v>
      </c>
      <c r="S63" s="15">
        <v>9.4594594594594597</v>
      </c>
      <c r="T63" s="15">
        <v>16.6666666666667</v>
      </c>
      <c r="U63" s="15">
        <v>14.7540983606557</v>
      </c>
      <c r="V63" s="15">
        <v>10.8108108108108</v>
      </c>
      <c r="W63" s="15">
        <v>5.6818181818181799</v>
      </c>
      <c r="X63" s="15">
        <v>14.130434782608701</v>
      </c>
      <c r="Y63" s="15">
        <v>18.064516129032299</v>
      </c>
      <c r="Z63" s="15">
        <v>7.8947368421052602</v>
      </c>
      <c r="AA63" s="32">
        <v>7.52422221625788</v>
      </c>
      <c r="AB63" s="15">
        <v>7.7419354838709697</v>
      </c>
      <c r="AC63" s="15">
        <v>7.2555205047318596</v>
      </c>
      <c r="AD63" s="15">
        <v>9.4420600858369106</v>
      </c>
      <c r="AE63" s="15">
        <v>8.7378640776699008</v>
      </c>
      <c r="AF63" s="15">
        <v>9.4540612516644504</v>
      </c>
      <c r="AG63" s="15">
        <v>11.400651465797999</v>
      </c>
      <c r="AH63" s="15">
        <v>4.9822064056939501</v>
      </c>
      <c r="AI63" s="26" t="s">
        <v>80</v>
      </c>
      <c r="AJ63" s="38"/>
    </row>
    <row r="64" spans="1:36">
      <c r="A64" s="11" t="s">
        <v>213</v>
      </c>
      <c r="B64" s="37">
        <v>10.071137761762801</v>
      </c>
      <c r="C64" s="33">
        <v>9.4296933329155692</v>
      </c>
      <c r="D64" s="33">
        <v>9.82777500029548</v>
      </c>
      <c r="E64" s="33">
        <v>13.840328720892799</v>
      </c>
      <c r="F64" s="16">
        <v>9.8360655737704903</v>
      </c>
      <c r="G64" s="16">
        <v>27.118644067796598</v>
      </c>
      <c r="H64" s="16">
        <v>24.096385542168701</v>
      </c>
      <c r="I64" s="16">
        <v>14.4444444444444</v>
      </c>
      <c r="J64" s="16">
        <v>10.714285714285699</v>
      </c>
      <c r="K64" s="16">
        <v>22.2222222222222</v>
      </c>
      <c r="L64" s="16">
        <v>16.504854368932001</v>
      </c>
      <c r="M64" s="16">
        <v>13.580246913580201</v>
      </c>
      <c r="N64" s="16">
        <v>13.559322033898299</v>
      </c>
      <c r="O64" s="16">
        <v>10.526315789473699</v>
      </c>
      <c r="P64" s="16">
        <v>21.951219512195099</v>
      </c>
      <c r="Q64" s="16">
        <v>13.4969325153374</v>
      </c>
      <c r="R64" s="16">
        <v>9.0909090909090899</v>
      </c>
      <c r="S64" s="16">
        <v>10.8108108108108</v>
      </c>
      <c r="T64" s="16">
        <v>19.4444444444444</v>
      </c>
      <c r="U64" s="16">
        <v>10.655737704918</v>
      </c>
      <c r="V64" s="28" t="s">
        <v>80</v>
      </c>
      <c r="W64" s="16">
        <v>5.6818181818181799</v>
      </c>
      <c r="X64" s="16">
        <v>13.0434782608696</v>
      </c>
      <c r="Y64" s="16">
        <v>21.935483870967701</v>
      </c>
      <c r="Z64" s="28" t="s">
        <v>80</v>
      </c>
      <c r="AA64" s="33">
        <v>6.4917220623642899</v>
      </c>
      <c r="AB64" s="16">
        <v>4.5161290322580596</v>
      </c>
      <c r="AC64" s="16">
        <v>8.5173501577287105</v>
      </c>
      <c r="AD64" s="16">
        <v>3.8626609442060098</v>
      </c>
      <c r="AE64" s="16">
        <v>4.8543689320388399</v>
      </c>
      <c r="AF64" s="16">
        <v>10.7856191744341</v>
      </c>
      <c r="AG64" s="16">
        <v>4.5602605863192203</v>
      </c>
      <c r="AH64" s="16">
        <v>11.7437722419929</v>
      </c>
      <c r="AI64" s="29" t="s">
        <v>80</v>
      </c>
      <c r="AJ64" s="38"/>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215</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50.025390461660201</v>
      </c>
      <c r="C3" s="15">
        <v>54.120559916894202</v>
      </c>
      <c r="D3" s="24">
        <v>46.641143799788097</v>
      </c>
      <c r="E3" s="15">
        <v>51.277897339333002</v>
      </c>
      <c r="F3" s="15">
        <v>55.128081875589601</v>
      </c>
      <c r="G3" s="24">
        <v>48.048221349580501</v>
      </c>
      <c r="H3" s="15">
        <v>49.228687428579804</v>
      </c>
      <c r="I3" s="15">
        <v>52.911991022075597</v>
      </c>
      <c r="J3" s="24">
        <v>46.132661739963297</v>
      </c>
      <c r="K3" s="15">
        <v>42.283161055250403</v>
      </c>
      <c r="L3" s="15">
        <v>59.9483551312169</v>
      </c>
      <c r="M3" s="24">
        <v>37.828917659090401</v>
      </c>
      <c r="N3" s="15">
        <v>42.8578763798496</v>
      </c>
      <c r="O3" s="15">
        <v>56.218953907076497</v>
      </c>
      <c r="P3" s="24">
        <v>33.194754376307799</v>
      </c>
    </row>
    <row r="4" spans="1:16" ht="21.9" customHeight="1">
      <c r="A4" s="22" t="s">
        <v>19</v>
      </c>
      <c r="B4" s="15">
        <v>50.507058536694601</v>
      </c>
      <c r="C4" s="15">
        <v>54.653404504888897</v>
      </c>
      <c r="D4" s="24">
        <v>47.106247468846902</v>
      </c>
      <c r="E4" s="15">
        <v>51.4852879412568</v>
      </c>
      <c r="F4" s="15">
        <v>55.3579249136043</v>
      </c>
      <c r="G4" s="24">
        <v>48.248338187863197</v>
      </c>
      <c r="H4" s="15">
        <v>49.899349274490099</v>
      </c>
      <c r="I4" s="15">
        <v>53.654864980050597</v>
      </c>
      <c r="J4" s="24">
        <v>46.812193863927803</v>
      </c>
      <c r="K4" s="15">
        <v>43.013307934471797</v>
      </c>
      <c r="L4" s="15">
        <v>60.693472037487403</v>
      </c>
      <c r="M4" s="24">
        <v>37.571921460037103</v>
      </c>
      <c r="N4" s="15">
        <v>44.640690673589702</v>
      </c>
      <c r="O4" s="15">
        <v>59.080762382379703</v>
      </c>
      <c r="P4" s="24">
        <v>33.330498044271202</v>
      </c>
    </row>
    <row r="5" spans="1:16" ht="21.9" customHeight="1">
      <c r="A5" s="22" t="s">
        <v>20</v>
      </c>
      <c r="B5" s="15">
        <v>50.546712046612001</v>
      </c>
      <c r="C5" s="15">
        <v>57.9767922641715</v>
      </c>
      <c r="D5" s="24">
        <v>44.369314143721603</v>
      </c>
      <c r="E5" s="15">
        <v>52.707176913328503</v>
      </c>
      <c r="F5" s="15">
        <v>59.0962565709169</v>
      </c>
      <c r="G5" s="24">
        <v>47.275297669352099</v>
      </c>
      <c r="H5" s="15">
        <v>48.782853230274</v>
      </c>
      <c r="I5" s="15">
        <v>56.358889826138103</v>
      </c>
      <c r="J5" s="24">
        <v>42.574083692900203</v>
      </c>
      <c r="K5" s="20" t="s">
        <v>80</v>
      </c>
      <c r="L5" s="20" t="s">
        <v>80</v>
      </c>
      <c r="M5" s="26" t="s">
        <v>80</v>
      </c>
      <c r="N5" s="15">
        <v>47.210305394585497</v>
      </c>
      <c r="O5" s="15">
        <v>62.551899820679303</v>
      </c>
      <c r="P5" s="26" t="s">
        <v>80</v>
      </c>
    </row>
    <row r="6" spans="1:16" ht="21.9" customHeight="1">
      <c r="A6" s="22" t="s">
        <v>115</v>
      </c>
      <c r="B6" s="15">
        <v>57.9767922641715</v>
      </c>
      <c r="C6" s="15">
        <v>57.9767922641715</v>
      </c>
      <c r="D6" s="26" t="s">
        <v>80</v>
      </c>
      <c r="E6" s="15">
        <v>59.0962565709169</v>
      </c>
      <c r="F6" s="15">
        <v>59.0962565709169</v>
      </c>
      <c r="G6" s="26" t="s">
        <v>80</v>
      </c>
      <c r="H6" s="15">
        <v>56.358889826138103</v>
      </c>
      <c r="I6" s="15">
        <v>56.358889826138103</v>
      </c>
      <c r="J6" s="26" t="s">
        <v>80</v>
      </c>
      <c r="K6" s="20" t="s">
        <v>80</v>
      </c>
      <c r="L6" s="20" t="s">
        <v>80</v>
      </c>
      <c r="M6" s="26" t="s">
        <v>80</v>
      </c>
      <c r="N6" s="15">
        <v>62.551899820679303</v>
      </c>
      <c r="O6" s="15">
        <v>62.551899820679303</v>
      </c>
      <c r="P6" s="26" t="s">
        <v>80</v>
      </c>
    </row>
    <row r="7" spans="1:16">
      <c r="A7" s="9" t="s">
        <v>116</v>
      </c>
      <c r="B7" s="15">
        <v>68.032786885245898</v>
      </c>
      <c r="C7" s="15">
        <v>68.032786885245898</v>
      </c>
      <c r="D7" s="26" t="s">
        <v>80</v>
      </c>
      <c r="E7" s="15">
        <v>66.6666666666667</v>
      </c>
      <c r="F7" s="15">
        <v>66.6666666666667</v>
      </c>
      <c r="G7" s="26" t="s">
        <v>80</v>
      </c>
      <c r="H7" s="15">
        <v>69.230769230769198</v>
      </c>
      <c r="I7" s="15">
        <v>69.230769230769198</v>
      </c>
      <c r="J7" s="26" t="s">
        <v>80</v>
      </c>
      <c r="K7" s="20" t="s">
        <v>80</v>
      </c>
      <c r="L7" s="20" t="s">
        <v>80</v>
      </c>
      <c r="M7" s="26" t="s">
        <v>80</v>
      </c>
      <c r="N7" s="20" t="s">
        <v>80</v>
      </c>
      <c r="O7" s="20" t="s">
        <v>80</v>
      </c>
      <c r="P7" s="26" t="s">
        <v>80</v>
      </c>
    </row>
    <row r="8" spans="1:16">
      <c r="A8" s="9" t="s">
        <v>117</v>
      </c>
      <c r="B8" s="15">
        <v>33.8983050847458</v>
      </c>
      <c r="C8" s="15">
        <v>33.8983050847458</v>
      </c>
      <c r="D8" s="26" t="s">
        <v>80</v>
      </c>
      <c r="E8" s="15">
        <v>44.117647058823501</v>
      </c>
      <c r="F8" s="15">
        <v>44.117647058823501</v>
      </c>
      <c r="G8" s="26" t="s">
        <v>80</v>
      </c>
      <c r="H8" s="15">
        <v>20</v>
      </c>
      <c r="I8" s="15">
        <v>20</v>
      </c>
      <c r="J8" s="26" t="s">
        <v>80</v>
      </c>
      <c r="K8" s="20" t="s">
        <v>80</v>
      </c>
      <c r="L8" s="20" t="s">
        <v>80</v>
      </c>
      <c r="M8" s="26" t="s">
        <v>80</v>
      </c>
      <c r="N8" s="20" t="s">
        <v>80</v>
      </c>
      <c r="O8" s="20" t="s">
        <v>80</v>
      </c>
      <c r="P8" s="26" t="s">
        <v>80</v>
      </c>
    </row>
    <row r="9" spans="1:16">
      <c r="A9" s="9" t="s">
        <v>118</v>
      </c>
      <c r="B9" s="15">
        <v>81.927710843373504</v>
      </c>
      <c r="C9" s="15">
        <v>81.927710843373504</v>
      </c>
      <c r="D9" s="26" t="s">
        <v>80</v>
      </c>
      <c r="E9" s="15">
        <v>82.2222222222222</v>
      </c>
      <c r="F9" s="15">
        <v>82.2222222222222</v>
      </c>
      <c r="G9" s="26" t="s">
        <v>80</v>
      </c>
      <c r="H9" s="15">
        <v>81.081081081081095</v>
      </c>
      <c r="I9" s="15">
        <v>81.081081081081095</v>
      </c>
      <c r="J9" s="26" t="s">
        <v>80</v>
      </c>
      <c r="K9" s="20" t="s">
        <v>80</v>
      </c>
      <c r="L9" s="20" t="s">
        <v>80</v>
      </c>
      <c r="M9" s="26" t="s">
        <v>80</v>
      </c>
      <c r="N9" s="20" t="s">
        <v>80</v>
      </c>
      <c r="O9" s="20" t="s">
        <v>80</v>
      </c>
      <c r="P9" s="26" t="s">
        <v>80</v>
      </c>
    </row>
    <row r="10" spans="1:16">
      <c r="A10" s="9" t="s">
        <v>119</v>
      </c>
      <c r="B10" s="15">
        <v>34.4444444444444</v>
      </c>
      <c r="C10" s="15">
        <v>34.4444444444444</v>
      </c>
      <c r="D10" s="26" t="s">
        <v>80</v>
      </c>
      <c r="E10" s="15">
        <v>35.4166666666667</v>
      </c>
      <c r="F10" s="15">
        <v>35.4166666666667</v>
      </c>
      <c r="G10" s="26" t="s">
        <v>80</v>
      </c>
      <c r="H10" s="15">
        <v>31.707317073170699</v>
      </c>
      <c r="I10" s="15">
        <v>31.707317073170699</v>
      </c>
      <c r="J10" s="26" t="s">
        <v>80</v>
      </c>
      <c r="K10" s="20" t="s">
        <v>80</v>
      </c>
      <c r="L10" s="20" t="s">
        <v>80</v>
      </c>
      <c r="M10" s="26" t="s">
        <v>80</v>
      </c>
      <c r="N10" s="20" t="s">
        <v>80</v>
      </c>
      <c r="O10" s="20" t="s">
        <v>80</v>
      </c>
      <c r="P10" s="26" t="s">
        <v>80</v>
      </c>
    </row>
    <row r="11" spans="1:16">
      <c r="A11" s="9" t="s">
        <v>120</v>
      </c>
      <c r="B11" s="15">
        <v>83.928571428571402</v>
      </c>
      <c r="C11" s="15">
        <v>83.928571428571402</v>
      </c>
      <c r="D11" s="26" t="s">
        <v>80</v>
      </c>
      <c r="E11" s="15">
        <v>84.375</v>
      </c>
      <c r="F11" s="15">
        <v>84.375</v>
      </c>
      <c r="G11" s="26" t="s">
        <v>80</v>
      </c>
      <c r="H11" s="15">
        <v>80.952380952380906</v>
      </c>
      <c r="I11" s="15">
        <v>80.952380952380906</v>
      </c>
      <c r="J11" s="26" t="s">
        <v>80</v>
      </c>
      <c r="K11" s="20" t="s">
        <v>80</v>
      </c>
      <c r="L11" s="20" t="s">
        <v>80</v>
      </c>
      <c r="M11" s="26" t="s">
        <v>80</v>
      </c>
      <c r="N11" s="20" t="s">
        <v>80</v>
      </c>
      <c r="O11" s="20" t="s">
        <v>80</v>
      </c>
      <c r="P11" s="26" t="s">
        <v>80</v>
      </c>
    </row>
    <row r="12" spans="1:16">
      <c r="A12" s="9" t="s">
        <v>121</v>
      </c>
      <c r="B12" s="15">
        <v>72.2222222222222</v>
      </c>
      <c r="C12" s="15">
        <v>72.2222222222222</v>
      </c>
      <c r="D12" s="26" t="s">
        <v>80</v>
      </c>
      <c r="E12" s="15">
        <v>66.6666666666667</v>
      </c>
      <c r="F12" s="15">
        <v>66.6666666666667</v>
      </c>
      <c r="G12" s="26" t="s">
        <v>80</v>
      </c>
      <c r="H12" s="15">
        <v>76.190476190476204</v>
      </c>
      <c r="I12" s="15">
        <v>76.190476190476204</v>
      </c>
      <c r="J12" s="26" t="s">
        <v>80</v>
      </c>
      <c r="K12" s="20" t="s">
        <v>80</v>
      </c>
      <c r="L12" s="20" t="s">
        <v>80</v>
      </c>
      <c r="M12" s="26" t="s">
        <v>80</v>
      </c>
      <c r="N12" s="20" t="s">
        <v>80</v>
      </c>
      <c r="O12" s="20" t="s">
        <v>80</v>
      </c>
      <c r="P12" s="26" t="s">
        <v>80</v>
      </c>
    </row>
    <row r="13" spans="1:16">
      <c r="A13" s="9" t="s">
        <v>122</v>
      </c>
      <c r="B13" s="15">
        <v>48.543689320388303</v>
      </c>
      <c r="C13" s="15">
        <v>48.543689320388303</v>
      </c>
      <c r="D13" s="26" t="s">
        <v>80</v>
      </c>
      <c r="E13" s="15">
        <v>54.545454545454497</v>
      </c>
      <c r="F13" s="15">
        <v>54.545454545454497</v>
      </c>
      <c r="G13" s="26" t="s">
        <v>80</v>
      </c>
      <c r="H13" s="15">
        <v>42.553191489361701</v>
      </c>
      <c r="I13" s="15">
        <v>42.553191489361701</v>
      </c>
      <c r="J13" s="26" t="s">
        <v>80</v>
      </c>
      <c r="K13" s="20" t="s">
        <v>80</v>
      </c>
      <c r="L13" s="20" t="s">
        <v>80</v>
      </c>
      <c r="M13" s="26" t="s">
        <v>80</v>
      </c>
      <c r="N13" s="20" t="s">
        <v>80</v>
      </c>
      <c r="O13" s="20" t="s">
        <v>80</v>
      </c>
      <c r="P13" s="26" t="s">
        <v>80</v>
      </c>
    </row>
    <row r="14" spans="1:16">
      <c r="A14" s="9" t="s">
        <v>123</v>
      </c>
      <c r="B14" s="15">
        <v>60.493827160493801</v>
      </c>
      <c r="C14" s="15">
        <v>60.493827160493801</v>
      </c>
      <c r="D14" s="26" t="s">
        <v>80</v>
      </c>
      <c r="E14" s="15">
        <v>57.894736842105303</v>
      </c>
      <c r="F14" s="15">
        <v>57.894736842105303</v>
      </c>
      <c r="G14" s="26" t="s">
        <v>80</v>
      </c>
      <c r="H14" s="15">
        <v>63.414634146341498</v>
      </c>
      <c r="I14" s="15">
        <v>63.414634146341498</v>
      </c>
      <c r="J14" s="26" t="s">
        <v>80</v>
      </c>
      <c r="K14" s="20" t="s">
        <v>80</v>
      </c>
      <c r="L14" s="20" t="s">
        <v>80</v>
      </c>
      <c r="M14" s="26" t="s">
        <v>80</v>
      </c>
      <c r="N14" s="20" t="s">
        <v>80</v>
      </c>
      <c r="O14" s="20" t="s">
        <v>80</v>
      </c>
      <c r="P14" s="26" t="s">
        <v>80</v>
      </c>
    </row>
    <row r="15" spans="1:16">
      <c r="A15" s="9" t="s">
        <v>124</v>
      </c>
      <c r="B15" s="15">
        <v>54.237288135593197</v>
      </c>
      <c r="C15" s="15">
        <v>54.237288135593197</v>
      </c>
      <c r="D15" s="26" t="s">
        <v>80</v>
      </c>
      <c r="E15" s="15">
        <v>50</v>
      </c>
      <c r="F15" s="15">
        <v>50</v>
      </c>
      <c r="G15" s="26" t="s">
        <v>80</v>
      </c>
      <c r="H15" s="15">
        <v>57.692307692307701</v>
      </c>
      <c r="I15" s="15">
        <v>57.692307692307701</v>
      </c>
      <c r="J15" s="26" t="s">
        <v>80</v>
      </c>
      <c r="K15" s="20" t="s">
        <v>80</v>
      </c>
      <c r="L15" s="20" t="s">
        <v>80</v>
      </c>
      <c r="M15" s="26" t="s">
        <v>80</v>
      </c>
      <c r="N15" s="20" t="s">
        <v>80</v>
      </c>
      <c r="O15" s="20" t="s">
        <v>80</v>
      </c>
      <c r="P15" s="26" t="s">
        <v>80</v>
      </c>
    </row>
    <row r="16" spans="1:16">
      <c r="A16" s="9" t="s">
        <v>125</v>
      </c>
      <c r="B16" s="15">
        <v>71.929824561403507</v>
      </c>
      <c r="C16" s="15">
        <v>71.929824561403507</v>
      </c>
      <c r="D16" s="26" t="s">
        <v>80</v>
      </c>
      <c r="E16" s="15">
        <v>76.923076923076906</v>
      </c>
      <c r="F16" s="15">
        <v>76.923076923076906</v>
      </c>
      <c r="G16" s="26" t="s">
        <v>80</v>
      </c>
      <c r="H16" s="15">
        <v>70.370370370370395</v>
      </c>
      <c r="I16" s="15">
        <v>70.370370370370395</v>
      </c>
      <c r="J16" s="26" t="s">
        <v>80</v>
      </c>
      <c r="K16" s="20" t="s">
        <v>80</v>
      </c>
      <c r="L16" s="20" t="s">
        <v>80</v>
      </c>
      <c r="M16" s="26" t="s">
        <v>80</v>
      </c>
      <c r="N16" s="20" t="s">
        <v>80</v>
      </c>
      <c r="O16" s="20" t="s">
        <v>80</v>
      </c>
      <c r="P16" s="26" t="s">
        <v>80</v>
      </c>
    </row>
    <row r="17" spans="1:16">
      <c r="A17" s="9" t="s">
        <v>126</v>
      </c>
      <c r="B17" s="15">
        <v>59.756097560975597</v>
      </c>
      <c r="C17" s="15">
        <v>59.756097560975597</v>
      </c>
      <c r="D17" s="26" t="s">
        <v>80</v>
      </c>
      <c r="E17" s="15">
        <v>60.526315789473699</v>
      </c>
      <c r="F17" s="15">
        <v>60.526315789473699</v>
      </c>
      <c r="G17" s="26" t="s">
        <v>80</v>
      </c>
      <c r="H17" s="15">
        <v>52.631578947368403</v>
      </c>
      <c r="I17" s="15">
        <v>52.631578947368403</v>
      </c>
      <c r="J17" s="26" t="s">
        <v>80</v>
      </c>
      <c r="K17" s="20" t="s">
        <v>80</v>
      </c>
      <c r="L17" s="20" t="s">
        <v>80</v>
      </c>
      <c r="M17" s="26" t="s">
        <v>80</v>
      </c>
      <c r="N17" s="15">
        <v>100</v>
      </c>
      <c r="O17" s="15">
        <v>100</v>
      </c>
      <c r="P17" s="26" t="s">
        <v>80</v>
      </c>
    </row>
    <row r="18" spans="1:16">
      <c r="A18" s="9" t="s">
        <v>127</v>
      </c>
      <c r="B18" s="15">
        <v>55.828220858895698</v>
      </c>
      <c r="C18" s="15">
        <v>55.828220858895698</v>
      </c>
      <c r="D18" s="26" t="s">
        <v>80</v>
      </c>
      <c r="E18" s="15">
        <v>57.5</v>
      </c>
      <c r="F18" s="15">
        <v>57.5</v>
      </c>
      <c r="G18" s="26" t="s">
        <v>80</v>
      </c>
      <c r="H18" s="15">
        <v>53.947368421052602</v>
      </c>
      <c r="I18" s="15">
        <v>53.947368421052602</v>
      </c>
      <c r="J18" s="26" t="s">
        <v>80</v>
      </c>
      <c r="K18" s="20" t="s">
        <v>80</v>
      </c>
      <c r="L18" s="20" t="s">
        <v>80</v>
      </c>
      <c r="M18" s="26" t="s">
        <v>80</v>
      </c>
      <c r="N18" s="20" t="s">
        <v>80</v>
      </c>
      <c r="O18" s="20" t="s">
        <v>80</v>
      </c>
      <c r="P18" s="26" t="s">
        <v>80</v>
      </c>
    </row>
    <row r="19" spans="1:16">
      <c r="A19" s="9" t="s">
        <v>128</v>
      </c>
      <c r="B19" s="15">
        <v>39.772727272727302</v>
      </c>
      <c r="C19" s="15">
        <v>39.772727272727302</v>
      </c>
      <c r="D19" s="26" t="s">
        <v>80</v>
      </c>
      <c r="E19" s="15">
        <v>35.5555555555556</v>
      </c>
      <c r="F19" s="15">
        <v>35.5555555555556</v>
      </c>
      <c r="G19" s="26" t="s">
        <v>80</v>
      </c>
      <c r="H19" s="15">
        <v>44.1860465116279</v>
      </c>
      <c r="I19" s="15">
        <v>44.1860465116279</v>
      </c>
      <c r="J19" s="26" t="s">
        <v>80</v>
      </c>
      <c r="K19" s="20" t="s">
        <v>80</v>
      </c>
      <c r="L19" s="20" t="s">
        <v>80</v>
      </c>
      <c r="M19" s="26" t="s">
        <v>80</v>
      </c>
      <c r="N19" s="20" t="s">
        <v>80</v>
      </c>
      <c r="O19" s="20" t="s">
        <v>80</v>
      </c>
      <c r="P19" s="26" t="s">
        <v>80</v>
      </c>
    </row>
    <row r="20" spans="1:16">
      <c r="A20" s="9" t="s">
        <v>129</v>
      </c>
      <c r="B20" s="15">
        <v>62.162162162162197</v>
      </c>
      <c r="C20" s="15">
        <v>62.162162162162197</v>
      </c>
      <c r="D20" s="26" t="s">
        <v>80</v>
      </c>
      <c r="E20" s="15">
        <v>70.731707317073202</v>
      </c>
      <c r="F20" s="15">
        <v>70.731707317073202</v>
      </c>
      <c r="G20" s="26" t="s">
        <v>80</v>
      </c>
      <c r="H20" s="15">
        <v>51.612903225806498</v>
      </c>
      <c r="I20" s="15">
        <v>51.612903225806498</v>
      </c>
      <c r="J20" s="26" t="s">
        <v>80</v>
      </c>
      <c r="K20" s="20" t="s">
        <v>80</v>
      </c>
      <c r="L20" s="20" t="s">
        <v>80</v>
      </c>
      <c r="M20" s="26" t="s">
        <v>80</v>
      </c>
      <c r="N20" s="20" t="s">
        <v>80</v>
      </c>
      <c r="O20" s="20" t="s">
        <v>80</v>
      </c>
      <c r="P20" s="26" t="s">
        <v>80</v>
      </c>
    </row>
    <row r="21" spans="1:16">
      <c r="A21" s="9" t="s">
        <v>130</v>
      </c>
      <c r="B21" s="15">
        <v>56.9444444444444</v>
      </c>
      <c r="C21" s="15">
        <v>56.9444444444444</v>
      </c>
      <c r="D21" s="26" t="s">
        <v>80</v>
      </c>
      <c r="E21" s="15">
        <v>55.5555555555556</v>
      </c>
      <c r="F21" s="15">
        <v>55.5555555555556</v>
      </c>
      <c r="G21" s="26" t="s">
        <v>80</v>
      </c>
      <c r="H21" s="15">
        <v>56.097560975609802</v>
      </c>
      <c r="I21" s="15">
        <v>56.097560975609802</v>
      </c>
      <c r="J21" s="26" t="s">
        <v>80</v>
      </c>
      <c r="K21" s="20" t="s">
        <v>80</v>
      </c>
      <c r="L21" s="20" t="s">
        <v>80</v>
      </c>
      <c r="M21" s="26" t="s">
        <v>80</v>
      </c>
      <c r="N21" s="20" t="s">
        <v>80</v>
      </c>
      <c r="O21" s="20" t="s">
        <v>80</v>
      </c>
      <c r="P21" s="26" t="s">
        <v>80</v>
      </c>
    </row>
    <row r="22" spans="1:16">
      <c r="A22" s="9" t="s">
        <v>131</v>
      </c>
      <c r="B22" s="15">
        <v>52.459016393442603</v>
      </c>
      <c r="C22" s="15">
        <v>52.459016393442603</v>
      </c>
      <c r="D22" s="26" t="s">
        <v>80</v>
      </c>
      <c r="E22" s="15">
        <v>63.461538461538503</v>
      </c>
      <c r="F22" s="15">
        <v>63.461538461538503</v>
      </c>
      <c r="G22" s="26" t="s">
        <v>80</v>
      </c>
      <c r="H22" s="15">
        <v>40.625</v>
      </c>
      <c r="I22" s="15">
        <v>40.625</v>
      </c>
      <c r="J22" s="26" t="s">
        <v>80</v>
      </c>
      <c r="K22" s="20" t="s">
        <v>80</v>
      </c>
      <c r="L22" s="20" t="s">
        <v>80</v>
      </c>
      <c r="M22" s="26" t="s">
        <v>80</v>
      </c>
      <c r="N22" s="20" t="s">
        <v>80</v>
      </c>
      <c r="O22" s="20" t="s">
        <v>80</v>
      </c>
      <c r="P22" s="26" t="s">
        <v>80</v>
      </c>
    </row>
    <row r="23" spans="1:16">
      <c r="A23" s="9" t="s">
        <v>132</v>
      </c>
      <c r="B23" s="15">
        <v>62.162162162162197</v>
      </c>
      <c r="C23" s="15">
        <v>62.162162162162197</v>
      </c>
      <c r="D23" s="26" t="s">
        <v>80</v>
      </c>
      <c r="E23" s="15">
        <v>64.864864864864899</v>
      </c>
      <c r="F23" s="15">
        <v>64.864864864864899</v>
      </c>
      <c r="G23" s="26" t="s">
        <v>80</v>
      </c>
      <c r="H23" s="15">
        <v>57.142857142857103</v>
      </c>
      <c r="I23" s="15">
        <v>57.142857142857103</v>
      </c>
      <c r="J23" s="26" t="s">
        <v>80</v>
      </c>
      <c r="K23" s="20" t="s">
        <v>80</v>
      </c>
      <c r="L23" s="20" t="s">
        <v>80</v>
      </c>
      <c r="M23" s="26" t="s">
        <v>80</v>
      </c>
      <c r="N23" s="20" t="s">
        <v>80</v>
      </c>
      <c r="O23" s="20" t="s">
        <v>80</v>
      </c>
      <c r="P23" s="26" t="s">
        <v>80</v>
      </c>
    </row>
    <row r="24" spans="1:16">
      <c r="A24" s="9" t="s">
        <v>133</v>
      </c>
      <c r="B24" s="15">
        <v>86.363636363636402</v>
      </c>
      <c r="C24" s="15">
        <v>86.363636363636402</v>
      </c>
      <c r="D24" s="26" t="s">
        <v>80</v>
      </c>
      <c r="E24" s="15">
        <v>92.5</v>
      </c>
      <c r="F24" s="15">
        <v>92.5</v>
      </c>
      <c r="G24" s="26" t="s">
        <v>80</v>
      </c>
      <c r="H24" s="15">
        <v>84.7826086956522</v>
      </c>
      <c r="I24" s="15">
        <v>84.7826086956522</v>
      </c>
      <c r="J24" s="26" t="s">
        <v>80</v>
      </c>
      <c r="K24" s="20" t="s">
        <v>80</v>
      </c>
      <c r="L24" s="20" t="s">
        <v>80</v>
      </c>
      <c r="M24" s="26" t="s">
        <v>80</v>
      </c>
      <c r="N24" s="20" t="s">
        <v>80</v>
      </c>
      <c r="O24" s="20" t="s">
        <v>80</v>
      </c>
      <c r="P24" s="26" t="s">
        <v>80</v>
      </c>
    </row>
    <row r="25" spans="1:16">
      <c r="A25" s="9" t="s">
        <v>134</v>
      </c>
      <c r="B25" s="15">
        <v>40.760869565217398</v>
      </c>
      <c r="C25" s="15">
        <v>40.760869565217398</v>
      </c>
      <c r="D25" s="26" t="s">
        <v>80</v>
      </c>
      <c r="E25" s="15">
        <v>44.827586206896598</v>
      </c>
      <c r="F25" s="15">
        <v>44.827586206896598</v>
      </c>
      <c r="G25" s="26" t="s">
        <v>80</v>
      </c>
      <c r="H25" s="15">
        <v>35.869565217391298</v>
      </c>
      <c r="I25" s="15">
        <v>35.869565217391298</v>
      </c>
      <c r="J25" s="26" t="s">
        <v>80</v>
      </c>
      <c r="K25" s="20" t="s">
        <v>80</v>
      </c>
      <c r="L25" s="20" t="s">
        <v>80</v>
      </c>
      <c r="M25" s="26" t="s">
        <v>80</v>
      </c>
      <c r="N25" s="20" t="s">
        <v>80</v>
      </c>
      <c r="O25" s="20" t="s">
        <v>80</v>
      </c>
      <c r="P25" s="26" t="s">
        <v>80</v>
      </c>
    </row>
    <row r="26" spans="1:16">
      <c r="A26" s="9" t="s">
        <v>135</v>
      </c>
      <c r="B26" s="15">
        <v>67.741935483871003</v>
      </c>
      <c r="C26" s="15">
        <v>67.741935483871003</v>
      </c>
      <c r="D26" s="26" t="s">
        <v>80</v>
      </c>
      <c r="E26" s="15">
        <v>65</v>
      </c>
      <c r="F26" s="15">
        <v>65</v>
      </c>
      <c r="G26" s="26" t="s">
        <v>80</v>
      </c>
      <c r="H26" s="15">
        <v>68.656716417910403</v>
      </c>
      <c r="I26" s="15">
        <v>68.656716417910403</v>
      </c>
      <c r="J26" s="26" t="s">
        <v>80</v>
      </c>
      <c r="K26" s="20" t="s">
        <v>80</v>
      </c>
      <c r="L26" s="20" t="s">
        <v>80</v>
      </c>
      <c r="M26" s="26" t="s">
        <v>80</v>
      </c>
      <c r="N26" s="15">
        <v>87.5</v>
      </c>
      <c r="O26" s="15">
        <v>87.5</v>
      </c>
      <c r="P26" s="26" t="s">
        <v>80</v>
      </c>
    </row>
    <row r="27" spans="1:16">
      <c r="A27" s="9" t="s">
        <v>136</v>
      </c>
      <c r="B27" s="15">
        <v>35.964912280701803</v>
      </c>
      <c r="C27" s="15">
        <v>35.964912280701803</v>
      </c>
      <c r="D27" s="26" t="s">
        <v>80</v>
      </c>
      <c r="E27" s="15">
        <v>24.4897959183673</v>
      </c>
      <c r="F27" s="15">
        <v>24.4897959183673</v>
      </c>
      <c r="G27" s="26" t="s">
        <v>80</v>
      </c>
      <c r="H27" s="15">
        <v>49.122807017543899</v>
      </c>
      <c r="I27" s="15">
        <v>49.122807017543899</v>
      </c>
      <c r="J27" s="26" t="s">
        <v>80</v>
      </c>
      <c r="K27" s="20" t="s">
        <v>80</v>
      </c>
      <c r="L27" s="20" t="s">
        <v>80</v>
      </c>
      <c r="M27" s="26" t="s">
        <v>80</v>
      </c>
      <c r="N27" s="20" t="s">
        <v>80</v>
      </c>
      <c r="O27" s="20" t="s">
        <v>80</v>
      </c>
      <c r="P27" s="26" t="s">
        <v>80</v>
      </c>
    </row>
    <row r="28" spans="1:16" ht="21.9" customHeight="1">
      <c r="A28" s="22" t="s">
        <v>137</v>
      </c>
      <c r="B28" s="15">
        <v>44.369314143721603</v>
      </c>
      <c r="C28" s="20" t="s">
        <v>80</v>
      </c>
      <c r="D28" s="24">
        <v>44.369314143721603</v>
      </c>
      <c r="E28" s="15">
        <v>47.275297669352099</v>
      </c>
      <c r="F28" s="20" t="s">
        <v>80</v>
      </c>
      <c r="G28" s="24">
        <v>47.275297669352099</v>
      </c>
      <c r="H28" s="15">
        <v>42.574083692900203</v>
      </c>
      <c r="I28" s="20" t="s">
        <v>80</v>
      </c>
      <c r="J28" s="24">
        <v>42.574083692900203</v>
      </c>
      <c r="K28" s="20" t="s">
        <v>80</v>
      </c>
      <c r="L28" s="20" t="s">
        <v>80</v>
      </c>
      <c r="M28" s="26" t="s">
        <v>80</v>
      </c>
      <c r="N28" s="20" t="s">
        <v>80</v>
      </c>
      <c r="O28" s="20" t="s">
        <v>80</v>
      </c>
      <c r="P28" s="26" t="s">
        <v>80</v>
      </c>
    </row>
    <row r="29" spans="1:16">
      <c r="A29" s="9" t="s">
        <v>138</v>
      </c>
      <c r="B29" s="15">
        <v>50.322580645161302</v>
      </c>
      <c r="C29" s="20" t="s">
        <v>80</v>
      </c>
      <c r="D29" s="24">
        <v>50.322580645161302</v>
      </c>
      <c r="E29" s="15">
        <v>58.208955223880601</v>
      </c>
      <c r="F29" s="20" t="s">
        <v>80</v>
      </c>
      <c r="G29" s="24">
        <v>58.208955223880601</v>
      </c>
      <c r="H29" s="15">
        <v>46.7532467532467</v>
      </c>
      <c r="I29" s="20" t="s">
        <v>80</v>
      </c>
      <c r="J29" s="24">
        <v>46.7532467532467</v>
      </c>
      <c r="K29" s="20" t="s">
        <v>80</v>
      </c>
      <c r="L29" s="20" t="s">
        <v>80</v>
      </c>
      <c r="M29" s="26" t="s">
        <v>80</v>
      </c>
      <c r="N29" s="20" t="s">
        <v>80</v>
      </c>
      <c r="O29" s="20" t="s">
        <v>80</v>
      </c>
      <c r="P29" s="26" t="s">
        <v>80</v>
      </c>
    </row>
    <row r="30" spans="1:16">
      <c r="A30" s="9" t="s">
        <v>139</v>
      </c>
      <c r="B30" s="15">
        <v>60.252365930599403</v>
      </c>
      <c r="C30" s="20" t="s">
        <v>80</v>
      </c>
      <c r="D30" s="24">
        <v>60.252365930599403</v>
      </c>
      <c r="E30" s="15">
        <v>63.779527559055097</v>
      </c>
      <c r="F30" s="20" t="s">
        <v>80</v>
      </c>
      <c r="G30" s="24">
        <v>63.779527559055097</v>
      </c>
      <c r="H30" s="15">
        <v>58.7570621468927</v>
      </c>
      <c r="I30" s="20" t="s">
        <v>80</v>
      </c>
      <c r="J30" s="24">
        <v>58.7570621468927</v>
      </c>
      <c r="K30" s="20" t="s">
        <v>80</v>
      </c>
      <c r="L30" s="20" t="s">
        <v>80</v>
      </c>
      <c r="M30" s="26" t="s">
        <v>80</v>
      </c>
      <c r="N30" s="15">
        <v>83.3333333333333</v>
      </c>
      <c r="O30" s="20" t="s">
        <v>80</v>
      </c>
      <c r="P30" s="24">
        <v>83.3333333333333</v>
      </c>
    </row>
    <row r="31" spans="1:16">
      <c r="A31" s="9" t="s">
        <v>140</v>
      </c>
      <c r="B31" s="15">
        <v>57.510729613733901</v>
      </c>
      <c r="C31" s="20" t="s">
        <v>80</v>
      </c>
      <c r="D31" s="24">
        <v>57.510729613733901</v>
      </c>
      <c r="E31" s="15">
        <v>74.576271186440707</v>
      </c>
      <c r="F31" s="20" t="s">
        <v>80</v>
      </c>
      <c r="G31" s="24">
        <v>74.576271186440707</v>
      </c>
      <c r="H31" s="15">
        <v>41.747572815533999</v>
      </c>
      <c r="I31" s="20" t="s">
        <v>80</v>
      </c>
      <c r="J31" s="24">
        <v>41.747572815533999</v>
      </c>
      <c r="K31" s="20" t="s">
        <v>80</v>
      </c>
      <c r="L31" s="20" t="s">
        <v>80</v>
      </c>
      <c r="M31" s="26" t="s">
        <v>80</v>
      </c>
      <c r="N31" s="20" t="s">
        <v>80</v>
      </c>
      <c r="O31" s="20" t="s">
        <v>80</v>
      </c>
      <c r="P31" s="26" t="s">
        <v>80</v>
      </c>
    </row>
    <row r="32" spans="1:16">
      <c r="A32" s="9" t="s">
        <v>141</v>
      </c>
      <c r="B32" s="15">
        <v>55.663430420711997</v>
      </c>
      <c r="C32" s="20" t="s">
        <v>80</v>
      </c>
      <c r="D32" s="24">
        <v>55.663430420711997</v>
      </c>
      <c r="E32" s="15">
        <v>54.375</v>
      </c>
      <c r="F32" s="20" t="s">
        <v>80</v>
      </c>
      <c r="G32" s="24">
        <v>54.375</v>
      </c>
      <c r="H32" s="15">
        <v>58.156028368794303</v>
      </c>
      <c r="I32" s="20" t="s">
        <v>80</v>
      </c>
      <c r="J32" s="24">
        <v>58.156028368794303</v>
      </c>
      <c r="K32" s="20" t="s">
        <v>80</v>
      </c>
      <c r="L32" s="20" t="s">
        <v>80</v>
      </c>
      <c r="M32" s="26" t="s">
        <v>80</v>
      </c>
      <c r="N32" s="20" t="s">
        <v>80</v>
      </c>
      <c r="O32" s="20" t="s">
        <v>80</v>
      </c>
      <c r="P32" s="26" t="s">
        <v>80</v>
      </c>
    </row>
    <row r="33" spans="1:16">
      <c r="A33" s="9" t="s">
        <v>142</v>
      </c>
      <c r="B33" s="15">
        <v>40.2130492676431</v>
      </c>
      <c r="C33" s="20" t="s">
        <v>80</v>
      </c>
      <c r="D33" s="24">
        <v>40.2130492676431</v>
      </c>
      <c r="E33" s="15">
        <v>37.971014492753604</v>
      </c>
      <c r="F33" s="20" t="s">
        <v>80</v>
      </c>
      <c r="G33" s="24">
        <v>37.971014492753604</v>
      </c>
      <c r="H33" s="15">
        <v>43.513513513513502</v>
      </c>
      <c r="I33" s="20" t="s">
        <v>80</v>
      </c>
      <c r="J33" s="24">
        <v>43.513513513513502</v>
      </c>
      <c r="K33" s="15">
        <v>28.571428571428601</v>
      </c>
      <c r="L33" s="20" t="s">
        <v>80</v>
      </c>
      <c r="M33" s="24">
        <v>28.571428571428601</v>
      </c>
      <c r="N33" s="20" t="s">
        <v>80</v>
      </c>
      <c r="O33" s="20" t="s">
        <v>80</v>
      </c>
      <c r="P33" s="26" t="s">
        <v>80</v>
      </c>
    </row>
    <row r="34" spans="1:16">
      <c r="A34" s="9" t="s">
        <v>143</v>
      </c>
      <c r="B34" s="15">
        <v>37.785016286645003</v>
      </c>
      <c r="C34" s="20" t="s">
        <v>80</v>
      </c>
      <c r="D34" s="24">
        <v>37.785016286645003</v>
      </c>
      <c r="E34" s="15">
        <v>40.476190476190503</v>
      </c>
      <c r="F34" s="20" t="s">
        <v>80</v>
      </c>
      <c r="G34" s="24">
        <v>40.476190476190503</v>
      </c>
      <c r="H34" s="15">
        <v>35.606060606060602</v>
      </c>
      <c r="I34" s="20" t="s">
        <v>80</v>
      </c>
      <c r="J34" s="24">
        <v>35.606060606060602</v>
      </c>
      <c r="K34" s="20" t="s">
        <v>80</v>
      </c>
      <c r="L34" s="20" t="s">
        <v>80</v>
      </c>
      <c r="M34" s="26" t="s">
        <v>80</v>
      </c>
      <c r="N34" s="20" t="s">
        <v>80</v>
      </c>
      <c r="O34" s="20" t="s">
        <v>80</v>
      </c>
      <c r="P34" s="26" t="s">
        <v>80</v>
      </c>
    </row>
    <row r="35" spans="1:16">
      <c r="A35" s="9" t="s">
        <v>144</v>
      </c>
      <c r="B35" s="15">
        <v>51.2455516014235</v>
      </c>
      <c r="C35" s="20" t="s">
        <v>80</v>
      </c>
      <c r="D35" s="24">
        <v>51.2455516014235</v>
      </c>
      <c r="E35" s="15">
        <v>45.652173913043498</v>
      </c>
      <c r="F35" s="20" t="s">
        <v>80</v>
      </c>
      <c r="G35" s="24">
        <v>45.652173913043498</v>
      </c>
      <c r="H35" s="15">
        <v>57.664233576642303</v>
      </c>
      <c r="I35" s="20" t="s">
        <v>80</v>
      </c>
      <c r="J35" s="24">
        <v>57.664233576642303</v>
      </c>
      <c r="K35" s="20" t="s">
        <v>80</v>
      </c>
      <c r="L35" s="20" t="s">
        <v>80</v>
      </c>
      <c r="M35" s="26" t="s">
        <v>80</v>
      </c>
      <c r="N35" s="20" t="s">
        <v>80</v>
      </c>
      <c r="O35" s="20" t="s">
        <v>80</v>
      </c>
      <c r="P35" s="26" t="s">
        <v>80</v>
      </c>
    </row>
    <row r="36" spans="1:16">
      <c r="A36" s="11" t="s">
        <v>145</v>
      </c>
      <c r="B36" s="16">
        <v>55.5555555555556</v>
      </c>
      <c r="C36" s="28" t="s">
        <v>80</v>
      </c>
      <c r="D36" s="25">
        <v>55.5555555555556</v>
      </c>
      <c r="E36" s="28" t="s">
        <v>80</v>
      </c>
      <c r="F36" s="28" t="s">
        <v>80</v>
      </c>
      <c r="G36" s="29" t="s">
        <v>80</v>
      </c>
      <c r="H36" s="16">
        <v>75</v>
      </c>
      <c r="I36" s="28" t="s">
        <v>80</v>
      </c>
      <c r="J36" s="25">
        <v>75</v>
      </c>
      <c r="K36" s="28" t="s">
        <v>80</v>
      </c>
      <c r="L36" s="28" t="s">
        <v>80</v>
      </c>
      <c r="M36" s="29" t="s">
        <v>80</v>
      </c>
      <c r="N36" s="28" t="s">
        <v>80</v>
      </c>
      <c r="O36" s="28" t="s">
        <v>80</v>
      </c>
      <c r="P36" s="29" t="s">
        <v>80</v>
      </c>
    </row>
    <row r="37" spans="1:16" ht="30" customHeight="1">
      <c r="A37" t="s">
        <v>146</v>
      </c>
    </row>
    <row r="38" spans="1:16">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216</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152</v>
      </c>
      <c r="B3" s="15">
        <v>1.4945917536392299</v>
      </c>
      <c r="C3" s="15">
        <v>2.4006221381926598</v>
      </c>
      <c r="D3" s="26" t="s">
        <v>80</v>
      </c>
      <c r="E3" s="15">
        <v>1.6208547505541699</v>
      </c>
      <c r="F3" s="15">
        <v>2.3078134726469801</v>
      </c>
      <c r="G3" s="26" t="s">
        <v>80</v>
      </c>
      <c r="H3" s="15">
        <v>1.3010270729606499</v>
      </c>
      <c r="I3" s="15">
        <v>2.29188719115011</v>
      </c>
      <c r="J3" s="26" t="s">
        <v>80</v>
      </c>
      <c r="K3" s="20" t="s">
        <v>80</v>
      </c>
      <c r="L3" s="20" t="s">
        <v>80</v>
      </c>
      <c r="M3" s="26" t="s">
        <v>80</v>
      </c>
      <c r="N3" s="20" t="s">
        <v>80</v>
      </c>
      <c r="O3" s="20" t="s">
        <v>80</v>
      </c>
      <c r="P3" s="26" t="s">
        <v>80</v>
      </c>
    </row>
    <row r="4" spans="1:16">
      <c r="A4" s="9" t="s">
        <v>153</v>
      </c>
      <c r="B4" s="15">
        <v>9.1212101593442299</v>
      </c>
      <c r="C4" s="15">
        <v>10.278708494681901</v>
      </c>
      <c r="D4" s="24">
        <v>8.1588614928499403</v>
      </c>
      <c r="E4" s="15">
        <v>9.3555250478542007</v>
      </c>
      <c r="F4" s="15">
        <v>10.160448562877599</v>
      </c>
      <c r="G4" s="24">
        <v>8.6711937249458408</v>
      </c>
      <c r="H4" s="15">
        <v>9.0166348367087696</v>
      </c>
      <c r="I4" s="15">
        <v>10.2842667349642</v>
      </c>
      <c r="J4" s="24">
        <v>7.9777757690548503</v>
      </c>
      <c r="K4" s="20" t="s">
        <v>80</v>
      </c>
      <c r="L4" s="20" t="s">
        <v>80</v>
      </c>
      <c r="M4" s="26" t="s">
        <v>80</v>
      </c>
      <c r="N4" s="20" t="s">
        <v>80</v>
      </c>
      <c r="O4" s="20" t="s">
        <v>80</v>
      </c>
      <c r="P4" s="26" t="s">
        <v>80</v>
      </c>
    </row>
    <row r="5" spans="1:16">
      <c r="A5" s="9" t="s">
        <v>154</v>
      </c>
      <c r="B5" s="15">
        <v>7.6600133255654903</v>
      </c>
      <c r="C5" s="15">
        <v>2.29843894220578</v>
      </c>
      <c r="D5" s="24">
        <v>12.1176473459472</v>
      </c>
      <c r="E5" s="15">
        <v>8.1923883109432207</v>
      </c>
      <c r="F5" s="20" t="s">
        <v>80</v>
      </c>
      <c r="G5" s="24">
        <v>13.371079522259601</v>
      </c>
      <c r="H5" s="15">
        <v>7.1441156531192203</v>
      </c>
      <c r="I5" s="20" t="s">
        <v>80</v>
      </c>
      <c r="J5" s="24">
        <v>11.169392282175201</v>
      </c>
      <c r="K5" s="20" t="s">
        <v>80</v>
      </c>
      <c r="L5" s="20" t="s">
        <v>80</v>
      </c>
      <c r="M5" s="26" t="s">
        <v>80</v>
      </c>
      <c r="N5" s="20" t="s">
        <v>80</v>
      </c>
      <c r="O5" s="20" t="s">
        <v>80</v>
      </c>
      <c r="P5" s="26" t="s">
        <v>80</v>
      </c>
    </row>
    <row r="6" spans="1:16">
      <c r="A6" s="9" t="s">
        <v>155</v>
      </c>
      <c r="B6" s="15">
        <v>13.750963755696599</v>
      </c>
      <c r="C6" s="15">
        <v>13.513145323776399</v>
      </c>
      <c r="D6" s="24">
        <v>13.9486869349351</v>
      </c>
      <c r="E6" s="15">
        <v>16.405078425443001</v>
      </c>
      <c r="F6" s="15">
        <v>13.7830249674992</v>
      </c>
      <c r="G6" s="24">
        <v>18.634300554155299</v>
      </c>
      <c r="H6" s="15">
        <v>10.8738528552131</v>
      </c>
      <c r="I6" s="15">
        <v>12.268926245746901</v>
      </c>
      <c r="J6" s="24">
        <v>9.7305519933513693</v>
      </c>
      <c r="K6" s="20" t="s">
        <v>80</v>
      </c>
      <c r="L6" s="20" t="s">
        <v>80</v>
      </c>
      <c r="M6" s="26" t="s">
        <v>80</v>
      </c>
      <c r="N6" s="20" t="s">
        <v>80</v>
      </c>
      <c r="O6" s="20" t="s">
        <v>80</v>
      </c>
      <c r="P6" s="26" t="s">
        <v>80</v>
      </c>
    </row>
    <row r="7" spans="1:16">
      <c r="A7" s="9" t="s">
        <v>156</v>
      </c>
      <c r="B7" s="15">
        <v>1.1230337947181599</v>
      </c>
      <c r="C7" s="15">
        <v>2.0225713738781801</v>
      </c>
      <c r="D7" s="26" t="s">
        <v>80</v>
      </c>
      <c r="E7" s="20" t="s">
        <v>80</v>
      </c>
      <c r="F7" s="20" t="s">
        <v>80</v>
      </c>
      <c r="G7" s="26" t="s">
        <v>80</v>
      </c>
      <c r="H7" s="15">
        <v>1.25235570545341</v>
      </c>
      <c r="I7" s="15">
        <v>2.6041655802412098</v>
      </c>
      <c r="J7" s="26" t="s">
        <v>80</v>
      </c>
      <c r="K7" s="20" t="s">
        <v>80</v>
      </c>
      <c r="L7" s="20" t="s">
        <v>80</v>
      </c>
      <c r="M7" s="26" t="s">
        <v>80</v>
      </c>
      <c r="N7" s="20" t="s">
        <v>80</v>
      </c>
      <c r="O7" s="20" t="s">
        <v>80</v>
      </c>
      <c r="P7" s="26" t="s">
        <v>80</v>
      </c>
    </row>
    <row r="8" spans="1:16">
      <c r="A8" s="9" t="s">
        <v>157</v>
      </c>
      <c r="B8" s="20" t="s">
        <v>80</v>
      </c>
      <c r="C8" s="20" t="s">
        <v>80</v>
      </c>
      <c r="D8" s="26" t="s">
        <v>80</v>
      </c>
      <c r="E8" s="20" t="s">
        <v>80</v>
      </c>
      <c r="F8" s="20" t="s">
        <v>80</v>
      </c>
      <c r="G8" s="26" t="s">
        <v>80</v>
      </c>
      <c r="H8" s="20" t="s">
        <v>80</v>
      </c>
      <c r="I8" s="20" t="s">
        <v>80</v>
      </c>
      <c r="J8" s="26" t="s">
        <v>80</v>
      </c>
      <c r="K8" s="20" t="s">
        <v>80</v>
      </c>
      <c r="L8" s="20" t="s">
        <v>80</v>
      </c>
      <c r="M8" s="26" t="s">
        <v>80</v>
      </c>
      <c r="N8" s="20" t="s">
        <v>80</v>
      </c>
      <c r="O8" s="20" t="s">
        <v>80</v>
      </c>
      <c r="P8" s="26" t="s">
        <v>80</v>
      </c>
    </row>
    <row r="9" spans="1:16">
      <c r="A9" s="9" t="s">
        <v>158</v>
      </c>
      <c r="B9" s="15">
        <v>0.88239737239677996</v>
      </c>
      <c r="C9" s="15">
        <v>1.4743821292677</v>
      </c>
      <c r="D9" s="26" t="s">
        <v>80</v>
      </c>
      <c r="E9" s="20" t="s">
        <v>80</v>
      </c>
      <c r="F9" s="20" t="s">
        <v>80</v>
      </c>
      <c r="G9" s="26" t="s">
        <v>80</v>
      </c>
      <c r="H9" s="20" t="s">
        <v>80</v>
      </c>
      <c r="I9" s="20" t="s">
        <v>80</v>
      </c>
      <c r="J9" s="26" t="s">
        <v>80</v>
      </c>
      <c r="K9" s="20" t="s">
        <v>80</v>
      </c>
      <c r="L9" s="20" t="s">
        <v>80</v>
      </c>
      <c r="M9" s="26" t="s">
        <v>80</v>
      </c>
      <c r="N9" s="20" t="s">
        <v>80</v>
      </c>
      <c r="O9" s="20" t="s">
        <v>80</v>
      </c>
      <c r="P9" s="26" t="s">
        <v>80</v>
      </c>
    </row>
    <row r="10" spans="1:16">
      <c r="A10" s="9" t="s">
        <v>159</v>
      </c>
      <c r="B10" s="15">
        <v>1.7152263793239799</v>
      </c>
      <c r="C10" s="15">
        <v>2.8761770394819099</v>
      </c>
      <c r="D10" s="26" t="s">
        <v>80</v>
      </c>
      <c r="E10" s="15">
        <v>2.0360039329192698</v>
      </c>
      <c r="F10" s="15">
        <v>3.4460655336722499</v>
      </c>
      <c r="G10" s="26" t="s">
        <v>80</v>
      </c>
      <c r="H10" s="15">
        <v>1.4709900200069901</v>
      </c>
      <c r="I10" s="20" t="s">
        <v>80</v>
      </c>
      <c r="J10" s="26" t="s">
        <v>80</v>
      </c>
      <c r="K10" s="20" t="s">
        <v>80</v>
      </c>
      <c r="L10" s="20" t="s">
        <v>80</v>
      </c>
      <c r="M10" s="26" t="s">
        <v>80</v>
      </c>
      <c r="N10" s="20" t="s">
        <v>80</v>
      </c>
      <c r="O10" s="20" t="s">
        <v>80</v>
      </c>
      <c r="P10" s="26" t="s">
        <v>80</v>
      </c>
    </row>
    <row r="11" spans="1:16">
      <c r="A11" s="9" t="s">
        <v>160</v>
      </c>
      <c r="B11" s="15">
        <v>1.1034778504335701</v>
      </c>
      <c r="C11" s="15">
        <v>1.8027755964347201</v>
      </c>
      <c r="D11" s="26" t="s">
        <v>80</v>
      </c>
      <c r="E11" s="15">
        <v>1.0655892806996801</v>
      </c>
      <c r="F11" s="20" t="s">
        <v>80</v>
      </c>
      <c r="G11" s="26" t="s">
        <v>80</v>
      </c>
      <c r="H11" s="15">
        <v>1.1062572370984001</v>
      </c>
      <c r="I11" s="15">
        <v>1.94134069897046</v>
      </c>
      <c r="J11" s="26" t="s">
        <v>80</v>
      </c>
      <c r="K11" s="20" t="s">
        <v>80</v>
      </c>
      <c r="L11" s="20" t="s">
        <v>80</v>
      </c>
      <c r="M11" s="26" t="s">
        <v>80</v>
      </c>
      <c r="N11" s="20" t="s">
        <v>80</v>
      </c>
      <c r="O11" s="20" t="s">
        <v>80</v>
      </c>
      <c r="P11" s="26" t="s">
        <v>80</v>
      </c>
    </row>
    <row r="12" spans="1:16">
      <c r="A12" s="9" t="s">
        <v>161</v>
      </c>
      <c r="B12" s="15">
        <v>0.58901290523193195</v>
      </c>
      <c r="C12" s="20" t="s">
        <v>80</v>
      </c>
      <c r="D12" s="26" t="s">
        <v>80</v>
      </c>
      <c r="E12" s="20" t="s">
        <v>80</v>
      </c>
      <c r="F12" s="20" t="s">
        <v>80</v>
      </c>
      <c r="G12" s="26" t="s">
        <v>80</v>
      </c>
      <c r="H12" s="20" t="s">
        <v>80</v>
      </c>
      <c r="I12" s="20" t="s">
        <v>80</v>
      </c>
      <c r="J12" s="26" t="s">
        <v>80</v>
      </c>
      <c r="K12" s="20" t="s">
        <v>80</v>
      </c>
      <c r="L12" s="20" t="s">
        <v>80</v>
      </c>
      <c r="M12" s="26" t="s">
        <v>80</v>
      </c>
      <c r="N12" s="20" t="s">
        <v>80</v>
      </c>
      <c r="O12" s="20" t="s">
        <v>80</v>
      </c>
      <c r="P12" s="26" t="s">
        <v>80</v>
      </c>
    </row>
    <row r="13" spans="1:16">
      <c r="A13" s="9" t="s">
        <v>162</v>
      </c>
      <c r="B13" s="15">
        <v>0.81221791892796003</v>
      </c>
      <c r="C13" s="20" t="s">
        <v>80</v>
      </c>
      <c r="D13" s="26" t="s">
        <v>80</v>
      </c>
      <c r="E13" s="20" t="s">
        <v>80</v>
      </c>
      <c r="F13" s="20" t="s">
        <v>80</v>
      </c>
      <c r="G13" s="26" t="s">
        <v>80</v>
      </c>
      <c r="H13" s="20" t="s">
        <v>80</v>
      </c>
      <c r="I13" s="20" t="s">
        <v>80</v>
      </c>
      <c r="J13" s="26" t="s">
        <v>80</v>
      </c>
      <c r="K13" s="20" t="s">
        <v>80</v>
      </c>
      <c r="L13" s="20" t="s">
        <v>80</v>
      </c>
      <c r="M13" s="26" t="s">
        <v>80</v>
      </c>
      <c r="N13" s="20" t="s">
        <v>80</v>
      </c>
      <c r="O13" s="20" t="s">
        <v>80</v>
      </c>
      <c r="P13" s="26" t="s">
        <v>80</v>
      </c>
    </row>
    <row r="14" spans="1:16">
      <c r="A14" s="9" t="s">
        <v>163</v>
      </c>
      <c r="B14" s="15">
        <v>2.1673061772792899</v>
      </c>
      <c r="C14" s="15">
        <v>3.1115635027524702</v>
      </c>
      <c r="D14" s="24">
        <v>1.3822469247046301</v>
      </c>
      <c r="E14" s="15">
        <v>2.1909809412917101</v>
      </c>
      <c r="F14" s="15">
        <v>3.2348298548630599</v>
      </c>
      <c r="G14" s="26" t="s">
        <v>80</v>
      </c>
      <c r="H14" s="15">
        <v>2.1305403038810899</v>
      </c>
      <c r="I14" s="15">
        <v>2.97189967859862</v>
      </c>
      <c r="J14" s="26" t="s">
        <v>80</v>
      </c>
      <c r="K14" s="20" t="s">
        <v>80</v>
      </c>
      <c r="L14" s="20" t="s">
        <v>80</v>
      </c>
      <c r="M14" s="26" t="s">
        <v>80</v>
      </c>
      <c r="N14" s="20" t="s">
        <v>80</v>
      </c>
      <c r="O14" s="20" t="s">
        <v>80</v>
      </c>
      <c r="P14" s="26" t="s">
        <v>80</v>
      </c>
    </row>
    <row r="15" spans="1:16">
      <c r="A15" s="9" t="s">
        <v>164</v>
      </c>
      <c r="B15" s="15">
        <v>9.9341031239360298</v>
      </c>
      <c r="C15" s="15">
        <v>11.355928198191499</v>
      </c>
      <c r="D15" s="24">
        <v>8.7519921675528192</v>
      </c>
      <c r="E15" s="15">
        <v>12.779831089942</v>
      </c>
      <c r="F15" s="15">
        <v>12.9933272620158</v>
      </c>
      <c r="G15" s="24">
        <v>12.598320530063701</v>
      </c>
      <c r="H15" s="15">
        <v>7.1022499197793101</v>
      </c>
      <c r="I15" s="15">
        <v>9.5019622407300499</v>
      </c>
      <c r="J15" s="24">
        <v>5.13561993215313</v>
      </c>
      <c r="K15" s="20" t="s">
        <v>80</v>
      </c>
      <c r="L15" s="20" t="s">
        <v>80</v>
      </c>
      <c r="M15" s="26" t="s">
        <v>80</v>
      </c>
      <c r="N15" s="20" t="s">
        <v>80</v>
      </c>
      <c r="O15" s="20" t="s">
        <v>80</v>
      </c>
      <c r="P15" s="26" t="s">
        <v>80</v>
      </c>
    </row>
    <row r="16" spans="1:16">
      <c r="A16" s="9" t="s">
        <v>165</v>
      </c>
      <c r="B16" s="15">
        <v>1.29857984177624</v>
      </c>
      <c r="C16" s="15">
        <v>2.57782266680154</v>
      </c>
      <c r="D16" s="26" t="s">
        <v>80</v>
      </c>
      <c r="E16" s="15">
        <v>1.64333889616657</v>
      </c>
      <c r="F16" s="20" t="s">
        <v>80</v>
      </c>
      <c r="G16" s="26" t="s">
        <v>80</v>
      </c>
      <c r="H16" s="20" t="s">
        <v>80</v>
      </c>
      <c r="I16" s="20" t="s">
        <v>80</v>
      </c>
      <c r="J16" s="26" t="s">
        <v>80</v>
      </c>
      <c r="K16" s="20" t="s">
        <v>80</v>
      </c>
      <c r="L16" s="20" t="s">
        <v>80</v>
      </c>
      <c r="M16" s="26" t="s">
        <v>80</v>
      </c>
      <c r="N16" s="20" t="s">
        <v>80</v>
      </c>
      <c r="O16" s="20" t="s">
        <v>80</v>
      </c>
      <c r="P16" s="26" t="s">
        <v>80</v>
      </c>
    </row>
    <row r="17" spans="1:16">
      <c r="A17" s="9" t="s">
        <v>166</v>
      </c>
      <c r="B17" s="15">
        <v>2.78865817748011</v>
      </c>
      <c r="C17" s="15">
        <v>4.9220610878168198</v>
      </c>
      <c r="D17" s="24">
        <v>1.0149386107399201</v>
      </c>
      <c r="E17" s="15">
        <v>2.7080968051077101</v>
      </c>
      <c r="F17" s="15">
        <v>4.5643502826523399</v>
      </c>
      <c r="G17" s="26" t="s">
        <v>80</v>
      </c>
      <c r="H17" s="15">
        <v>2.9268563018177902</v>
      </c>
      <c r="I17" s="15">
        <v>5.4664907864486496</v>
      </c>
      <c r="J17" s="26" t="s">
        <v>80</v>
      </c>
      <c r="K17" s="20" t="s">
        <v>80</v>
      </c>
      <c r="L17" s="20" t="s">
        <v>80</v>
      </c>
      <c r="M17" s="26" t="s">
        <v>80</v>
      </c>
      <c r="N17" s="20" t="s">
        <v>80</v>
      </c>
      <c r="O17" s="20" t="s">
        <v>80</v>
      </c>
      <c r="P17" s="26" t="s">
        <v>80</v>
      </c>
    </row>
    <row r="18" spans="1:16">
      <c r="A18" s="9" t="s">
        <v>167</v>
      </c>
      <c r="B18" s="15">
        <v>7.8042167656183601</v>
      </c>
      <c r="C18" s="15">
        <v>13.862470210575699</v>
      </c>
      <c r="D18" s="24">
        <v>2.7673610345571502</v>
      </c>
      <c r="E18" s="15">
        <v>5.8264599092417599</v>
      </c>
      <c r="F18" s="15">
        <v>11.1275616573447</v>
      </c>
      <c r="G18" s="26" t="s">
        <v>80</v>
      </c>
      <c r="H18" s="15">
        <v>9.7930670966500895</v>
      </c>
      <c r="I18" s="15">
        <v>16.4618693176891</v>
      </c>
      <c r="J18" s="24">
        <v>4.3278009833156004</v>
      </c>
      <c r="K18" s="20" t="s">
        <v>80</v>
      </c>
      <c r="L18" s="20" t="s">
        <v>80</v>
      </c>
      <c r="M18" s="26" t="s">
        <v>80</v>
      </c>
      <c r="N18" s="20" t="s">
        <v>80</v>
      </c>
      <c r="O18" s="20" t="s">
        <v>80</v>
      </c>
      <c r="P18" s="26" t="s">
        <v>80</v>
      </c>
    </row>
    <row r="19" spans="1:16">
      <c r="A19" s="9" t="s">
        <v>168</v>
      </c>
      <c r="B19" s="15">
        <v>14.492976843818999</v>
      </c>
      <c r="C19" s="15">
        <v>18.486969459960001</v>
      </c>
      <c r="D19" s="24">
        <v>11.172355681102299</v>
      </c>
      <c r="E19" s="15">
        <v>16.626207332162899</v>
      </c>
      <c r="F19" s="15">
        <v>20.6476710101437</v>
      </c>
      <c r="G19" s="24">
        <v>13.207232103565801</v>
      </c>
      <c r="H19" s="15">
        <v>12.308716064304599</v>
      </c>
      <c r="I19" s="15">
        <v>15.961904901237601</v>
      </c>
      <c r="J19" s="24">
        <v>9.3148277325868598</v>
      </c>
      <c r="K19" s="20" t="s">
        <v>80</v>
      </c>
      <c r="L19" s="20" t="s">
        <v>80</v>
      </c>
      <c r="M19" s="26" t="s">
        <v>80</v>
      </c>
      <c r="N19" s="20" t="s">
        <v>80</v>
      </c>
      <c r="O19" s="20" t="s">
        <v>80</v>
      </c>
      <c r="P19" s="26" t="s">
        <v>80</v>
      </c>
    </row>
    <row r="20" spans="1:16">
      <c r="A20" s="9" t="s">
        <v>169</v>
      </c>
      <c r="B20" s="20" t="s">
        <v>80</v>
      </c>
      <c r="C20" s="20" t="s">
        <v>80</v>
      </c>
      <c r="D20" s="26" t="s">
        <v>80</v>
      </c>
      <c r="E20" s="20" t="s">
        <v>80</v>
      </c>
      <c r="F20" s="20" t="s">
        <v>80</v>
      </c>
      <c r="G20" s="26" t="s">
        <v>80</v>
      </c>
      <c r="H20" s="20" t="s">
        <v>80</v>
      </c>
      <c r="I20" s="20" t="s">
        <v>80</v>
      </c>
      <c r="J20" s="26" t="s">
        <v>80</v>
      </c>
      <c r="K20" s="20" t="s">
        <v>80</v>
      </c>
      <c r="L20" s="20" t="s">
        <v>80</v>
      </c>
      <c r="M20" s="26" t="s">
        <v>80</v>
      </c>
      <c r="N20" s="20" t="s">
        <v>80</v>
      </c>
      <c r="O20" s="20" t="s">
        <v>80</v>
      </c>
      <c r="P20" s="26" t="s">
        <v>80</v>
      </c>
    </row>
    <row r="21" spans="1:16">
      <c r="A21" s="9" t="s">
        <v>170</v>
      </c>
      <c r="B21" s="15">
        <v>4.0405615902901504</v>
      </c>
      <c r="C21" s="15">
        <v>5.6229770034870503</v>
      </c>
      <c r="D21" s="24">
        <v>2.7249351947793099</v>
      </c>
      <c r="E21" s="15">
        <v>3.6805974039605802</v>
      </c>
      <c r="F21" s="15">
        <v>6.0934715833663597</v>
      </c>
      <c r="G21" s="24">
        <v>1.6292156908097399</v>
      </c>
      <c r="H21" s="15">
        <v>4.3842268659403398</v>
      </c>
      <c r="I21" s="15">
        <v>4.8276458026643096</v>
      </c>
      <c r="J21" s="24">
        <v>4.0208328997431</v>
      </c>
      <c r="K21" s="20" t="s">
        <v>80</v>
      </c>
      <c r="L21" s="20" t="s">
        <v>80</v>
      </c>
      <c r="M21" s="26" t="s">
        <v>80</v>
      </c>
      <c r="N21" s="20" t="s">
        <v>80</v>
      </c>
      <c r="O21" s="20" t="s">
        <v>80</v>
      </c>
      <c r="P21" s="26" t="s">
        <v>80</v>
      </c>
    </row>
    <row r="22" spans="1:16">
      <c r="A22" s="9" t="s">
        <v>171</v>
      </c>
      <c r="B22" s="20" t="s">
        <v>80</v>
      </c>
      <c r="C22" s="20" t="s">
        <v>80</v>
      </c>
      <c r="D22" s="26" t="s">
        <v>80</v>
      </c>
      <c r="E22" s="20" t="s">
        <v>80</v>
      </c>
      <c r="F22" s="20" t="s">
        <v>80</v>
      </c>
      <c r="G22" s="26" t="s">
        <v>80</v>
      </c>
      <c r="H22" s="20" t="s">
        <v>80</v>
      </c>
      <c r="I22" s="20" t="s">
        <v>80</v>
      </c>
      <c r="J22" s="26" t="s">
        <v>80</v>
      </c>
      <c r="K22" s="20" t="s">
        <v>80</v>
      </c>
      <c r="L22" s="20" t="s">
        <v>80</v>
      </c>
      <c r="M22" s="26" t="s">
        <v>80</v>
      </c>
      <c r="N22" s="20" t="s">
        <v>80</v>
      </c>
      <c r="O22" s="20" t="s">
        <v>80</v>
      </c>
      <c r="P22" s="26" t="s">
        <v>80</v>
      </c>
    </row>
    <row r="23" spans="1:16">
      <c r="A23" s="9" t="s">
        <v>172</v>
      </c>
      <c r="B23" s="15">
        <v>6.3691180280745501</v>
      </c>
      <c r="C23" s="15">
        <v>9.9766597028017099</v>
      </c>
      <c r="D23" s="24">
        <v>3.3697936973111799</v>
      </c>
      <c r="E23" s="15">
        <v>5.5172621635225498</v>
      </c>
      <c r="F23" s="15">
        <v>8.6400880783413196</v>
      </c>
      <c r="G23" s="24">
        <v>2.8622924060068899</v>
      </c>
      <c r="H23" s="15">
        <v>7.0797499227116498</v>
      </c>
      <c r="I23" s="15">
        <v>11.0463696833048</v>
      </c>
      <c r="J23" s="24">
        <v>3.8289963625505599</v>
      </c>
      <c r="K23" s="20" t="s">
        <v>80</v>
      </c>
      <c r="L23" s="20" t="s">
        <v>80</v>
      </c>
      <c r="M23" s="26" t="s">
        <v>80</v>
      </c>
      <c r="N23" s="20" t="s">
        <v>80</v>
      </c>
      <c r="O23" s="20" t="s">
        <v>80</v>
      </c>
      <c r="P23" s="26" t="s">
        <v>80</v>
      </c>
    </row>
    <row r="24" spans="1:16">
      <c r="A24" s="9" t="s">
        <v>173</v>
      </c>
      <c r="B24" s="15">
        <v>21.1650515506172</v>
      </c>
      <c r="C24" s="15">
        <v>27.3268010876061</v>
      </c>
      <c r="D24" s="24">
        <v>16.042148761764999</v>
      </c>
      <c r="E24" s="15">
        <v>27.260121499671602</v>
      </c>
      <c r="F24" s="15">
        <v>32.475212971234598</v>
      </c>
      <c r="G24" s="24">
        <v>22.826345644932399</v>
      </c>
      <c r="H24" s="15">
        <v>14.9829278428615</v>
      </c>
      <c r="I24" s="15">
        <v>21.662738644189101</v>
      </c>
      <c r="J24" s="24">
        <v>9.5086398963981598</v>
      </c>
      <c r="K24" s="20" t="s">
        <v>80</v>
      </c>
      <c r="L24" s="20" t="s">
        <v>80</v>
      </c>
      <c r="M24" s="26" t="s">
        <v>80</v>
      </c>
      <c r="N24" s="20" t="s">
        <v>80</v>
      </c>
      <c r="O24" s="20" t="s">
        <v>80</v>
      </c>
      <c r="P24" s="26" t="s">
        <v>80</v>
      </c>
    </row>
    <row r="25" spans="1:16">
      <c r="A25" s="9" t="s">
        <v>174</v>
      </c>
      <c r="B25" s="15">
        <v>0.56469620055854597</v>
      </c>
      <c r="C25" s="20" t="s">
        <v>80</v>
      </c>
      <c r="D25" s="26" t="s">
        <v>80</v>
      </c>
      <c r="E25" s="20" t="s">
        <v>80</v>
      </c>
      <c r="F25" s="20" t="s">
        <v>80</v>
      </c>
      <c r="G25" s="26" t="s">
        <v>80</v>
      </c>
      <c r="H25" s="20" t="s">
        <v>80</v>
      </c>
      <c r="I25" s="20" t="s">
        <v>80</v>
      </c>
      <c r="J25" s="26" t="s">
        <v>80</v>
      </c>
      <c r="K25" s="20" t="s">
        <v>80</v>
      </c>
      <c r="L25" s="20" t="s">
        <v>80</v>
      </c>
      <c r="M25" s="26" t="s">
        <v>80</v>
      </c>
      <c r="N25" s="20" t="s">
        <v>80</v>
      </c>
      <c r="O25" s="20" t="s">
        <v>80</v>
      </c>
      <c r="P25" s="26" t="s">
        <v>80</v>
      </c>
    </row>
    <row r="26" spans="1:16">
      <c r="A26" s="9" t="s">
        <v>175</v>
      </c>
      <c r="B26" s="15">
        <v>0.65530984964831596</v>
      </c>
      <c r="C26" s="20" t="s">
        <v>80</v>
      </c>
      <c r="D26" s="26" t="s">
        <v>80</v>
      </c>
      <c r="E26" s="20" t="s">
        <v>80</v>
      </c>
      <c r="F26" s="20" t="s">
        <v>80</v>
      </c>
      <c r="G26" s="26" t="s">
        <v>80</v>
      </c>
      <c r="H26" s="20" t="s">
        <v>80</v>
      </c>
      <c r="I26" s="20" t="s">
        <v>80</v>
      </c>
      <c r="J26" s="26" t="s">
        <v>80</v>
      </c>
      <c r="K26" s="20" t="s">
        <v>80</v>
      </c>
      <c r="L26" s="20" t="s">
        <v>80</v>
      </c>
      <c r="M26" s="26" t="s">
        <v>80</v>
      </c>
      <c r="N26" s="20" t="s">
        <v>80</v>
      </c>
      <c r="O26" s="20" t="s">
        <v>80</v>
      </c>
      <c r="P26" s="26" t="s">
        <v>80</v>
      </c>
    </row>
    <row r="27" spans="1:16">
      <c r="A27" s="9" t="s">
        <v>176</v>
      </c>
      <c r="B27" s="15">
        <v>3.6628851272037601</v>
      </c>
      <c r="C27" s="15">
        <v>6.4063270086220703</v>
      </c>
      <c r="D27" s="24">
        <v>1.3819767616488401</v>
      </c>
      <c r="E27" s="15">
        <v>2.8801908803961802</v>
      </c>
      <c r="F27" s="15">
        <v>4.8422304064288602</v>
      </c>
      <c r="G27" s="26" t="s">
        <v>80</v>
      </c>
      <c r="H27" s="15">
        <v>4.5717099248399702</v>
      </c>
      <c r="I27" s="15">
        <v>8.2057496601898094</v>
      </c>
      <c r="J27" s="24">
        <v>1.5935148064631901</v>
      </c>
      <c r="K27" s="20" t="s">
        <v>80</v>
      </c>
      <c r="L27" s="20" t="s">
        <v>80</v>
      </c>
      <c r="M27" s="26" t="s">
        <v>80</v>
      </c>
      <c r="N27" s="20" t="s">
        <v>80</v>
      </c>
      <c r="O27" s="20" t="s">
        <v>80</v>
      </c>
      <c r="P27" s="26" t="s">
        <v>80</v>
      </c>
    </row>
    <row r="28" spans="1:16">
      <c r="A28" s="9" t="s">
        <v>177</v>
      </c>
      <c r="B28" s="20" t="s">
        <v>80</v>
      </c>
      <c r="C28" s="20" t="s">
        <v>80</v>
      </c>
      <c r="D28" s="26" t="s">
        <v>80</v>
      </c>
      <c r="E28" s="20" t="s">
        <v>80</v>
      </c>
      <c r="F28" s="20" t="s">
        <v>80</v>
      </c>
      <c r="G28" s="26" t="s">
        <v>80</v>
      </c>
      <c r="H28" s="20" t="s">
        <v>80</v>
      </c>
      <c r="I28" s="20" t="s">
        <v>80</v>
      </c>
      <c r="J28" s="26" t="s">
        <v>80</v>
      </c>
      <c r="K28" s="20" t="s">
        <v>80</v>
      </c>
      <c r="L28" s="20" t="s">
        <v>80</v>
      </c>
      <c r="M28" s="26" t="s">
        <v>80</v>
      </c>
      <c r="N28" s="20" t="s">
        <v>80</v>
      </c>
      <c r="O28" s="20" t="s">
        <v>80</v>
      </c>
      <c r="P28" s="26" t="s">
        <v>80</v>
      </c>
    </row>
    <row r="29" spans="1:16">
      <c r="A29" s="9" t="s">
        <v>178</v>
      </c>
      <c r="B29" s="20" t="s">
        <v>80</v>
      </c>
      <c r="C29" s="20" t="s">
        <v>80</v>
      </c>
      <c r="D29" s="26" t="s">
        <v>80</v>
      </c>
      <c r="E29" s="20" t="s">
        <v>80</v>
      </c>
      <c r="F29" s="20" t="s">
        <v>80</v>
      </c>
      <c r="G29" s="26" t="s">
        <v>80</v>
      </c>
      <c r="H29" s="20" t="s">
        <v>80</v>
      </c>
      <c r="I29" s="20" t="s">
        <v>80</v>
      </c>
      <c r="J29" s="26" t="s">
        <v>80</v>
      </c>
      <c r="K29" s="20" t="s">
        <v>80</v>
      </c>
      <c r="L29" s="20" t="s">
        <v>80</v>
      </c>
      <c r="M29" s="26" t="s">
        <v>80</v>
      </c>
      <c r="N29" s="20" t="s">
        <v>80</v>
      </c>
      <c r="O29" s="20" t="s">
        <v>80</v>
      </c>
      <c r="P29" s="26" t="s">
        <v>80</v>
      </c>
    </row>
    <row r="30" spans="1:16">
      <c r="A30" s="9" t="s">
        <v>179</v>
      </c>
      <c r="B30" s="15">
        <v>1.3183031092239399</v>
      </c>
      <c r="C30" s="15">
        <v>2.4206070646200599</v>
      </c>
      <c r="D30" s="26" t="s">
        <v>80</v>
      </c>
      <c r="E30" s="15">
        <v>1.6431237597127599</v>
      </c>
      <c r="F30" s="15">
        <v>2.8586382452280001</v>
      </c>
      <c r="G30" s="26" t="s">
        <v>80</v>
      </c>
      <c r="H30" s="15">
        <v>0.89967612837206801</v>
      </c>
      <c r="I30" s="15">
        <v>1.7802032264224299</v>
      </c>
      <c r="J30" s="26" t="s">
        <v>80</v>
      </c>
      <c r="K30" s="20" t="s">
        <v>80</v>
      </c>
      <c r="L30" s="20" t="s">
        <v>80</v>
      </c>
      <c r="M30" s="26" t="s">
        <v>80</v>
      </c>
      <c r="N30" s="20" t="s">
        <v>80</v>
      </c>
      <c r="O30" s="20" t="s">
        <v>80</v>
      </c>
      <c r="P30" s="26" t="s">
        <v>80</v>
      </c>
    </row>
    <row r="31" spans="1:16">
      <c r="A31" s="9" t="s">
        <v>180</v>
      </c>
      <c r="B31" s="20" t="s">
        <v>80</v>
      </c>
      <c r="C31" s="20" t="s">
        <v>80</v>
      </c>
      <c r="D31" s="26" t="s">
        <v>80</v>
      </c>
      <c r="E31" s="20" t="s">
        <v>80</v>
      </c>
      <c r="F31" s="20" t="s">
        <v>80</v>
      </c>
      <c r="G31" s="26" t="s">
        <v>80</v>
      </c>
      <c r="H31" s="20" t="s">
        <v>80</v>
      </c>
      <c r="I31" s="20" t="s">
        <v>80</v>
      </c>
      <c r="J31" s="26" t="s">
        <v>80</v>
      </c>
      <c r="K31" s="20" t="s">
        <v>80</v>
      </c>
      <c r="L31" s="20" t="s">
        <v>80</v>
      </c>
      <c r="M31" s="26" t="s">
        <v>80</v>
      </c>
      <c r="N31" s="20" t="s">
        <v>80</v>
      </c>
      <c r="O31" s="20" t="s">
        <v>80</v>
      </c>
      <c r="P31" s="26" t="s">
        <v>80</v>
      </c>
    </row>
    <row r="32" spans="1:16">
      <c r="A32" s="9" t="s">
        <v>181</v>
      </c>
      <c r="B32" s="20" t="s">
        <v>80</v>
      </c>
      <c r="C32" s="20" t="s">
        <v>80</v>
      </c>
      <c r="D32" s="26" t="s">
        <v>80</v>
      </c>
      <c r="E32" s="20" t="s">
        <v>80</v>
      </c>
      <c r="F32" s="20" t="s">
        <v>80</v>
      </c>
      <c r="G32" s="26" t="s">
        <v>80</v>
      </c>
      <c r="H32" s="20" t="s">
        <v>80</v>
      </c>
      <c r="I32" s="20" t="s">
        <v>80</v>
      </c>
      <c r="J32" s="26" t="s">
        <v>80</v>
      </c>
      <c r="K32" s="20" t="s">
        <v>80</v>
      </c>
      <c r="L32" s="20" t="s">
        <v>80</v>
      </c>
      <c r="M32" s="26" t="s">
        <v>80</v>
      </c>
      <c r="N32" s="20" t="s">
        <v>80</v>
      </c>
      <c r="O32" s="20" t="s">
        <v>80</v>
      </c>
      <c r="P32" s="26" t="s">
        <v>80</v>
      </c>
    </row>
    <row r="33" spans="1:16">
      <c r="A33" s="9" t="s">
        <v>182</v>
      </c>
      <c r="B33" s="15">
        <v>1.9680381067075301</v>
      </c>
      <c r="C33" s="15">
        <v>2.8759660291382798</v>
      </c>
      <c r="D33" s="24">
        <v>1.21318326264479</v>
      </c>
      <c r="E33" s="15">
        <v>1.9436377172158501</v>
      </c>
      <c r="F33" s="15">
        <v>2.6639852589537698</v>
      </c>
      <c r="G33" s="26" t="s">
        <v>80</v>
      </c>
      <c r="H33" s="15">
        <v>1.96835900060163</v>
      </c>
      <c r="I33" s="15">
        <v>3.0189241701220202</v>
      </c>
      <c r="J33" s="26" t="s">
        <v>80</v>
      </c>
      <c r="K33" s="20" t="s">
        <v>80</v>
      </c>
      <c r="L33" s="20" t="s">
        <v>80</v>
      </c>
      <c r="M33" s="26" t="s">
        <v>80</v>
      </c>
      <c r="N33" s="20" t="s">
        <v>80</v>
      </c>
      <c r="O33" s="20" t="s">
        <v>80</v>
      </c>
      <c r="P33" s="26" t="s">
        <v>80</v>
      </c>
    </row>
    <row r="34" spans="1:16">
      <c r="A34" s="9" t="s">
        <v>183</v>
      </c>
      <c r="B34" s="15">
        <v>1.08868115509689</v>
      </c>
      <c r="C34" s="15">
        <v>1.87356495774938</v>
      </c>
      <c r="D34" s="26" t="s">
        <v>80</v>
      </c>
      <c r="E34" s="15">
        <v>1.57686467594083</v>
      </c>
      <c r="F34" s="20" t="s">
        <v>80</v>
      </c>
      <c r="G34" s="26" t="s">
        <v>80</v>
      </c>
      <c r="H34" s="20" t="s">
        <v>80</v>
      </c>
      <c r="I34" s="20" t="s">
        <v>80</v>
      </c>
      <c r="J34" s="26" t="s">
        <v>80</v>
      </c>
      <c r="K34" s="20" t="s">
        <v>80</v>
      </c>
      <c r="L34" s="20" t="s">
        <v>80</v>
      </c>
      <c r="M34" s="26" t="s">
        <v>80</v>
      </c>
      <c r="N34" s="20" t="s">
        <v>80</v>
      </c>
      <c r="O34" s="20" t="s">
        <v>80</v>
      </c>
      <c r="P34" s="26" t="s">
        <v>80</v>
      </c>
    </row>
    <row r="35" spans="1:16">
      <c r="A35" s="9" t="s">
        <v>184</v>
      </c>
      <c r="B35" s="20" t="s">
        <v>80</v>
      </c>
      <c r="C35" s="20" t="s">
        <v>80</v>
      </c>
      <c r="D35" s="26" t="s">
        <v>80</v>
      </c>
      <c r="E35" s="20" t="s">
        <v>80</v>
      </c>
      <c r="F35" s="20" t="s">
        <v>80</v>
      </c>
      <c r="G35" s="26" t="s">
        <v>80</v>
      </c>
      <c r="H35" s="20" t="s">
        <v>80</v>
      </c>
      <c r="I35" s="20" t="s">
        <v>80</v>
      </c>
      <c r="J35" s="26" t="s">
        <v>80</v>
      </c>
      <c r="K35" s="20" t="s">
        <v>80</v>
      </c>
      <c r="L35" s="20" t="s">
        <v>80</v>
      </c>
      <c r="M35" s="26" t="s">
        <v>80</v>
      </c>
      <c r="N35" s="20" t="s">
        <v>80</v>
      </c>
      <c r="O35" s="20" t="s">
        <v>80</v>
      </c>
      <c r="P35" s="26" t="s">
        <v>80</v>
      </c>
    </row>
    <row r="36" spans="1:16">
      <c r="A36" s="9" t="s">
        <v>185</v>
      </c>
      <c r="B36" s="15">
        <v>14.711234514504801</v>
      </c>
      <c r="C36" s="15">
        <v>16.495145003722499</v>
      </c>
      <c r="D36" s="24">
        <v>13.228084320649</v>
      </c>
      <c r="E36" s="15">
        <v>7.0930869885353403</v>
      </c>
      <c r="F36" s="15">
        <v>11.9776637650527</v>
      </c>
      <c r="G36" s="24">
        <v>2.9403087121742599</v>
      </c>
      <c r="H36" s="15">
        <v>23.0053799350524</v>
      </c>
      <c r="I36" s="15">
        <v>21.0697829879132</v>
      </c>
      <c r="J36" s="24">
        <v>24.591654659304901</v>
      </c>
      <c r="K36" s="20" t="s">
        <v>80</v>
      </c>
      <c r="L36" s="20" t="s">
        <v>80</v>
      </c>
      <c r="M36" s="26" t="s">
        <v>80</v>
      </c>
      <c r="N36" s="20" t="s">
        <v>80</v>
      </c>
      <c r="O36" s="20" t="s">
        <v>80</v>
      </c>
      <c r="P36" s="26" t="s">
        <v>80</v>
      </c>
    </row>
    <row r="37" spans="1:16">
      <c r="A37" s="9" t="s">
        <v>186</v>
      </c>
      <c r="B37" s="15">
        <v>0.57266869732688497</v>
      </c>
      <c r="C37" s="20" t="s">
        <v>80</v>
      </c>
      <c r="D37" s="26" t="s">
        <v>80</v>
      </c>
      <c r="E37" s="20" t="s">
        <v>80</v>
      </c>
      <c r="F37" s="20" t="s">
        <v>80</v>
      </c>
      <c r="G37" s="26" t="s">
        <v>80</v>
      </c>
      <c r="H37" s="20" t="s">
        <v>80</v>
      </c>
      <c r="I37" s="20" t="s">
        <v>80</v>
      </c>
      <c r="J37" s="26" t="s">
        <v>80</v>
      </c>
      <c r="K37" s="20" t="s">
        <v>80</v>
      </c>
      <c r="L37" s="20" t="s">
        <v>80</v>
      </c>
      <c r="M37" s="26" t="s">
        <v>80</v>
      </c>
      <c r="N37" s="20" t="s">
        <v>80</v>
      </c>
      <c r="O37" s="20" t="s">
        <v>80</v>
      </c>
      <c r="P37" s="26" t="s">
        <v>80</v>
      </c>
    </row>
    <row r="38" spans="1:16">
      <c r="A38" s="9" t="s">
        <v>187</v>
      </c>
      <c r="B38" s="15">
        <v>1.5685554524513201</v>
      </c>
      <c r="C38" s="15">
        <v>2.3508081572988599</v>
      </c>
      <c r="D38" s="24">
        <v>0.918187478356564</v>
      </c>
      <c r="E38" s="15">
        <v>2.0595496153803299</v>
      </c>
      <c r="F38" s="15">
        <v>3.2003380379110302</v>
      </c>
      <c r="G38" s="26" t="s">
        <v>80</v>
      </c>
      <c r="H38" s="20" t="s">
        <v>80</v>
      </c>
      <c r="I38" s="20" t="s">
        <v>80</v>
      </c>
      <c r="J38" s="26" t="s">
        <v>80</v>
      </c>
      <c r="K38" s="20" t="s">
        <v>80</v>
      </c>
      <c r="L38" s="20" t="s">
        <v>80</v>
      </c>
      <c r="M38" s="26" t="s">
        <v>80</v>
      </c>
      <c r="N38" s="20" t="s">
        <v>80</v>
      </c>
      <c r="O38" s="20" t="s">
        <v>80</v>
      </c>
      <c r="P38" s="26" t="s">
        <v>80</v>
      </c>
    </row>
    <row r="39" spans="1:16">
      <c r="A39" s="9" t="s">
        <v>188</v>
      </c>
      <c r="B39" s="15">
        <v>1.2947026652385001</v>
      </c>
      <c r="C39" s="20" t="s">
        <v>80</v>
      </c>
      <c r="D39" s="24">
        <v>1.4139866320116801</v>
      </c>
      <c r="E39" s="15">
        <v>1.87103985175465</v>
      </c>
      <c r="F39" s="20" t="s">
        <v>80</v>
      </c>
      <c r="G39" s="26" t="s">
        <v>80</v>
      </c>
      <c r="H39" s="20" t="s">
        <v>80</v>
      </c>
      <c r="I39" s="20" t="s">
        <v>80</v>
      </c>
      <c r="J39" s="26" t="s">
        <v>80</v>
      </c>
      <c r="K39" s="20" t="s">
        <v>80</v>
      </c>
      <c r="L39" s="20" t="s">
        <v>80</v>
      </c>
      <c r="M39" s="26" t="s">
        <v>80</v>
      </c>
      <c r="N39" s="20" t="s">
        <v>80</v>
      </c>
      <c r="O39" s="20" t="s">
        <v>80</v>
      </c>
      <c r="P39" s="26" t="s">
        <v>80</v>
      </c>
    </row>
    <row r="40" spans="1:16">
      <c r="A40" s="9" t="s">
        <v>189</v>
      </c>
      <c r="B40" s="20" t="s">
        <v>80</v>
      </c>
      <c r="C40" s="20" t="s">
        <v>80</v>
      </c>
      <c r="D40" s="26" t="s">
        <v>80</v>
      </c>
      <c r="E40" s="20" t="s">
        <v>80</v>
      </c>
      <c r="F40" s="20" t="s">
        <v>80</v>
      </c>
      <c r="G40" s="26" t="s">
        <v>80</v>
      </c>
      <c r="H40" s="20" t="s">
        <v>80</v>
      </c>
      <c r="I40" s="20" t="s">
        <v>80</v>
      </c>
      <c r="J40" s="26" t="s">
        <v>80</v>
      </c>
      <c r="K40" s="20" t="s">
        <v>80</v>
      </c>
      <c r="L40" s="20" t="s">
        <v>80</v>
      </c>
      <c r="M40" s="26" t="s">
        <v>80</v>
      </c>
      <c r="N40" s="20" t="s">
        <v>80</v>
      </c>
      <c r="O40" s="20" t="s">
        <v>80</v>
      </c>
      <c r="P40" s="26" t="s">
        <v>80</v>
      </c>
    </row>
    <row r="41" spans="1:16">
      <c r="A41" s="9" t="s">
        <v>190</v>
      </c>
      <c r="B41" s="15">
        <v>13.042075860119301</v>
      </c>
      <c r="C41" s="15">
        <v>14.3430772447799</v>
      </c>
      <c r="D41" s="24">
        <v>11.960418194261599</v>
      </c>
      <c r="E41" s="15">
        <v>14.3952437862223</v>
      </c>
      <c r="F41" s="15">
        <v>15.8934779032249</v>
      </c>
      <c r="G41" s="24">
        <v>13.121472407726801</v>
      </c>
      <c r="H41" s="15">
        <v>11.8011711170947</v>
      </c>
      <c r="I41" s="15">
        <v>12.116983277541101</v>
      </c>
      <c r="J41" s="24">
        <v>11.542354399870501</v>
      </c>
      <c r="K41" s="20" t="s">
        <v>80</v>
      </c>
      <c r="L41" s="20" t="s">
        <v>80</v>
      </c>
      <c r="M41" s="26" t="s">
        <v>80</v>
      </c>
      <c r="N41" s="20" t="s">
        <v>80</v>
      </c>
      <c r="O41" s="20" t="s">
        <v>80</v>
      </c>
      <c r="P41" s="26" t="s">
        <v>80</v>
      </c>
    </row>
    <row r="42" spans="1:16">
      <c r="A42" s="9" t="s">
        <v>191</v>
      </c>
      <c r="B42" s="15">
        <v>0.40619482497168302</v>
      </c>
      <c r="C42" s="20" t="s">
        <v>80</v>
      </c>
      <c r="D42" s="26" t="s">
        <v>80</v>
      </c>
      <c r="E42" s="20" t="s">
        <v>80</v>
      </c>
      <c r="F42" s="20" t="s">
        <v>80</v>
      </c>
      <c r="G42" s="26" t="s">
        <v>80</v>
      </c>
      <c r="H42" s="20" t="s">
        <v>80</v>
      </c>
      <c r="I42" s="20" t="s">
        <v>80</v>
      </c>
      <c r="J42" s="26" t="s">
        <v>80</v>
      </c>
      <c r="K42" s="20" t="s">
        <v>80</v>
      </c>
      <c r="L42" s="20" t="s">
        <v>80</v>
      </c>
      <c r="M42" s="26" t="s">
        <v>80</v>
      </c>
      <c r="N42" s="20" t="s">
        <v>80</v>
      </c>
      <c r="O42" s="20" t="s">
        <v>80</v>
      </c>
      <c r="P42" s="26" t="s">
        <v>80</v>
      </c>
    </row>
    <row r="43" spans="1:16">
      <c r="A43" s="9" t="s">
        <v>192</v>
      </c>
      <c r="B43" s="15">
        <v>11.664547683118199</v>
      </c>
      <c r="C43" s="15">
        <v>10.939089180104</v>
      </c>
      <c r="D43" s="24">
        <v>12.2676967345327</v>
      </c>
      <c r="E43" s="15">
        <v>16.369534943214401</v>
      </c>
      <c r="F43" s="15">
        <v>14.5202957116186</v>
      </c>
      <c r="G43" s="24">
        <v>17.941724481862799</v>
      </c>
      <c r="H43" s="15">
        <v>6.8552034265523396</v>
      </c>
      <c r="I43" s="15">
        <v>7.1776468697970301</v>
      </c>
      <c r="J43" s="24">
        <v>6.5909521914096203</v>
      </c>
      <c r="K43" s="20" t="s">
        <v>80</v>
      </c>
      <c r="L43" s="20" t="s">
        <v>80</v>
      </c>
      <c r="M43" s="26" t="s">
        <v>80</v>
      </c>
      <c r="N43" s="20" t="s">
        <v>80</v>
      </c>
      <c r="O43" s="20" t="s">
        <v>80</v>
      </c>
      <c r="P43" s="26" t="s">
        <v>80</v>
      </c>
    </row>
    <row r="44" spans="1:16">
      <c r="A44" s="9" t="s">
        <v>193</v>
      </c>
      <c r="B44" s="15">
        <v>11.711347162538299</v>
      </c>
      <c r="C44" s="15">
        <v>16.382144257297099</v>
      </c>
      <c r="D44" s="24">
        <v>7.8280280955650197</v>
      </c>
      <c r="E44" s="15">
        <v>11.705498097896401</v>
      </c>
      <c r="F44" s="15">
        <v>16.007339591793901</v>
      </c>
      <c r="G44" s="24">
        <v>8.0481507530680396</v>
      </c>
      <c r="H44" s="15">
        <v>11.8581425085709</v>
      </c>
      <c r="I44" s="15">
        <v>16.740060261641599</v>
      </c>
      <c r="J44" s="24">
        <v>7.85727716879983</v>
      </c>
      <c r="K44" s="20" t="s">
        <v>80</v>
      </c>
      <c r="L44" s="20" t="s">
        <v>80</v>
      </c>
      <c r="M44" s="26" t="s">
        <v>80</v>
      </c>
      <c r="N44" s="20" t="s">
        <v>80</v>
      </c>
      <c r="O44" s="20" t="s">
        <v>80</v>
      </c>
      <c r="P44" s="26" t="s">
        <v>80</v>
      </c>
    </row>
    <row r="45" spans="1:16">
      <c r="A45" s="9" t="s">
        <v>194</v>
      </c>
      <c r="B45" s="15">
        <v>0.67968518366305597</v>
      </c>
      <c r="C45" s="15">
        <v>1.38278436309289</v>
      </c>
      <c r="D45" s="26" t="s">
        <v>80</v>
      </c>
      <c r="E45" s="20" t="s">
        <v>80</v>
      </c>
      <c r="F45" s="20" t="s">
        <v>80</v>
      </c>
      <c r="G45" s="26" t="s">
        <v>80</v>
      </c>
      <c r="H45" s="20" t="s">
        <v>80</v>
      </c>
      <c r="I45" s="20" t="s">
        <v>80</v>
      </c>
      <c r="J45" s="26" t="s">
        <v>80</v>
      </c>
      <c r="K45" s="20" t="s">
        <v>80</v>
      </c>
      <c r="L45" s="20" t="s">
        <v>80</v>
      </c>
      <c r="M45" s="26" t="s">
        <v>80</v>
      </c>
      <c r="N45" s="20" t="s">
        <v>80</v>
      </c>
      <c r="O45" s="20" t="s">
        <v>80</v>
      </c>
      <c r="P45" s="26" t="s">
        <v>80</v>
      </c>
    </row>
    <row r="46" spans="1:16">
      <c r="A46" s="9" t="s">
        <v>195</v>
      </c>
      <c r="B46" s="15">
        <v>0.85738141207478902</v>
      </c>
      <c r="C46" s="20" t="s">
        <v>80</v>
      </c>
      <c r="D46" s="26" t="s">
        <v>80</v>
      </c>
      <c r="E46" s="20" t="s">
        <v>80</v>
      </c>
      <c r="F46" s="20" t="s">
        <v>80</v>
      </c>
      <c r="G46" s="26" t="s">
        <v>80</v>
      </c>
      <c r="H46" s="20" t="s">
        <v>80</v>
      </c>
      <c r="I46" s="20" t="s">
        <v>80</v>
      </c>
      <c r="J46" s="26" t="s">
        <v>80</v>
      </c>
      <c r="K46" s="20" t="s">
        <v>80</v>
      </c>
      <c r="L46" s="20" t="s">
        <v>80</v>
      </c>
      <c r="M46" s="26" t="s">
        <v>80</v>
      </c>
      <c r="N46" s="20" t="s">
        <v>80</v>
      </c>
      <c r="O46" s="20" t="s">
        <v>80</v>
      </c>
      <c r="P46" s="26" t="s">
        <v>80</v>
      </c>
    </row>
    <row r="47" spans="1:16">
      <c r="A47" s="9" t="s">
        <v>196</v>
      </c>
      <c r="B47" s="20" t="s">
        <v>80</v>
      </c>
      <c r="C47" s="20" t="s">
        <v>80</v>
      </c>
      <c r="D47" s="26" t="s">
        <v>80</v>
      </c>
      <c r="E47" s="20" t="s">
        <v>80</v>
      </c>
      <c r="F47" s="20" t="s">
        <v>80</v>
      </c>
      <c r="G47" s="26" t="s">
        <v>80</v>
      </c>
      <c r="H47" s="20" t="s">
        <v>80</v>
      </c>
      <c r="I47" s="20" t="s">
        <v>80</v>
      </c>
      <c r="J47" s="26" t="s">
        <v>80</v>
      </c>
      <c r="K47" s="20" t="s">
        <v>80</v>
      </c>
      <c r="L47" s="20" t="s">
        <v>80</v>
      </c>
      <c r="M47" s="26" t="s">
        <v>80</v>
      </c>
      <c r="N47" s="20" t="s">
        <v>80</v>
      </c>
      <c r="O47" s="20" t="s">
        <v>80</v>
      </c>
      <c r="P47" s="26" t="s">
        <v>80</v>
      </c>
    </row>
    <row r="48" spans="1:16">
      <c r="A48" s="9" t="s">
        <v>197</v>
      </c>
      <c r="B48" s="15">
        <v>2.5547508900051201</v>
      </c>
      <c r="C48" s="15">
        <v>4.11282159493022</v>
      </c>
      <c r="D48" s="24">
        <v>1.25936478065826</v>
      </c>
      <c r="E48" s="15">
        <v>2.7719170478366499</v>
      </c>
      <c r="F48" s="15">
        <v>4.5092424945205698</v>
      </c>
      <c r="G48" s="26" t="s">
        <v>80</v>
      </c>
      <c r="H48" s="15">
        <v>2.3480226393991699</v>
      </c>
      <c r="I48" s="15">
        <v>3.6499790028267101</v>
      </c>
      <c r="J48" s="26" t="s">
        <v>80</v>
      </c>
      <c r="K48" s="20" t="s">
        <v>80</v>
      </c>
      <c r="L48" s="20" t="s">
        <v>80</v>
      </c>
      <c r="M48" s="26" t="s">
        <v>80</v>
      </c>
      <c r="N48" s="20" t="s">
        <v>80</v>
      </c>
      <c r="O48" s="20" t="s">
        <v>80</v>
      </c>
      <c r="P48" s="26" t="s">
        <v>80</v>
      </c>
    </row>
    <row r="49" spans="1:16">
      <c r="A49" s="9" t="s">
        <v>198</v>
      </c>
      <c r="B49" s="15">
        <v>1.2961097091326901</v>
      </c>
      <c r="C49" s="15">
        <v>2.0591839055878798</v>
      </c>
      <c r="D49" s="26" t="s">
        <v>80</v>
      </c>
      <c r="E49" s="15">
        <v>1.3174907544130401</v>
      </c>
      <c r="F49" s="20" t="s">
        <v>80</v>
      </c>
      <c r="G49" s="26" t="s">
        <v>80</v>
      </c>
      <c r="H49" s="15">
        <v>1.2821230053924699</v>
      </c>
      <c r="I49" s="20" t="s">
        <v>80</v>
      </c>
      <c r="J49" s="26" t="s">
        <v>80</v>
      </c>
      <c r="K49" s="20" t="s">
        <v>80</v>
      </c>
      <c r="L49" s="20" t="s">
        <v>80</v>
      </c>
      <c r="M49" s="26" t="s">
        <v>80</v>
      </c>
      <c r="N49" s="20" t="s">
        <v>80</v>
      </c>
      <c r="O49" s="20" t="s">
        <v>80</v>
      </c>
      <c r="P49" s="26" t="s">
        <v>80</v>
      </c>
    </row>
    <row r="50" spans="1:16">
      <c r="A50" s="9" t="s">
        <v>199</v>
      </c>
      <c r="B50" s="15">
        <v>7.4229022689466904</v>
      </c>
      <c r="C50" s="15">
        <v>12.279993036272201</v>
      </c>
      <c r="D50" s="24">
        <v>3.3846979102215999</v>
      </c>
      <c r="E50" s="15">
        <v>7.4131328939071199</v>
      </c>
      <c r="F50" s="15">
        <v>12.182168541420401</v>
      </c>
      <c r="G50" s="24">
        <v>3.35858558258299</v>
      </c>
      <c r="H50" s="15">
        <v>7.61915680229811</v>
      </c>
      <c r="I50" s="15">
        <v>12.586091475063499</v>
      </c>
      <c r="J50" s="24">
        <v>3.5486177677813902</v>
      </c>
      <c r="K50" s="20" t="s">
        <v>80</v>
      </c>
      <c r="L50" s="20" t="s">
        <v>80</v>
      </c>
      <c r="M50" s="26" t="s">
        <v>80</v>
      </c>
      <c r="N50" s="20" t="s">
        <v>80</v>
      </c>
      <c r="O50" s="20" t="s">
        <v>80</v>
      </c>
      <c r="P50" s="26" t="s">
        <v>80</v>
      </c>
    </row>
    <row r="51" spans="1:16">
      <c r="A51" s="9" t="s">
        <v>200</v>
      </c>
      <c r="B51" s="15">
        <v>4.55706290968494</v>
      </c>
      <c r="C51" s="15">
        <v>4.1006602333156597</v>
      </c>
      <c r="D51" s="24">
        <v>4.9365178890826202</v>
      </c>
      <c r="E51" s="15">
        <v>5.3096687843991797</v>
      </c>
      <c r="F51" s="15">
        <v>4.2841835213932997</v>
      </c>
      <c r="G51" s="24">
        <v>6.1815176912302903</v>
      </c>
      <c r="H51" s="15">
        <v>3.8175480771111201</v>
      </c>
      <c r="I51" s="15">
        <v>3.8489811027995202</v>
      </c>
      <c r="J51" s="24">
        <v>3.79178785144535</v>
      </c>
      <c r="K51" s="20" t="s">
        <v>80</v>
      </c>
      <c r="L51" s="20" t="s">
        <v>80</v>
      </c>
      <c r="M51" s="26" t="s">
        <v>80</v>
      </c>
      <c r="N51" s="20" t="s">
        <v>80</v>
      </c>
      <c r="O51" s="20" t="s">
        <v>80</v>
      </c>
      <c r="P51" s="26" t="s">
        <v>80</v>
      </c>
    </row>
    <row r="52" spans="1:16">
      <c r="A52" s="9" t="s">
        <v>201</v>
      </c>
      <c r="B52" s="15">
        <v>0.67075409090142502</v>
      </c>
      <c r="C52" s="20" t="s">
        <v>80</v>
      </c>
      <c r="D52" s="26" t="s">
        <v>80</v>
      </c>
      <c r="E52" s="20" t="s">
        <v>80</v>
      </c>
      <c r="F52" s="20" t="s">
        <v>80</v>
      </c>
      <c r="G52" s="26" t="s">
        <v>80</v>
      </c>
      <c r="H52" s="20" t="s">
        <v>80</v>
      </c>
      <c r="I52" s="20" t="s">
        <v>80</v>
      </c>
      <c r="J52" s="26" t="s">
        <v>80</v>
      </c>
      <c r="K52" s="20" t="s">
        <v>80</v>
      </c>
      <c r="L52" s="20" t="s">
        <v>80</v>
      </c>
      <c r="M52" s="26" t="s">
        <v>80</v>
      </c>
      <c r="N52" s="20" t="s">
        <v>80</v>
      </c>
      <c r="O52" s="20" t="s">
        <v>80</v>
      </c>
      <c r="P52" s="26" t="s">
        <v>80</v>
      </c>
    </row>
    <row r="53" spans="1:16">
      <c r="A53" s="9" t="s">
        <v>202</v>
      </c>
      <c r="B53" s="15">
        <v>4.2930940627939602</v>
      </c>
      <c r="C53" s="15">
        <v>4.9383693400517199</v>
      </c>
      <c r="D53" s="24">
        <v>3.7566096604992398</v>
      </c>
      <c r="E53" s="15">
        <v>4.3235048075722204</v>
      </c>
      <c r="F53" s="15">
        <v>5.0014541093328102</v>
      </c>
      <c r="G53" s="24">
        <v>3.7471246498560902</v>
      </c>
      <c r="H53" s="15">
        <v>4.2147580218004999</v>
      </c>
      <c r="I53" s="15">
        <v>4.6318286728093101</v>
      </c>
      <c r="J53" s="24">
        <v>3.87295719756347</v>
      </c>
      <c r="K53" s="20" t="s">
        <v>80</v>
      </c>
      <c r="L53" s="20" t="s">
        <v>80</v>
      </c>
      <c r="M53" s="26" t="s">
        <v>80</v>
      </c>
      <c r="N53" s="20" t="s">
        <v>80</v>
      </c>
      <c r="O53" s="20" t="s">
        <v>80</v>
      </c>
      <c r="P53" s="26" t="s">
        <v>80</v>
      </c>
    </row>
    <row r="54" spans="1:16">
      <c r="A54" s="9" t="s">
        <v>203</v>
      </c>
      <c r="B54" s="15">
        <v>2.26408419824353</v>
      </c>
      <c r="C54" s="15">
        <v>3.79229155532596</v>
      </c>
      <c r="D54" s="24">
        <v>0.99352659369538898</v>
      </c>
      <c r="E54" s="15">
        <v>2.5027679905193598</v>
      </c>
      <c r="F54" s="15">
        <v>4.04341204874647</v>
      </c>
      <c r="G54" s="26" t="s">
        <v>80</v>
      </c>
      <c r="H54" s="15">
        <v>1.9275674054171601</v>
      </c>
      <c r="I54" s="15">
        <v>3.3975911782137098</v>
      </c>
      <c r="J54" s="26" t="s">
        <v>80</v>
      </c>
      <c r="K54" s="20" t="s">
        <v>80</v>
      </c>
      <c r="L54" s="20" t="s">
        <v>80</v>
      </c>
      <c r="M54" s="26" t="s">
        <v>80</v>
      </c>
      <c r="N54" s="20" t="s">
        <v>80</v>
      </c>
      <c r="O54" s="20" t="s">
        <v>80</v>
      </c>
      <c r="P54" s="26" t="s">
        <v>80</v>
      </c>
    </row>
    <row r="55" spans="1:16">
      <c r="A55" s="9" t="s">
        <v>204</v>
      </c>
      <c r="B55" s="15">
        <v>1.79481530651488</v>
      </c>
      <c r="C55" s="15">
        <v>2.2734251444020801</v>
      </c>
      <c r="D55" s="24">
        <v>1.39689720572776</v>
      </c>
      <c r="E55" s="15">
        <v>1.99317535122291</v>
      </c>
      <c r="F55" s="20" t="s">
        <v>80</v>
      </c>
      <c r="G55" s="24">
        <v>1.7480513880522499</v>
      </c>
      <c r="H55" s="15">
        <v>1.65369077365858</v>
      </c>
      <c r="I55" s="20" t="s">
        <v>80</v>
      </c>
      <c r="J55" s="26" t="s">
        <v>80</v>
      </c>
      <c r="K55" s="20" t="s">
        <v>80</v>
      </c>
      <c r="L55" s="20" t="s">
        <v>80</v>
      </c>
      <c r="M55" s="26" t="s">
        <v>80</v>
      </c>
      <c r="N55" s="20" t="s">
        <v>80</v>
      </c>
      <c r="O55" s="20" t="s">
        <v>80</v>
      </c>
      <c r="P55" s="26" t="s">
        <v>80</v>
      </c>
    </row>
    <row r="56" spans="1:16">
      <c r="A56" s="9" t="s">
        <v>205</v>
      </c>
      <c r="B56" s="15">
        <v>2.6929960438729901</v>
      </c>
      <c r="C56" s="15">
        <v>2.1527013187677002</v>
      </c>
      <c r="D56" s="24">
        <v>3.14219920239616</v>
      </c>
      <c r="E56" s="15">
        <v>2.0493758403548501</v>
      </c>
      <c r="F56" s="20" t="s">
        <v>80</v>
      </c>
      <c r="G56" s="24">
        <v>1.9830138433331499</v>
      </c>
      <c r="H56" s="15">
        <v>3.3294504348477201</v>
      </c>
      <c r="I56" s="20" t="s">
        <v>80</v>
      </c>
      <c r="J56" s="24">
        <v>4.4468934536174096</v>
      </c>
      <c r="K56" s="20" t="s">
        <v>80</v>
      </c>
      <c r="L56" s="20" t="s">
        <v>80</v>
      </c>
      <c r="M56" s="26" t="s">
        <v>80</v>
      </c>
      <c r="N56" s="20" t="s">
        <v>80</v>
      </c>
      <c r="O56" s="20" t="s">
        <v>80</v>
      </c>
      <c r="P56" s="26" t="s">
        <v>80</v>
      </c>
    </row>
    <row r="57" spans="1:16">
      <c r="A57" s="9" t="s">
        <v>206</v>
      </c>
      <c r="B57" s="15">
        <v>1.2672750488614</v>
      </c>
      <c r="C57" s="15">
        <v>1.1481358338180001</v>
      </c>
      <c r="D57" s="24">
        <v>1.3663278606226901</v>
      </c>
      <c r="E57" s="15">
        <v>1.53497893497783</v>
      </c>
      <c r="F57" s="20" t="s">
        <v>80</v>
      </c>
      <c r="G57" s="24">
        <v>1.6711517625597401</v>
      </c>
      <c r="H57" s="20" t="s">
        <v>80</v>
      </c>
      <c r="I57" s="20" t="s">
        <v>80</v>
      </c>
      <c r="J57" s="26" t="s">
        <v>80</v>
      </c>
      <c r="K57" s="20" t="s">
        <v>80</v>
      </c>
      <c r="L57" s="20" t="s">
        <v>80</v>
      </c>
      <c r="M57" s="26" t="s">
        <v>80</v>
      </c>
      <c r="N57" s="20" t="s">
        <v>80</v>
      </c>
      <c r="O57" s="20" t="s">
        <v>80</v>
      </c>
      <c r="P57" s="26" t="s">
        <v>80</v>
      </c>
    </row>
    <row r="58" spans="1:16">
      <c r="A58" s="9" t="s">
        <v>207</v>
      </c>
      <c r="B58" s="15">
        <v>2.8567319523757999</v>
      </c>
      <c r="C58" s="20" t="s">
        <v>80</v>
      </c>
      <c r="D58" s="24">
        <v>4.3592665385266498</v>
      </c>
      <c r="E58" s="15">
        <v>3.9159251287286598</v>
      </c>
      <c r="F58" s="20" t="s">
        <v>80</v>
      </c>
      <c r="G58" s="24">
        <v>6.0577885614366602</v>
      </c>
      <c r="H58" s="15">
        <v>1.8414204148912501</v>
      </c>
      <c r="I58" s="20" t="s">
        <v>80</v>
      </c>
      <c r="J58" s="24">
        <v>2.74013204159121</v>
      </c>
      <c r="K58" s="20" t="s">
        <v>80</v>
      </c>
      <c r="L58" s="20" t="s">
        <v>80</v>
      </c>
      <c r="M58" s="26" t="s">
        <v>80</v>
      </c>
      <c r="N58" s="20" t="s">
        <v>80</v>
      </c>
      <c r="O58" s="20" t="s">
        <v>80</v>
      </c>
      <c r="P58" s="26" t="s">
        <v>80</v>
      </c>
    </row>
    <row r="59" spans="1:16">
      <c r="A59" s="9" t="s">
        <v>208</v>
      </c>
      <c r="B59" s="20" t="s">
        <v>80</v>
      </c>
      <c r="C59" s="20" t="s">
        <v>80</v>
      </c>
      <c r="D59" s="26" t="s">
        <v>80</v>
      </c>
      <c r="E59" s="20" t="s">
        <v>80</v>
      </c>
      <c r="F59" s="20" t="s">
        <v>80</v>
      </c>
      <c r="G59" s="26" t="s">
        <v>80</v>
      </c>
      <c r="H59" s="20" t="s">
        <v>80</v>
      </c>
      <c r="I59" s="20" t="s">
        <v>80</v>
      </c>
      <c r="J59" s="26" t="s">
        <v>80</v>
      </c>
      <c r="K59" s="20" t="s">
        <v>80</v>
      </c>
      <c r="L59" s="20" t="s">
        <v>80</v>
      </c>
      <c r="M59" s="26" t="s">
        <v>80</v>
      </c>
      <c r="N59" s="20" t="s">
        <v>80</v>
      </c>
      <c r="O59" s="20" t="s">
        <v>80</v>
      </c>
      <c r="P59" s="26" t="s">
        <v>80</v>
      </c>
    </row>
    <row r="60" spans="1:16">
      <c r="A60" s="9" t="s">
        <v>209</v>
      </c>
      <c r="B60" s="20" t="s">
        <v>80</v>
      </c>
      <c r="C60" s="20" t="s">
        <v>80</v>
      </c>
      <c r="D60" s="26" t="s">
        <v>80</v>
      </c>
      <c r="E60" s="20" t="s">
        <v>80</v>
      </c>
      <c r="F60" s="20" t="s">
        <v>80</v>
      </c>
      <c r="G60" s="26" t="s">
        <v>80</v>
      </c>
      <c r="H60" s="20" t="s">
        <v>80</v>
      </c>
      <c r="I60" s="20" t="s">
        <v>80</v>
      </c>
      <c r="J60" s="26" t="s">
        <v>80</v>
      </c>
      <c r="K60" s="20" t="s">
        <v>80</v>
      </c>
      <c r="L60" s="20" t="s">
        <v>80</v>
      </c>
      <c r="M60" s="26" t="s">
        <v>80</v>
      </c>
      <c r="N60" s="20" t="s">
        <v>80</v>
      </c>
      <c r="O60" s="20" t="s">
        <v>80</v>
      </c>
      <c r="P60" s="26" t="s">
        <v>80</v>
      </c>
    </row>
    <row r="61" spans="1:16">
      <c r="A61" s="9" t="s">
        <v>210</v>
      </c>
      <c r="B61" s="20" t="s">
        <v>80</v>
      </c>
      <c r="C61" s="20" t="s">
        <v>80</v>
      </c>
      <c r="D61" s="26" t="s">
        <v>80</v>
      </c>
      <c r="E61" s="20" t="s">
        <v>80</v>
      </c>
      <c r="F61" s="20" t="s">
        <v>80</v>
      </c>
      <c r="G61" s="26" t="s">
        <v>80</v>
      </c>
      <c r="H61" s="20" t="s">
        <v>80</v>
      </c>
      <c r="I61" s="20" t="s">
        <v>80</v>
      </c>
      <c r="J61" s="26" t="s">
        <v>80</v>
      </c>
      <c r="K61" s="20" t="s">
        <v>80</v>
      </c>
      <c r="L61" s="20" t="s">
        <v>80</v>
      </c>
      <c r="M61" s="26" t="s">
        <v>80</v>
      </c>
      <c r="N61" s="20" t="s">
        <v>80</v>
      </c>
      <c r="O61" s="20" t="s">
        <v>80</v>
      </c>
      <c r="P61" s="26" t="s">
        <v>80</v>
      </c>
    </row>
    <row r="62" spans="1:16">
      <c r="A62" s="9" t="s">
        <v>211</v>
      </c>
      <c r="B62" s="20" t="s">
        <v>80</v>
      </c>
      <c r="C62" s="20" t="s">
        <v>80</v>
      </c>
      <c r="D62" s="26" t="s">
        <v>80</v>
      </c>
      <c r="E62" s="20" t="s">
        <v>80</v>
      </c>
      <c r="F62" s="20" t="s">
        <v>80</v>
      </c>
      <c r="G62" s="26" t="s">
        <v>80</v>
      </c>
      <c r="H62" s="20" t="s">
        <v>80</v>
      </c>
      <c r="I62" s="20" t="s">
        <v>80</v>
      </c>
      <c r="J62" s="26" t="s">
        <v>80</v>
      </c>
      <c r="K62" s="20" t="s">
        <v>80</v>
      </c>
      <c r="L62" s="20" t="s">
        <v>80</v>
      </c>
      <c r="M62" s="26" t="s">
        <v>80</v>
      </c>
      <c r="N62" s="20" t="s">
        <v>80</v>
      </c>
      <c r="O62" s="20" t="s">
        <v>80</v>
      </c>
      <c r="P62" s="26" t="s">
        <v>80</v>
      </c>
    </row>
    <row r="63" spans="1:16">
      <c r="A63" s="9" t="s">
        <v>212</v>
      </c>
      <c r="B63" s="20" t="s">
        <v>80</v>
      </c>
      <c r="C63" s="20" t="s">
        <v>80</v>
      </c>
      <c r="D63" s="26" t="s">
        <v>80</v>
      </c>
      <c r="E63" s="20" t="s">
        <v>80</v>
      </c>
      <c r="F63" s="20" t="s">
        <v>80</v>
      </c>
      <c r="G63" s="26" t="s">
        <v>80</v>
      </c>
      <c r="H63" s="20" t="s">
        <v>80</v>
      </c>
      <c r="I63" s="20" t="s">
        <v>80</v>
      </c>
      <c r="J63" s="26" t="s">
        <v>80</v>
      </c>
      <c r="K63" s="20" t="s">
        <v>80</v>
      </c>
      <c r="L63" s="20" t="s">
        <v>80</v>
      </c>
      <c r="M63" s="26" t="s">
        <v>80</v>
      </c>
      <c r="N63" s="20" t="s">
        <v>80</v>
      </c>
      <c r="O63" s="20" t="s">
        <v>80</v>
      </c>
      <c r="P63" s="26" t="s">
        <v>80</v>
      </c>
    </row>
    <row r="64" spans="1:16">
      <c r="A64" s="11" t="s">
        <v>213</v>
      </c>
      <c r="B64" s="16">
        <v>1.6317576328185099</v>
      </c>
      <c r="C64" s="16">
        <v>2.7206856857655599</v>
      </c>
      <c r="D64" s="29" t="s">
        <v>80</v>
      </c>
      <c r="E64" s="16">
        <v>1.8082126799606999</v>
      </c>
      <c r="F64" s="16">
        <v>2.8886734903827902</v>
      </c>
      <c r="G64" s="29" t="s">
        <v>80</v>
      </c>
      <c r="H64" s="16">
        <v>1.30846533760714</v>
      </c>
      <c r="I64" s="28" t="s">
        <v>80</v>
      </c>
      <c r="J64" s="29" t="s">
        <v>80</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J71"/>
  <sheetViews>
    <sheetView zoomScale="55" workbookViewId="0"/>
  </sheetViews>
  <sheetFormatPr defaultColWidth="10.90625" defaultRowHeight="15"/>
  <cols>
    <col min="1" max="1" width="51.6796875" customWidth="1"/>
    <col min="2" max="35" width="13.6796875" customWidth="1"/>
  </cols>
  <sheetData>
    <row r="1" spans="1:36" ht="39.9" customHeight="1">
      <c r="A1" s="10" t="s">
        <v>217</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45">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9" t="s">
        <v>152</v>
      </c>
      <c r="B3" s="36">
        <v>1.90207180532728</v>
      </c>
      <c r="C3" s="32">
        <v>1.32353549926734</v>
      </c>
      <c r="D3" s="32">
        <v>1.4945917536392299</v>
      </c>
      <c r="E3" s="32">
        <v>2.4006221381926598</v>
      </c>
      <c r="F3" s="15">
        <v>4.0983606557377001</v>
      </c>
      <c r="G3" s="20" t="s">
        <v>80</v>
      </c>
      <c r="H3" s="20" t="s">
        <v>80</v>
      </c>
      <c r="I3" s="20" t="s">
        <v>80</v>
      </c>
      <c r="J3" s="15">
        <v>12.5</v>
      </c>
      <c r="K3" s="15">
        <v>27.7777777777778</v>
      </c>
      <c r="L3" s="20" t="s">
        <v>80</v>
      </c>
      <c r="M3" s="20" t="s">
        <v>80</v>
      </c>
      <c r="N3" s="20" t="s">
        <v>80</v>
      </c>
      <c r="O3" s="20" t="s">
        <v>80</v>
      </c>
      <c r="P3" s="15">
        <v>6.0975609756097597</v>
      </c>
      <c r="Q3" s="20" t="s">
        <v>80</v>
      </c>
      <c r="R3" s="20" t="s">
        <v>80</v>
      </c>
      <c r="S3" s="20" t="s">
        <v>80</v>
      </c>
      <c r="T3" s="20" t="s">
        <v>80</v>
      </c>
      <c r="U3" s="20" t="s">
        <v>80</v>
      </c>
      <c r="V3" s="20" t="s">
        <v>80</v>
      </c>
      <c r="W3" s="20" t="s">
        <v>80</v>
      </c>
      <c r="X3" s="20" t="s">
        <v>80</v>
      </c>
      <c r="Y3" s="15">
        <v>3.87096774193548</v>
      </c>
      <c r="Z3" s="20" t="s">
        <v>80</v>
      </c>
      <c r="AA3" s="34" t="s">
        <v>80</v>
      </c>
      <c r="AB3" s="20" t="s">
        <v>80</v>
      </c>
      <c r="AC3" s="20" t="s">
        <v>80</v>
      </c>
      <c r="AD3" s="20" t="s">
        <v>80</v>
      </c>
      <c r="AE3" s="20" t="s">
        <v>80</v>
      </c>
      <c r="AF3" s="20" t="s">
        <v>80</v>
      </c>
      <c r="AG3" s="20" t="s">
        <v>80</v>
      </c>
      <c r="AH3" s="20" t="s">
        <v>80</v>
      </c>
      <c r="AI3" s="26" t="s">
        <v>80</v>
      </c>
      <c r="AJ3" s="38"/>
    </row>
    <row r="4" spans="1:36">
      <c r="A4" s="9" t="s">
        <v>153</v>
      </c>
      <c r="B4" s="36">
        <v>9.6614135791084994</v>
      </c>
      <c r="C4" s="32">
        <v>10.4226032058444</v>
      </c>
      <c r="D4" s="32">
        <v>9.1212101593442299</v>
      </c>
      <c r="E4" s="32">
        <v>10.278708494681901</v>
      </c>
      <c r="F4" s="15">
        <v>22.131147540983601</v>
      </c>
      <c r="G4" s="20" t="s">
        <v>80</v>
      </c>
      <c r="H4" s="15">
        <v>22.891566265060199</v>
      </c>
      <c r="I4" s="20" t="s">
        <v>80</v>
      </c>
      <c r="J4" s="15">
        <v>35.714285714285701</v>
      </c>
      <c r="K4" s="15">
        <v>25</v>
      </c>
      <c r="L4" s="15">
        <v>17.475728155339802</v>
      </c>
      <c r="M4" s="20" t="s">
        <v>80</v>
      </c>
      <c r="N4" s="15">
        <v>20.338983050847499</v>
      </c>
      <c r="O4" s="15">
        <v>12.280701754386</v>
      </c>
      <c r="P4" s="15">
        <v>17.0731707317073</v>
      </c>
      <c r="Q4" s="15">
        <v>4.9079754601227004</v>
      </c>
      <c r="R4" s="20" t="s">
        <v>80</v>
      </c>
      <c r="S4" s="20" t="s">
        <v>80</v>
      </c>
      <c r="T4" s="15">
        <v>19.4444444444444</v>
      </c>
      <c r="U4" s="15">
        <v>5.7377049180327901</v>
      </c>
      <c r="V4" s="15">
        <v>18.918918918918902</v>
      </c>
      <c r="W4" s="15">
        <v>35.227272727272698</v>
      </c>
      <c r="X4" s="20" t="s">
        <v>80</v>
      </c>
      <c r="Y4" s="15">
        <v>17.419354838709701</v>
      </c>
      <c r="Z4" s="20" t="s">
        <v>80</v>
      </c>
      <c r="AA4" s="32">
        <v>8.1588614928499403</v>
      </c>
      <c r="AB4" s="15">
        <v>12.9032258064516</v>
      </c>
      <c r="AC4" s="15">
        <v>6.9400630914826502</v>
      </c>
      <c r="AD4" s="15">
        <v>9.4420600858369106</v>
      </c>
      <c r="AE4" s="15">
        <v>12.944983818770201</v>
      </c>
      <c r="AF4" s="15">
        <v>5.8588548601864199</v>
      </c>
      <c r="AG4" s="15">
        <v>7.1661237785016301</v>
      </c>
      <c r="AH4" s="15">
        <v>19.572953736654799</v>
      </c>
      <c r="AI4" s="26" t="s">
        <v>80</v>
      </c>
      <c r="AJ4" s="38"/>
    </row>
    <row r="5" spans="1:36">
      <c r="A5" s="9" t="s">
        <v>154</v>
      </c>
      <c r="B5" s="36">
        <v>7.6432491092914301</v>
      </c>
      <c r="C5" s="32">
        <v>6.6443254696329896</v>
      </c>
      <c r="D5" s="32">
        <v>7.6600133255654903</v>
      </c>
      <c r="E5" s="32">
        <v>2.29843894220578</v>
      </c>
      <c r="F5" s="20" t="s">
        <v>80</v>
      </c>
      <c r="G5" s="20" t="s">
        <v>80</v>
      </c>
      <c r="H5" s="20" t="s">
        <v>80</v>
      </c>
      <c r="I5" s="20" t="s">
        <v>80</v>
      </c>
      <c r="J5" s="20" t="s">
        <v>80</v>
      </c>
      <c r="K5" s="20" t="s">
        <v>80</v>
      </c>
      <c r="L5" s="20" t="s">
        <v>80</v>
      </c>
      <c r="M5" s="20" t="s">
        <v>80</v>
      </c>
      <c r="N5" s="20" t="s">
        <v>80</v>
      </c>
      <c r="O5" s="20" t="s">
        <v>80</v>
      </c>
      <c r="P5" s="20" t="s">
        <v>80</v>
      </c>
      <c r="Q5" s="20" t="s">
        <v>80</v>
      </c>
      <c r="R5" s="20" t="s">
        <v>80</v>
      </c>
      <c r="S5" s="20" t="s">
        <v>80</v>
      </c>
      <c r="T5" s="20" t="s">
        <v>80</v>
      </c>
      <c r="U5" s="15">
        <v>17.213114754098399</v>
      </c>
      <c r="V5" s="20" t="s">
        <v>80</v>
      </c>
      <c r="W5" s="20" t="s">
        <v>80</v>
      </c>
      <c r="X5" s="15">
        <v>4.3478260869565197</v>
      </c>
      <c r="Y5" s="20" t="s">
        <v>80</v>
      </c>
      <c r="Z5" s="20" t="s">
        <v>80</v>
      </c>
      <c r="AA5" s="32">
        <v>12.1176473459472</v>
      </c>
      <c r="AB5" s="15">
        <v>11.6129032258065</v>
      </c>
      <c r="AC5" s="15">
        <v>13.249211356466899</v>
      </c>
      <c r="AD5" s="15">
        <v>32.188841201716698</v>
      </c>
      <c r="AE5" s="15">
        <v>5.5016181229773498</v>
      </c>
      <c r="AF5" s="15">
        <v>3.1957390146471401</v>
      </c>
      <c r="AG5" s="15">
        <v>7.1661237785016301</v>
      </c>
      <c r="AH5" s="15">
        <v>19.9288256227758</v>
      </c>
      <c r="AI5" s="26" t="s">
        <v>80</v>
      </c>
      <c r="AJ5" s="38"/>
    </row>
    <row r="6" spans="1:36">
      <c r="A6" s="9" t="s">
        <v>155</v>
      </c>
      <c r="B6" s="36">
        <v>12.950828808395</v>
      </c>
      <c r="C6" s="32">
        <v>11.8291417625242</v>
      </c>
      <c r="D6" s="32">
        <v>13.750963755696599</v>
      </c>
      <c r="E6" s="32">
        <v>13.513145323776399</v>
      </c>
      <c r="F6" s="15">
        <v>5.7377049180327901</v>
      </c>
      <c r="G6" s="20" t="s">
        <v>80</v>
      </c>
      <c r="H6" s="15">
        <v>10.8433734939759</v>
      </c>
      <c r="I6" s="15">
        <v>10</v>
      </c>
      <c r="J6" s="15">
        <v>30.3571428571429</v>
      </c>
      <c r="K6" s="15">
        <v>16.6666666666667</v>
      </c>
      <c r="L6" s="20" t="s">
        <v>80</v>
      </c>
      <c r="M6" s="20" t="s">
        <v>80</v>
      </c>
      <c r="N6" s="15">
        <v>13.559322033898299</v>
      </c>
      <c r="O6" s="20" t="s">
        <v>80</v>
      </c>
      <c r="P6" s="15">
        <v>10.975609756097599</v>
      </c>
      <c r="Q6" s="15">
        <v>9.8159509202454007</v>
      </c>
      <c r="R6" s="15">
        <v>12.5</v>
      </c>
      <c r="S6" s="15">
        <v>31.081081081081098</v>
      </c>
      <c r="T6" s="15">
        <v>20.8333333333333</v>
      </c>
      <c r="U6" s="15">
        <v>7.3770491803278704</v>
      </c>
      <c r="V6" s="15">
        <v>16.2162162162162</v>
      </c>
      <c r="W6" s="15">
        <v>40.909090909090899</v>
      </c>
      <c r="X6" s="15">
        <v>3.2608695652173898</v>
      </c>
      <c r="Y6" s="15">
        <v>14.8387096774194</v>
      </c>
      <c r="Z6" s="20" t="s">
        <v>80</v>
      </c>
      <c r="AA6" s="32">
        <v>13.9486869349351</v>
      </c>
      <c r="AB6" s="15">
        <v>14.8387096774194</v>
      </c>
      <c r="AC6" s="15">
        <v>11.671924290220799</v>
      </c>
      <c r="AD6" s="15">
        <v>32.618025751072999</v>
      </c>
      <c r="AE6" s="15">
        <v>22.977346278317199</v>
      </c>
      <c r="AF6" s="15">
        <v>8.3888149134487406</v>
      </c>
      <c r="AG6" s="15">
        <v>10.4234527687296</v>
      </c>
      <c r="AH6" s="15">
        <v>22.419928825622801</v>
      </c>
      <c r="AI6" s="24">
        <v>44.4444444444444</v>
      </c>
      <c r="AJ6" s="38"/>
    </row>
    <row r="7" spans="1:36">
      <c r="A7" s="9" t="s">
        <v>156</v>
      </c>
      <c r="B7" s="36">
        <v>1.11469054239633</v>
      </c>
      <c r="C7" s="32">
        <v>0.99265512225854102</v>
      </c>
      <c r="D7" s="32">
        <v>1.1230337947181599</v>
      </c>
      <c r="E7" s="32">
        <v>2.0225713738781801</v>
      </c>
      <c r="F7" s="20" t="s">
        <v>80</v>
      </c>
      <c r="G7" s="20" t="s">
        <v>80</v>
      </c>
      <c r="H7" s="15">
        <v>10.8433734939759</v>
      </c>
      <c r="I7" s="20" t="s">
        <v>80</v>
      </c>
      <c r="J7" s="20" t="s">
        <v>80</v>
      </c>
      <c r="K7" s="20" t="s">
        <v>80</v>
      </c>
      <c r="L7" s="20" t="s">
        <v>80</v>
      </c>
      <c r="M7" s="20" t="s">
        <v>80</v>
      </c>
      <c r="N7" s="20" t="s">
        <v>80</v>
      </c>
      <c r="O7" s="20" t="s">
        <v>80</v>
      </c>
      <c r="P7" s="20" t="s">
        <v>80</v>
      </c>
      <c r="Q7" s="20" t="s">
        <v>80</v>
      </c>
      <c r="R7" s="20" t="s">
        <v>80</v>
      </c>
      <c r="S7" s="20" t="s">
        <v>80</v>
      </c>
      <c r="T7" s="20" t="s">
        <v>80</v>
      </c>
      <c r="U7" s="20" t="s">
        <v>80</v>
      </c>
      <c r="V7" s="20" t="s">
        <v>80</v>
      </c>
      <c r="W7" s="20" t="s">
        <v>80</v>
      </c>
      <c r="X7" s="20" t="s">
        <v>80</v>
      </c>
      <c r="Y7" s="20" t="s">
        <v>80</v>
      </c>
      <c r="Z7" s="20" t="s">
        <v>80</v>
      </c>
      <c r="AA7" s="34" t="s">
        <v>80</v>
      </c>
      <c r="AB7" s="20" t="s">
        <v>80</v>
      </c>
      <c r="AC7" s="20" t="s">
        <v>80</v>
      </c>
      <c r="AD7" s="15">
        <v>3.0042918454935599</v>
      </c>
      <c r="AE7" s="20" t="s">
        <v>80</v>
      </c>
      <c r="AF7" s="20" t="s">
        <v>80</v>
      </c>
      <c r="AG7" s="20" t="s">
        <v>80</v>
      </c>
      <c r="AH7" s="20" t="s">
        <v>80</v>
      </c>
      <c r="AI7" s="26" t="s">
        <v>80</v>
      </c>
      <c r="AJ7" s="38"/>
    </row>
    <row r="8" spans="1:36">
      <c r="A8" s="9" t="s">
        <v>157</v>
      </c>
      <c r="B8" s="36">
        <v>0.74390752112428904</v>
      </c>
      <c r="C8" s="32">
        <v>0.34839369310059398</v>
      </c>
      <c r="D8" s="34" t="s">
        <v>80</v>
      </c>
      <c r="E8" s="34" t="s">
        <v>80</v>
      </c>
      <c r="F8" s="20" t="s">
        <v>80</v>
      </c>
      <c r="G8" s="20" t="s">
        <v>80</v>
      </c>
      <c r="H8" s="20" t="s">
        <v>80</v>
      </c>
      <c r="I8" s="20" t="s">
        <v>80</v>
      </c>
      <c r="J8" s="20" t="s">
        <v>80</v>
      </c>
      <c r="K8" s="20" t="s">
        <v>80</v>
      </c>
      <c r="L8" s="20" t="s">
        <v>80</v>
      </c>
      <c r="M8" s="20" t="s">
        <v>80</v>
      </c>
      <c r="N8" s="20" t="s">
        <v>80</v>
      </c>
      <c r="O8" s="20" t="s">
        <v>80</v>
      </c>
      <c r="P8" s="20" t="s">
        <v>80</v>
      </c>
      <c r="Q8" s="20" t="s">
        <v>80</v>
      </c>
      <c r="R8" s="20" t="s">
        <v>80</v>
      </c>
      <c r="S8" s="20" t="s">
        <v>80</v>
      </c>
      <c r="T8" s="20" t="s">
        <v>80</v>
      </c>
      <c r="U8" s="20" t="s">
        <v>80</v>
      </c>
      <c r="V8" s="20" t="s">
        <v>80</v>
      </c>
      <c r="W8" s="20" t="s">
        <v>80</v>
      </c>
      <c r="X8" s="20" t="s">
        <v>80</v>
      </c>
      <c r="Y8" s="20" t="s">
        <v>80</v>
      </c>
      <c r="Z8" s="20" t="s">
        <v>80</v>
      </c>
      <c r="AA8" s="34" t="s">
        <v>80</v>
      </c>
      <c r="AB8" s="20" t="s">
        <v>80</v>
      </c>
      <c r="AC8" s="20" t="s">
        <v>80</v>
      </c>
      <c r="AD8" s="20" t="s">
        <v>80</v>
      </c>
      <c r="AE8" s="20" t="s">
        <v>80</v>
      </c>
      <c r="AF8" s="15">
        <v>0.66577896138481996</v>
      </c>
      <c r="AG8" s="20" t="s">
        <v>80</v>
      </c>
      <c r="AH8" s="20" t="s">
        <v>80</v>
      </c>
      <c r="AI8" s="26" t="s">
        <v>80</v>
      </c>
      <c r="AJ8" s="38"/>
    </row>
    <row r="9" spans="1:36">
      <c r="A9" s="9" t="s">
        <v>158</v>
      </c>
      <c r="B9" s="36">
        <v>0.93591155050893504</v>
      </c>
      <c r="C9" s="32">
        <v>0.71464423287554102</v>
      </c>
      <c r="D9" s="32">
        <v>0.88239737239677996</v>
      </c>
      <c r="E9" s="32">
        <v>1.4743821292677</v>
      </c>
      <c r="F9" s="20" t="s">
        <v>80</v>
      </c>
      <c r="G9" s="20" t="s">
        <v>80</v>
      </c>
      <c r="H9" s="15">
        <v>6.0240963855421699</v>
      </c>
      <c r="I9" s="20" t="s">
        <v>80</v>
      </c>
      <c r="J9" s="20" t="s">
        <v>80</v>
      </c>
      <c r="K9" s="20" t="s">
        <v>80</v>
      </c>
      <c r="L9" s="20" t="s">
        <v>80</v>
      </c>
      <c r="M9" s="20" t="s">
        <v>80</v>
      </c>
      <c r="N9" s="20" t="s">
        <v>80</v>
      </c>
      <c r="O9" s="20" t="s">
        <v>80</v>
      </c>
      <c r="P9" s="20" t="s">
        <v>80</v>
      </c>
      <c r="Q9" s="20" t="s">
        <v>80</v>
      </c>
      <c r="R9" s="20" t="s">
        <v>80</v>
      </c>
      <c r="S9" s="20" t="s">
        <v>80</v>
      </c>
      <c r="T9" s="20" t="s">
        <v>80</v>
      </c>
      <c r="U9" s="20" t="s">
        <v>80</v>
      </c>
      <c r="V9" s="20" t="s">
        <v>80</v>
      </c>
      <c r="W9" s="15">
        <v>10.2272727272727</v>
      </c>
      <c r="X9" s="20" t="s">
        <v>80</v>
      </c>
      <c r="Y9" s="20" t="s">
        <v>80</v>
      </c>
      <c r="Z9" s="20" t="s">
        <v>80</v>
      </c>
      <c r="AA9" s="34" t="s">
        <v>80</v>
      </c>
      <c r="AB9" s="20" t="s">
        <v>80</v>
      </c>
      <c r="AC9" s="20" t="s">
        <v>80</v>
      </c>
      <c r="AD9" s="20" t="s">
        <v>80</v>
      </c>
      <c r="AE9" s="20" t="s">
        <v>80</v>
      </c>
      <c r="AF9" s="20" t="s">
        <v>80</v>
      </c>
      <c r="AG9" s="20" t="s">
        <v>80</v>
      </c>
      <c r="AH9" s="20" t="s">
        <v>80</v>
      </c>
      <c r="AI9" s="26" t="s">
        <v>80</v>
      </c>
      <c r="AJ9" s="38"/>
    </row>
    <row r="10" spans="1:36">
      <c r="A10" s="9" t="s">
        <v>159</v>
      </c>
      <c r="B10" s="36">
        <v>1.2446848439082601</v>
      </c>
      <c r="C10" s="32">
        <v>1.04400763361938</v>
      </c>
      <c r="D10" s="32">
        <v>1.7152263793239799</v>
      </c>
      <c r="E10" s="32">
        <v>2.8761770394819099</v>
      </c>
      <c r="F10" s="20" t="s">
        <v>80</v>
      </c>
      <c r="G10" s="20" t="s">
        <v>80</v>
      </c>
      <c r="H10" s="15">
        <v>38.554216867469897</v>
      </c>
      <c r="I10" s="20" t="s">
        <v>80</v>
      </c>
      <c r="J10" s="20" t="s">
        <v>80</v>
      </c>
      <c r="K10" s="20" t="s">
        <v>80</v>
      </c>
      <c r="L10" s="20" t="s">
        <v>80</v>
      </c>
      <c r="M10" s="20" t="s">
        <v>80</v>
      </c>
      <c r="N10" s="20" t="s">
        <v>80</v>
      </c>
      <c r="O10" s="20" t="s">
        <v>80</v>
      </c>
      <c r="P10" s="20" t="s">
        <v>80</v>
      </c>
      <c r="Q10" s="20" t="s">
        <v>80</v>
      </c>
      <c r="R10" s="20" t="s">
        <v>80</v>
      </c>
      <c r="S10" s="20" t="s">
        <v>80</v>
      </c>
      <c r="T10" s="15">
        <v>9.7222222222222197</v>
      </c>
      <c r="U10" s="20" t="s">
        <v>80</v>
      </c>
      <c r="V10" s="20" t="s">
        <v>80</v>
      </c>
      <c r="W10" s="20" t="s">
        <v>80</v>
      </c>
      <c r="X10" s="20" t="s">
        <v>80</v>
      </c>
      <c r="Y10" s="20" t="s">
        <v>80</v>
      </c>
      <c r="Z10" s="20" t="s">
        <v>80</v>
      </c>
      <c r="AA10" s="34" t="s">
        <v>80</v>
      </c>
      <c r="AB10" s="20" t="s">
        <v>80</v>
      </c>
      <c r="AC10" s="20" t="s">
        <v>80</v>
      </c>
      <c r="AD10" s="20" t="s">
        <v>80</v>
      </c>
      <c r="AE10" s="20" t="s">
        <v>80</v>
      </c>
      <c r="AF10" s="20" t="s">
        <v>80</v>
      </c>
      <c r="AG10" s="15">
        <v>2.9315960912052099</v>
      </c>
      <c r="AH10" s="20" t="s">
        <v>80</v>
      </c>
      <c r="AI10" s="26" t="s">
        <v>80</v>
      </c>
      <c r="AJ10" s="38"/>
    </row>
    <row r="11" spans="1:36">
      <c r="A11" s="9" t="s">
        <v>160</v>
      </c>
      <c r="B11" s="36">
        <v>1.5255837415087501</v>
      </c>
      <c r="C11" s="32">
        <v>1.0771688728947999</v>
      </c>
      <c r="D11" s="32">
        <v>1.1034778504335701</v>
      </c>
      <c r="E11" s="32">
        <v>1.8027755964347201</v>
      </c>
      <c r="F11" s="15">
        <v>7.3770491803278704</v>
      </c>
      <c r="G11" s="20" t="s">
        <v>80</v>
      </c>
      <c r="H11" s="20" t="s">
        <v>80</v>
      </c>
      <c r="I11" s="20" t="s">
        <v>80</v>
      </c>
      <c r="J11" s="20" t="s">
        <v>80</v>
      </c>
      <c r="K11" s="15">
        <v>25</v>
      </c>
      <c r="L11" s="20" t="s">
        <v>80</v>
      </c>
      <c r="M11" s="20" t="s">
        <v>80</v>
      </c>
      <c r="N11" s="20" t="s">
        <v>80</v>
      </c>
      <c r="O11" s="15">
        <v>12.280701754386</v>
      </c>
      <c r="P11" s="20" t="s">
        <v>80</v>
      </c>
      <c r="Q11" s="20" t="s">
        <v>80</v>
      </c>
      <c r="R11" s="20" t="s">
        <v>80</v>
      </c>
      <c r="S11" s="20" t="s">
        <v>80</v>
      </c>
      <c r="T11" s="20" t="s">
        <v>80</v>
      </c>
      <c r="U11" s="20" t="s">
        <v>80</v>
      </c>
      <c r="V11" s="20" t="s">
        <v>80</v>
      </c>
      <c r="W11" s="15">
        <v>6.8181818181818201</v>
      </c>
      <c r="X11" s="20" t="s">
        <v>80</v>
      </c>
      <c r="Y11" s="15">
        <v>7.7419354838709697</v>
      </c>
      <c r="Z11" s="20" t="s">
        <v>80</v>
      </c>
      <c r="AA11" s="34" t="s">
        <v>80</v>
      </c>
      <c r="AB11" s="20" t="s">
        <v>80</v>
      </c>
      <c r="AC11" s="15">
        <v>2.20820189274448</v>
      </c>
      <c r="AD11" s="20" t="s">
        <v>80</v>
      </c>
      <c r="AE11" s="20" t="s">
        <v>80</v>
      </c>
      <c r="AF11" s="20" t="s">
        <v>80</v>
      </c>
      <c r="AG11" s="20" t="s">
        <v>80</v>
      </c>
      <c r="AH11" s="20" t="s">
        <v>80</v>
      </c>
      <c r="AI11" s="26" t="s">
        <v>80</v>
      </c>
      <c r="AJ11" s="38"/>
    </row>
    <row r="12" spans="1:36">
      <c r="A12" s="9" t="s">
        <v>161</v>
      </c>
      <c r="B12" s="36">
        <v>0.79365793232437898</v>
      </c>
      <c r="C12" s="32">
        <v>0.50960545448690098</v>
      </c>
      <c r="D12" s="32">
        <v>0.58901290523193195</v>
      </c>
      <c r="E12" s="34" t="s">
        <v>80</v>
      </c>
      <c r="F12" s="20" t="s">
        <v>80</v>
      </c>
      <c r="G12" s="20" t="s">
        <v>80</v>
      </c>
      <c r="H12" s="20" t="s">
        <v>80</v>
      </c>
      <c r="I12" s="20" t="s">
        <v>80</v>
      </c>
      <c r="J12" s="20" t="s">
        <v>80</v>
      </c>
      <c r="K12" s="20" t="s">
        <v>80</v>
      </c>
      <c r="L12" s="20" t="s">
        <v>80</v>
      </c>
      <c r="M12" s="20" t="s">
        <v>80</v>
      </c>
      <c r="N12" s="20" t="s">
        <v>80</v>
      </c>
      <c r="O12" s="20" t="s">
        <v>80</v>
      </c>
      <c r="P12" s="20" t="s">
        <v>80</v>
      </c>
      <c r="Q12" s="20" t="s">
        <v>80</v>
      </c>
      <c r="R12" s="20" t="s">
        <v>80</v>
      </c>
      <c r="S12" s="20" t="s">
        <v>80</v>
      </c>
      <c r="T12" s="20" t="s">
        <v>80</v>
      </c>
      <c r="U12" s="20" t="s">
        <v>80</v>
      </c>
      <c r="V12" s="20" t="s">
        <v>80</v>
      </c>
      <c r="W12" s="20" t="s">
        <v>80</v>
      </c>
      <c r="X12" s="20" t="s">
        <v>80</v>
      </c>
      <c r="Y12" s="20" t="s">
        <v>80</v>
      </c>
      <c r="Z12" s="20" t="s">
        <v>80</v>
      </c>
      <c r="AA12" s="34" t="s">
        <v>80</v>
      </c>
      <c r="AB12" s="20" t="s">
        <v>80</v>
      </c>
      <c r="AC12" s="20" t="s">
        <v>80</v>
      </c>
      <c r="AD12" s="20" t="s">
        <v>80</v>
      </c>
      <c r="AE12" s="20" t="s">
        <v>80</v>
      </c>
      <c r="AF12" s="20" t="s">
        <v>80</v>
      </c>
      <c r="AG12" s="20" t="s">
        <v>80</v>
      </c>
      <c r="AH12" s="20" t="s">
        <v>80</v>
      </c>
      <c r="AI12" s="26" t="s">
        <v>80</v>
      </c>
      <c r="AJ12" s="38"/>
    </row>
    <row r="13" spans="1:36">
      <c r="A13" s="9" t="s">
        <v>162</v>
      </c>
      <c r="B13" s="36">
        <v>0.82747420445404496</v>
      </c>
      <c r="C13" s="32">
        <v>0.66449403247837402</v>
      </c>
      <c r="D13" s="32">
        <v>0.81221791892796003</v>
      </c>
      <c r="E13" s="34" t="s">
        <v>80</v>
      </c>
      <c r="F13" s="20" t="s">
        <v>80</v>
      </c>
      <c r="G13" s="20" t="s">
        <v>80</v>
      </c>
      <c r="H13" s="20" t="s">
        <v>80</v>
      </c>
      <c r="I13" s="20" t="s">
        <v>80</v>
      </c>
      <c r="J13" s="20" t="s">
        <v>80</v>
      </c>
      <c r="K13" s="20" t="s">
        <v>80</v>
      </c>
      <c r="L13" s="20" t="s">
        <v>80</v>
      </c>
      <c r="M13" s="20" t="s">
        <v>80</v>
      </c>
      <c r="N13" s="20" t="s">
        <v>80</v>
      </c>
      <c r="O13" s="20" t="s">
        <v>80</v>
      </c>
      <c r="P13" s="20" t="s">
        <v>80</v>
      </c>
      <c r="Q13" s="20" t="s">
        <v>80</v>
      </c>
      <c r="R13" s="20" t="s">
        <v>80</v>
      </c>
      <c r="S13" s="20" t="s">
        <v>80</v>
      </c>
      <c r="T13" s="20" t="s">
        <v>80</v>
      </c>
      <c r="U13" s="20" t="s">
        <v>80</v>
      </c>
      <c r="V13" s="20" t="s">
        <v>80</v>
      </c>
      <c r="W13" s="20" t="s">
        <v>80</v>
      </c>
      <c r="X13" s="20" t="s">
        <v>80</v>
      </c>
      <c r="Y13" s="20" t="s">
        <v>80</v>
      </c>
      <c r="Z13" s="20" t="s">
        <v>80</v>
      </c>
      <c r="AA13" s="34" t="s">
        <v>80</v>
      </c>
      <c r="AB13" s="20" t="s">
        <v>80</v>
      </c>
      <c r="AC13" s="20" t="s">
        <v>80</v>
      </c>
      <c r="AD13" s="20" t="s">
        <v>80</v>
      </c>
      <c r="AE13" s="15">
        <v>2.2653721682847898</v>
      </c>
      <c r="AF13" s="15">
        <v>0.66577896138481996</v>
      </c>
      <c r="AG13" s="20" t="s">
        <v>80</v>
      </c>
      <c r="AH13" s="20" t="s">
        <v>80</v>
      </c>
      <c r="AI13" s="26" t="s">
        <v>80</v>
      </c>
      <c r="AJ13" s="38"/>
    </row>
    <row r="14" spans="1:36">
      <c r="A14" s="9" t="s">
        <v>163</v>
      </c>
      <c r="B14" s="36">
        <v>2.0447968472935401</v>
      </c>
      <c r="C14" s="32">
        <v>2.0283379860994599</v>
      </c>
      <c r="D14" s="32">
        <v>2.1673061772792899</v>
      </c>
      <c r="E14" s="32">
        <v>3.1115635027524702</v>
      </c>
      <c r="F14" s="15">
        <v>4.9180327868852496</v>
      </c>
      <c r="G14" s="20" t="s">
        <v>80</v>
      </c>
      <c r="H14" s="15">
        <v>7.2289156626505999</v>
      </c>
      <c r="I14" s="20" t="s">
        <v>80</v>
      </c>
      <c r="J14" s="20" t="s">
        <v>80</v>
      </c>
      <c r="K14" s="15">
        <v>16.6666666666667</v>
      </c>
      <c r="L14" s="20" t="s">
        <v>80</v>
      </c>
      <c r="M14" s="20" t="s">
        <v>80</v>
      </c>
      <c r="N14" s="20" t="s">
        <v>80</v>
      </c>
      <c r="O14" s="15">
        <v>8.7719298245614006</v>
      </c>
      <c r="P14" s="20" t="s">
        <v>80</v>
      </c>
      <c r="Q14" s="20" t="s">
        <v>80</v>
      </c>
      <c r="R14" s="20" t="s">
        <v>80</v>
      </c>
      <c r="S14" s="20" t="s">
        <v>80</v>
      </c>
      <c r="T14" s="20" t="s">
        <v>80</v>
      </c>
      <c r="U14" s="20" t="s">
        <v>80</v>
      </c>
      <c r="V14" s="20" t="s">
        <v>80</v>
      </c>
      <c r="W14" s="15">
        <v>5.6818181818181799</v>
      </c>
      <c r="X14" s="20" t="s">
        <v>80</v>
      </c>
      <c r="Y14" s="15">
        <v>16.129032258064498</v>
      </c>
      <c r="Z14" s="20" t="s">
        <v>80</v>
      </c>
      <c r="AA14" s="32">
        <v>1.3822469247046301</v>
      </c>
      <c r="AB14" s="20" t="s">
        <v>80</v>
      </c>
      <c r="AC14" s="20" t="s">
        <v>80</v>
      </c>
      <c r="AD14" s="20" t="s">
        <v>80</v>
      </c>
      <c r="AE14" s="20" t="s">
        <v>80</v>
      </c>
      <c r="AF14" s="20" t="s">
        <v>80</v>
      </c>
      <c r="AG14" s="15">
        <v>2.9315960912052099</v>
      </c>
      <c r="AH14" s="20" t="s">
        <v>80</v>
      </c>
      <c r="AI14" s="26" t="s">
        <v>80</v>
      </c>
      <c r="AJ14" s="38"/>
    </row>
    <row r="15" spans="1:36">
      <c r="A15" s="9" t="s">
        <v>164</v>
      </c>
      <c r="B15" s="36">
        <v>9.9123946879888294</v>
      </c>
      <c r="C15" s="32">
        <v>11.314123937646899</v>
      </c>
      <c r="D15" s="32">
        <v>9.9341031239360298</v>
      </c>
      <c r="E15" s="32">
        <v>11.355928198191499</v>
      </c>
      <c r="F15" s="15">
        <v>9.0163934426229506</v>
      </c>
      <c r="G15" s="20" t="s">
        <v>80</v>
      </c>
      <c r="H15" s="15">
        <v>21.6867469879518</v>
      </c>
      <c r="I15" s="20" t="s">
        <v>80</v>
      </c>
      <c r="J15" s="15">
        <v>30.3571428571429</v>
      </c>
      <c r="K15" s="20" t="s">
        <v>80</v>
      </c>
      <c r="L15" s="15">
        <v>5.8252427184466002</v>
      </c>
      <c r="M15" s="15">
        <v>7.4074074074074101</v>
      </c>
      <c r="N15" s="15">
        <v>16.9491525423729</v>
      </c>
      <c r="O15" s="15">
        <v>8.7719298245614006</v>
      </c>
      <c r="P15" s="15">
        <v>12.1951219512195</v>
      </c>
      <c r="Q15" s="15">
        <v>31.2883435582822</v>
      </c>
      <c r="R15" s="15">
        <v>10.2272727272727</v>
      </c>
      <c r="S15" s="15">
        <v>20.270270270270299</v>
      </c>
      <c r="T15" s="15">
        <v>9.7222222222222197</v>
      </c>
      <c r="U15" s="20" t="s">
        <v>80</v>
      </c>
      <c r="V15" s="15">
        <v>24.324324324324301</v>
      </c>
      <c r="W15" s="15">
        <v>42.045454545454497</v>
      </c>
      <c r="X15" s="15">
        <v>2.7173913043478302</v>
      </c>
      <c r="Y15" s="15">
        <v>9.0322580645161299</v>
      </c>
      <c r="Z15" s="15">
        <v>4.3859649122807003</v>
      </c>
      <c r="AA15" s="32">
        <v>8.7519921675528192</v>
      </c>
      <c r="AB15" s="15">
        <v>15.4838709677419</v>
      </c>
      <c r="AC15" s="15">
        <v>16.0883280757098</v>
      </c>
      <c r="AD15" s="15">
        <v>3.8626609442060098</v>
      </c>
      <c r="AE15" s="15">
        <v>16.1812297734628</v>
      </c>
      <c r="AF15" s="15">
        <v>7.5898801597869499</v>
      </c>
      <c r="AG15" s="15">
        <v>9.1205211726384405</v>
      </c>
      <c r="AH15" s="15">
        <v>16.3701067615658</v>
      </c>
      <c r="AI15" s="26" t="s">
        <v>80</v>
      </c>
      <c r="AJ15" s="38"/>
    </row>
    <row r="16" spans="1:36">
      <c r="A16" s="9" t="s">
        <v>165</v>
      </c>
      <c r="B16" s="36">
        <v>0.37203131627804897</v>
      </c>
      <c r="C16" s="32">
        <v>0.65337019641155103</v>
      </c>
      <c r="D16" s="32">
        <v>1.29857984177624</v>
      </c>
      <c r="E16" s="32">
        <v>2.57782266680154</v>
      </c>
      <c r="F16" s="20" t="s">
        <v>80</v>
      </c>
      <c r="G16" s="20" t="s">
        <v>80</v>
      </c>
      <c r="H16" s="15">
        <v>31.325301204819301</v>
      </c>
      <c r="I16" s="20" t="s">
        <v>80</v>
      </c>
      <c r="J16" s="20" t="s">
        <v>80</v>
      </c>
      <c r="K16" s="20" t="s">
        <v>80</v>
      </c>
      <c r="L16" s="20" t="s">
        <v>80</v>
      </c>
      <c r="M16" s="20" t="s">
        <v>80</v>
      </c>
      <c r="N16" s="20" t="s">
        <v>80</v>
      </c>
      <c r="O16" s="20" t="s">
        <v>80</v>
      </c>
      <c r="P16" s="20" t="s">
        <v>80</v>
      </c>
      <c r="Q16" s="20" t="s">
        <v>80</v>
      </c>
      <c r="R16" s="20" t="s">
        <v>80</v>
      </c>
      <c r="S16" s="20" t="s">
        <v>80</v>
      </c>
      <c r="T16" s="20" t="s">
        <v>80</v>
      </c>
      <c r="U16" s="20" t="s">
        <v>80</v>
      </c>
      <c r="V16" s="20" t="s">
        <v>80</v>
      </c>
      <c r="W16" s="15">
        <v>11.363636363636401</v>
      </c>
      <c r="X16" s="20" t="s">
        <v>80</v>
      </c>
      <c r="Y16" s="20" t="s">
        <v>80</v>
      </c>
      <c r="Z16" s="20" t="s">
        <v>80</v>
      </c>
      <c r="AA16" s="34" t="s">
        <v>80</v>
      </c>
      <c r="AB16" s="20" t="s">
        <v>80</v>
      </c>
      <c r="AC16" s="20" t="s">
        <v>80</v>
      </c>
      <c r="AD16" s="20" t="s">
        <v>80</v>
      </c>
      <c r="AE16" s="20" t="s">
        <v>80</v>
      </c>
      <c r="AF16" s="20" t="s">
        <v>80</v>
      </c>
      <c r="AG16" s="20" t="s">
        <v>80</v>
      </c>
      <c r="AH16" s="20" t="s">
        <v>80</v>
      </c>
      <c r="AI16" s="26" t="s">
        <v>80</v>
      </c>
      <c r="AJ16" s="38"/>
    </row>
    <row r="17" spans="1:36">
      <c r="A17" s="9" t="s">
        <v>166</v>
      </c>
      <c r="B17" s="36">
        <v>2.41239215565317</v>
      </c>
      <c r="C17" s="32">
        <v>2.5078551425840598</v>
      </c>
      <c r="D17" s="32">
        <v>2.78865817748011</v>
      </c>
      <c r="E17" s="32">
        <v>4.9220610878168198</v>
      </c>
      <c r="F17" s="20" t="s">
        <v>80</v>
      </c>
      <c r="G17" s="20" t="s">
        <v>80</v>
      </c>
      <c r="H17" s="15">
        <v>20.481927710843401</v>
      </c>
      <c r="I17" s="20" t="s">
        <v>80</v>
      </c>
      <c r="J17" s="15">
        <v>14.285714285714301</v>
      </c>
      <c r="K17" s="15">
        <v>33.3333333333333</v>
      </c>
      <c r="L17" s="20" t="s">
        <v>80</v>
      </c>
      <c r="M17" s="20" t="s">
        <v>80</v>
      </c>
      <c r="N17" s="20" t="s">
        <v>80</v>
      </c>
      <c r="O17" s="20" t="s">
        <v>80</v>
      </c>
      <c r="P17" s="15">
        <v>6.0975609756097597</v>
      </c>
      <c r="Q17" s="15">
        <v>4.9079754601227004</v>
      </c>
      <c r="R17" s="15">
        <v>5.6818181818181799</v>
      </c>
      <c r="S17" s="20" t="s">
        <v>80</v>
      </c>
      <c r="T17" s="20" t="s">
        <v>80</v>
      </c>
      <c r="U17" s="20" t="s">
        <v>80</v>
      </c>
      <c r="V17" s="15">
        <v>6.7567567567567597</v>
      </c>
      <c r="W17" s="15">
        <v>19.318181818181799</v>
      </c>
      <c r="X17" s="20" t="s">
        <v>80</v>
      </c>
      <c r="Y17" s="20" t="s">
        <v>80</v>
      </c>
      <c r="Z17" s="20" t="s">
        <v>80</v>
      </c>
      <c r="AA17" s="32">
        <v>1.0149386107399201</v>
      </c>
      <c r="AB17" s="20" t="s">
        <v>80</v>
      </c>
      <c r="AC17" s="20" t="s">
        <v>80</v>
      </c>
      <c r="AD17" s="15">
        <v>8.1545064377682408</v>
      </c>
      <c r="AE17" s="20" t="s">
        <v>80</v>
      </c>
      <c r="AF17" s="15">
        <v>0.66577896138481996</v>
      </c>
      <c r="AG17" s="20" t="s">
        <v>80</v>
      </c>
      <c r="AH17" s="20" t="s">
        <v>80</v>
      </c>
      <c r="AI17" s="24">
        <v>27.7777777777778</v>
      </c>
      <c r="AJ17" s="38"/>
    </row>
    <row r="18" spans="1:36">
      <c r="A18" s="9" t="s">
        <v>167</v>
      </c>
      <c r="B18" s="36">
        <v>7.6260250310764901</v>
      </c>
      <c r="C18" s="32">
        <v>6.49683537459065</v>
      </c>
      <c r="D18" s="32">
        <v>7.8042167656183601</v>
      </c>
      <c r="E18" s="32">
        <v>13.862470210575699</v>
      </c>
      <c r="F18" s="15">
        <v>9.8360655737704903</v>
      </c>
      <c r="G18" s="20" t="s">
        <v>80</v>
      </c>
      <c r="H18" s="15">
        <v>50.602409638554199</v>
      </c>
      <c r="I18" s="20" t="s">
        <v>80</v>
      </c>
      <c r="J18" s="15">
        <v>23.214285714285701</v>
      </c>
      <c r="K18" s="20" t="s">
        <v>80</v>
      </c>
      <c r="L18" s="20" t="s">
        <v>80</v>
      </c>
      <c r="M18" s="15">
        <v>13.580246913580201</v>
      </c>
      <c r="N18" s="15">
        <v>15.254237288135601</v>
      </c>
      <c r="O18" s="20" t="s">
        <v>80</v>
      </c>
      <c r="P18" s="15">
        <v>10.975609756097599</v>
      </c>
      <c r="Q18" s="15">
        <v>7.9754601226993902</v>
      </c>
      <c r="R18" s="15">
        <v>7.9545454545454497</v>
      </c>
      <c r="S18" s="15">
        <v>21.6216216216216</v>
      </c>
      <c r="T18" s="15">
        <v>19.4444444444444</v>
      </c>
      <c r="U18" s="15">
        <v>6.5573770491803298</v>
      </c>
      <c r="V18" s="20" t="s">
        <v>80</v>
      </c>
      <c r="W18" s="15">
        <v>31.818181818181799</v>
      </c>
      <c r="X18" s="20" t="s">
        <v>80</v>
      </c>
      <c r="Y18" s="15">
        <v>17.419354838709701</v>
      </c>
      <c r="Z18" s="15">
        <v>4.3859649122807003</v>
      </c>
      <c r="AA18" s="32">
        <v>2.7673610345571502</v>
      </c>
      <c r="AB18" s="15">
        <v>10.322580645161301</v>
      </c>
      <c r="AC18" s="15">
        <v>4.41640378548896</v>
      </c>
      <c r="AD18" s="20" t="s">
        <v>80</v>
      </c>
      <c r="AE18" s="15">
        <v>4.5307443365695796</v>
      </c>
      <c r="AF18" s="15">
        <v>1.59786950732357</v>
      </c>
      <c r="AG18" s="15">
        <v>5.5374592833876202</v>
      </c>
      <c r="AH18" s="15">
        <v>2.1352313167259802</v>
      </c>
      <c r="AI18" s="26" t="s">
        <v>80</v>
      </c>
      <c r="AJ18" s="38"/>
    </row>
    <row r="19" spans="1:36">
      <c r="A19" s="9" t="s">
        <v>168</v>
      </c>
      <c r="B19" s="36">
        <v>13.444610326324</v>
      </c>
      <c r="C19" s="32">
        <v>13.6645804119059</v>
      </c>
      <c r="D19" s="32">
        <v>14.492976843818999</v>
      </c>
      <c r="E19" s="32">
        <v>18.486969459960001</v>
      </c>
      <c r="F19" s="15">
        <v>24.590163934426201</v>
      </c>
      <c r="G19" s="20" t="s">
        <v>80</v>
      </c>
      <c r="H19" s="15">
        <v>27.710843373494001</v>
      </c>
      <c r="I19" s="20" t="s">
        <v>80</v>
      </c>
      <c r="J19" s="15">
        <v>48.214285714285701</v>
      </c>
      <c r="K19" s="15">
        <v>52.7777777777778</v>
      </c>
      <c r="L19" s="15">
        <v>8.7378640776699008</v>
      </c>
      <c r="M19" s="15">
        <v>22.2222222222222</v>
      </c>
      <c r="N19" s="15">
        <v>22.033898305084701</v>
      </c>
      <c r="O19" s="15">
        <v>26.315789473684202</v>
      </c>
      <c r="P19" s="15">
        <v>13.4146341463415</v>
      </c>
      <c r="Q19" s="15">
        <v>7.3619631901840501</v>
      </c>
      <c r="R19" s="20" t="s">
        <v>80</v>
      </c>
      <c r="S19" s="15">
        <v>21.6216216216216</v>
      </c>
      <c r="T19" s="15">
        <v>23.6111111111111</v>
      </c>
      <c r="U19" s="15">
        <v>14.7540983606557</v>
      </c>
      <c r="V19" s="15">
        <v>32.4324324324324</v>
      </c>
      <c r="W19" s="15">
        <v>22.727272727272702</v>
      </c>
      <c r="X19" s="15">
        <v>4.3478260869565197</v>
      </c>
      <c r="Y19" s="15">
        <v>14.193548387096801</v>
      </c>
      <c r="Z19" s="15">
        <v>4.3859649122807003</v>
      </c>
      <c r="AA19" s="32">
        <v>11.172355681102299</v>
      </c>
      <c r="AB19" s="15">
        <v>18.064516129032299</v>
      </c>
      <c r="AC19" s="15">
        <v>7.2555205047318596</v>
      </c>
      <c r="AD19" s="15">
        <v>24.463519313304701</v>
      </c>
      <c r="AE19" s="15">
        <v>14.2394822006473</v>
      </c>
      <c r="AF19" s="15">
        <v>10.6524633821571</v>
      </c>
      <c r="AG19" s="15">
        <v>6.5146579804560298</v>
      </c>
      <c r="AH19" s="15">
        <v>4.9822064056939501</v>
      </c>
      <c r="AI19" s="26" t="s">
        <v>80</v>
      </c>
      <c r="AJ19" s="38"/>
    </row>
    <row r="20" spans="1:36">
      <c r="A20" s="9" t="s">
        <v>169</v>
      </c>
      <c r="B20" s="36">
        <v>0.46537175562595501</v>
      </c>
      <c r="C20" s="32">
        <v>0.39205599649332301</v>
      </c>
      <c r="D20" s="34" t="s">
        <v>80</v>
      </c>
      <c r="E20" s="34" t="s">
        <v>80</v>
      </c>
      <c r="F20" s="20" t="s">
        <v>80</v>
      </c>
      <c r="G20" s="20" t="s">
        <v>80</v>
      </c>
      <c r="H20" s="20" t="s">
        <v>80</v>
      </c>
      <c r="I20" s="20" t="s">
        <v>80</v>
      </c>
      <c r="J20" s="20" t="s">
        <v>80</v>
      </c>
      <c r="K20" s="20" t="s">
        <v>80</v>
      </c>
      <c r="L20" s="20" t="s">
        <v>80</v>
      </c>
      <c r="M20" s="20" t="s">
        <v>80</v>
      </c>
      <c r="N20" s="20" t="s">
        <v>80</v>
      </c>
      <c r="O20" s="20" t="s">
        <v>80</v>
      </c>
      <c r="P20" s="20" t="s">
        <v>80</v>
      </c>
      <c r="Q20" s="20" t="s">
        <v>80</v>
      </c>
      <c r="R20" s="20" t="s">
        <v>80</v>
      </c>
      <c r="S20" s="20" t="s">
        <v>80</v>
      </c>
      <c r="T20" s="20" t="s">
        <v>80</v>
      </c>
      <c r="U20" s="20" t="s">
        <v>80</v>
      </c>
      <c r="V20" s="20" t="s">
        <v>80</v>
      </c>
      <c r="W20" s="20" t="s">
        <v>80</v>
      </c>
      <c r="X20" s="20" t="s">
        <v>80</v>
      </c>
      <c r="Y20" s="20" t="s">
        <v>80</v>
      </c>
      <c r="Z20" s="20" t="s">
        <v>80</v>
      </c>
      <c r="AA20" s="34" t="s">
        <v>80</v>
      </c>
      <c r="AB20" s="20" t="s">
        <v>80</v>
      </c>
      <c r="AC20" s="20" t="s">
        <v>80</v>
      </c>
      <c r="AD20" s="20" t="s">
        <v>80</v>
      </c>
      <c r="AE20" s="20" t="s">
        <v>80</v>
      </c>
      <c r="AF20" s="20" t="s">
        <v>80</v>
      </c>
      <c r="AG20" s="20" t="s">
        <v>80</v>
      </c>
      <c r="AH20" s="20" t="s">
        <v>80</v>
      </c>
      <c r="AI20" s="26" t="s">
        <v>80</v>
      </c>
      <c r="AJ20" s="38"/>
    </row>
    <row r="21" spans="1:36">
      <c r="A21" s="9" t="s">
        <v>170</v>
      </c>
      <c r="B21" s="36">
        <v>5.0151953745656197</v>
      </c>
      <c r="C21" s="32">
        <v>5.0388810987608803</v>
      </c>
      <c r="D21" s="32">
        <v>4.0405615902901504</v>
      </c>
      <c r="E21" s="32">
        <v>5.6229770034870503</v>
      </c>
      <c r="F21" s="20" t="s">
        <v>80</v>
      </c>
      <c r="G21" s="20" t="s">
        <v>80</v>
      </c>
      <c r="H21" s="20" t="s">
        <v>80</v>
      </c>
      <c r="I21" s="20" t="s">
        <v>80</v>
      </c>
      <c r="J21" s="20" t="s">
        <v>80</v>
      </c>
      <c r="K21" s="20" t="s">
        <v>80</v>
      </c>
      <c r="L21" s="15">
        <v>5.8252427184466002</v>
      </c>
      <c r="M21" s="20" t="s">
        <v>80</v>
      </c>
      <c r="N21" s="20" t="s">
        <v>80</v>
      </c>
      <c r="O21" s="20" t="s">
        <v>80</v>
      </c>
      <c r="P21" s="15">
        <v>10.975609756097599</v>
      </c>
      <c r="Q21" s="20" t="s">
        <v>80</v>
      </c>
      <c r="R21" s="20" t="s">
        <v>80</v>
      </c>
      <c r="S21" s="20" t="s">
        <v>80</v>
      </c>
      <c r="T21" s="20" t="s">
        <v>80</v>
      </c>
      <c r="U21" s="20" t="s">
        <v>80</v>
      </c>
      <c r="V21" s="15">
        <v>16.2162162162162</v>
      </c>
      <c r="W21" s="15">
        <v>26.136363636363601</v>
      </c>
      <c r="X21" s="15">
        <v>15.7608695652174</v>
      </c>
      <c r="Y21" s="15">
        <v>20.645161290322601</v>
      </c>
      <c r="Z21" s="15">
        <v>4.3859649122807003</v>
      </c>
      <c r="AA21" s="32">
        <v>2.7249351947793099</v>
      </c>
      <c r="AB21" s="20" t="s">
        <v>80</v>
      </c>
      <c r="AC21" s="15">
        <v>12.3028391167192</v>
      </c>
      <c r="AD21" s="15">
        <v>3.0042918454935599</v>
      </c>
      <c r="AE21" s="20" t="s">
        <v>80</v>
      </c>
      <c r="AF21" s="15">
        <v>4.5272969374167804</v>
      </c>
      <c r="AG21" s="20" t="s">
        <v>80</v>
      </c>
      <c r="AH21" s="15">
        <v>8.1850533807829198</v>
      </c>
      <c r="AI21" s="26" t="s">
        <v>80</v>
      </c>
      <c r="AJ21" s="38"/>
    </row>
    <row r="22" spans="1:36">
      <c r="A22" s="9" t="s">
        <v>171</v>
      </c>
      <c r="B22" s="36">
        <v>0.34575010849183002</v>
      </c>
      <c r="C22" s="32">
        <v>0.29777393610707098</v>
      </c>
      <c r="D22" s="34" t="s">
        <v>80</v>
      </c>
      <c r="E22" s="34" t="s">
        <v>80</v>
      </c>
      <c r="F22" s="20" t="s">
        <v>80</v>
      </c>
      <c r="G22" s="20" t="s">
        <v>80</v>
      </c>
      <c r="H22" s="20" t="s">
        <v>80</v>
      </c>
      <c r="I22" s="20" t="s">
        <v>80</v>
      </c>
      <c r="J22" s="20" t="s">
        <v>80</v>
      </c>
      <c r="K22" s="20" t="s">
        <v>80</v>
      </c>
      <c r="L22" s="20" t="s">
        <v>80</v>
      </c>
      <c r="M22" s="20" t="s">
        <v>80</v>
      </c>
      <c r="N22" s="20" t="s">
        <v>80</v>
      </c>
      <c r="O22" s="20" t="s">
        <v>80</v>
      </c>
      <c r="P22" s="20" t="s">
        <v>80</v>
      </c>
      <c r="Q22" s="20" t="s">
        <v>80</v>
      </c>
      <c r="R22" s="20" t="s">
        <v>80</v>
      </c>
      <c r="S22" s="20" t="s">
        <v>80</v>
      </c>
      <c r="T22" s="20" t="s">
        <v>80</v>
      </c>
      <c r="U22" s="20" t="s">
        <v>80</v>
      </c>
      <c r="V22" s="20" t="s">
        <v>80</v>
      </c>
      <c r="W22" s="20" t="s">
        <v>80</v>
      </c>
      <c r="X22" s="20" t="s">
        <v>80</v>
      </c>
      <c r="Y22" s="20" t="s">
        <v>80</v>
      </c>
      <c r="Z22" s="20" t="s">
        <v>80</v>
      </c>
      <c r="AA22" s="34" t="s">
        <v>80</v>
      </c>
      <c r="AB22" s="20" t="s">
        <v>80</v>
      </c>
      <c r="AC22" s="20" t="s">
        <v>80</v>
      </c>
      <c r="AD22" s="20" t="s">
        <v>80</v>
      </c>
      <c r="AE22" s="20" t="s">
        <v>80</v>
      </c>
      <c r="AF22" s="20" t="s">
        <v>80</v>
      </c>
      <c r="AG22" s="20" t="s">
        <v>80</v>
      </c>
      <c r="AH22" s="20" t="s">
        <v>80</v>
      </c>
      <c r="AI22" s="26" t="s">
        <v>80</v>
      </c>
      <c r="AJ22" s="38"/>
    </row>
    <row r="23" spans="1:36">
      <c r="A23" s="9" t="s">
        <v>172</v>
      </c>
      <c r="B23" s="36">
        <v>5.9219482303521298</v>
      </c>
      <c r="C23" s="32">
        <v>5.8248496999331598</v>
      </c>
      <c r="D23" s="32">
        <v>6.3691180280745501</v>
      </c>
      <c r="E23" s="32">
        <v>9.9766597028017099</v>
      </c>
      <c r="F23" s="15">
        <v>6.5573770491803298</v>
      </c>
      <c r="G23" s="20" t="s">
        <v>80</v>
      </c>
      <c r="H23" s="15">
        <v>43.3734939759036</v>
      </c>
      <c r="I23" s="20" t="s">
        <v>80</v>
      </c>
      <c r="J23" s="15">
        <v>8.9285714285714306</v>
      </c>
      <c r="K23" s="15">
        <v>13.8888888888889</v>
      </c>
      <c r="L23" s="20" t="s">
        <v>80</v>
      </c>
      <c r="M23" s="20" t="s">
        <v>80</v>
      </c>
      <c r="N23" s="20" t="s">
        <v>80</v>
      </c>
      <c r="O23" s="20" t="s">
        <v>80</v>
      </c>
      <c r="P23" s="15">
        <v>7.3170731707317103</v>
      </c>
      <c r="Q23" s="15">
        <v>7.9754601226993902</v>
      </c>
      <c r="R23" s="15">
        <v>6.8181818181818201</v>
      </c>
      <c r="S23" s="15">
        <v>14.8648648648649</v>
      </c>
      <c r="T23" s="15">
        <v>20.8333333333333</v>
      </c>
      <c r="U23" s="15">
        <v>4.9180327868852496</v>
      </c>
      <c r="V23" s="15">
        <v>13.5135135135135</v>
      </c>
      <c r="W23" s="15">
        <v>15.909090909090899</v>
      </c>
      <c r="X23" s="15">
        <v>4.3478260869565197</v>
      </c>
      <c r="Y23" s="15">
        <v>23.2258064516129</v>
      </c>
      <c r="Z23" s="15">
        <v>7.0175438596491198</v>
      </c>
      <c r="AA23" s="32">
        <v>3.3697936973111799</v>
      </c>
      <c r="AB23" s="15">
        <v>10.322580645161301</v>
      </c>
      <c r="AC23" s="15">
        <v>2.20820189274448</v>
      </c>
      <c r="AD23" s="15">
        <v>9.4420600858369106</v>
      </c>
      <c r="AE23" s="15">
        <v>2.9126213592233001</v>
      </c>
      <c r="AF23" s="15">
        <v>1.19840213049268</v>
      </c>
      <c r="AG23" s="15">
        <v>3.5830618892508102</v>
      </c>
      <c r="AH23" s="15">
        <v>3.2028469750889701</v>
      </c>
      <c r="AI23" s="26" t="s">
        <v>80</v>
      </c>
      <c r="AJ23" s="38"/>
    </row>
    <row r="24" spans="1:36">
      <c r="A24" s="9" t="s">
        <v>173</v>
      </c>
      <c r="B24" s="36">
        <v>20.415948364302501</v>
      </c>
      <c r="C24" s="32">
        <v>19.982362195565301</v>
      </c>
      <c r="D24" s="32">
        <v>21.1650515506172</v>
      </c>
      <c r="E24" s="32">
        <v>27.3268010876061</v>
      </c>
      <c r="F24" s="15">
        <v>39.344262295081997</v>
      </c>
      <c r="G24" s="20" t="s">
        <v>80</v>
      </c>
      <c r="H24" s="15">
        <v>38.554216867469897</v>
      </c>
      <c r="I24" s="15">
        <v>12.2222222222222</v>
      </c>
      <c r="J24" s="15">
        <v>51.785714285714299</v>
      </c>
      <c r="K24" s="15">
        <v>47.2222222222222</v>
      </c>
      <c r="L24" s="20" t="s">
        <v>80</v>
      </c>
      <c r="M24" s="15">
        <v>17.283950617283899</v>
      </c>
      <c r="N24" s="15">
        <v>22.033898305084701</v>
      </c>
      <c r="O24" s="15">
        <v>45.614035087719301</v>
      </c>
      <c r="P24" s="15">
        <v>19.512195121951201</v>
      </c>
      <c r="Q24" s="15">
        <v>22.085889570552101</v>
      </c>
      <c r="R24" s="15">
        <v>21.590909090909101</v>
      </c>
      <c r="S24" s="15">
        <v>43.243243243243199</v>
      </c>
      <c r="T24" s="15">
        <v>31.9444444444444</v>
      </c>
      <c r="U24" s="15">
        <v>36.885245901639301</v>
      </c>
      <c r="V24" s="15">
        <v>28.3783783783784</v>
      </c>
      <c r="W24" s="15">
        <v>50</v>
      </c>
      <c r="X24" s="15">
        <v>12.5</v>
      </c>
      <c r="Y24" s="15">
        <v>24.5161290322581</v>
      </c>
      <c r="Z24" s="15">
        <v>10.526315789473699</v>
      </c>
      <c r="AA24" s="32">
        <v>16.042148761764999</v>
      </c>
      <c r="AB24" s="15">
        <v>15.4838709677419</v>
      </c>
      <c r="AC24" s="15">
        <v>26.498422712933799</v>
      </c>
      <c r="AD24" s="15">
        <v>27.467811158798298</v>
      </c>
      <c r="AE24" s="15">
        <v>16.828478964401299</v>
      </c>
      <c r="AF24" s="15">
        <v>10.519307589880199</v>
      </c>
      <c r="AG24" s="15">
        <v>14.0065146579805</v>
      </c>
      <c r="AH24" s="15">
        <v>20.640569395017799</v>
      </c>
      <c r="AI24" s="26" t="s">
        <v>80</v>
      </c>
      <c r="AJ24" s="38"/>
    </row>
    <row r="25" spans="1:36">
      <c r="A25" s="9" t="s">
        <v>174</v>
      </c>
      <c r="B25" s="36">
        <v>0.42899329318620799</v>
      </c>
      <c r="C25" s="32">
        <v>0.38902869221368802</v>
      </c>
      <c r="D25" s="32">
        <v>0.56469620055854597</v>
      </c>
      <c r="E25" s="34" t="s">
        <v>80</v>
      </c>
      <c r="F25" s="20" t="s">
        <v>80</v>
      </c>
      <c r="G25" s="20" t="s">
        <v>80</v>
      </c>
      <c r="H25" s="20" t="s">
        <v>80</v>
      </c>
      <c r="I25" s="20" t="s">
        <v>80</v>
      </c>
      <c r="J25" s="20" t="s">
        <v>80</v>
      </c>
      <c r="K25" s="20" t="s">
        <v>80</v>
      </c>
      <c r="L25" s="20" t="s">
        <v>80</v>
      </c>
      <c r="M25" s="20" t="s">
        <v>80</v>
      </c>
      <c r="N25" s="20" t="s">
        <v>80</v>
      </c>
      <c r="O25" s="20" t="s">
        <v>80</v>
      </c>
      <c r="P25" s="20" t="s">
        <v>80</v>
      </c>
      <c r="Q25" s="20" t="s">
        <v>80</v>
      </c>
      <c r="R25" s="20" t="s">
        <v>80</v>
      </c>
      <c r="S25" s="20" t="s">
        <v>80</v>
      </c>
      <c r="T25" s="20" t="s">
        <v>80</v>
      </c>
      <c r="U25" s="20" t="s">
        <v>80</v>
      </c>
      <c r="V25" s="20" t="s">
        <v>80</v>
      </c>
      <c r="W25" s="20" t="s">
        <v>80</v>
      </c>
      <c r="X25" s="20" t="s">
        <v>80</v>
      </c>
      <c r="Y25" s="20" t="s">
        <v>80</v>
      </c>
      <c r="Z25" s="20" t="s">
        <v>80</v>
      </c>
      <c r="AA25" s="34" t="s">
        <v>80</v>
      </c>
      <c r="AB25" s="20" t="s">
        <v>80</v>
      </c>
      <c r="AC25" s="20" t="s">
        <v>80</v>
      </c>
      <c r="AD25" s="20" t="s">
        <v>80</v>
      </c>
      <c r="AE25" s="20" t="s">
        <v>80</v>
      </c>
      <c r="AF25" s="20" t="s">
        <v>80</v>
      </c>
      <c r="AG25" s="20" t="s">
        <v>80</v>
      </c>
      <c r="AH25" s="20" t="s">
        <v>80</v>
      </c>
      <c r="AI25" s="26" t="s">
        <v>80</v>
      </c>
      <c r="AJ25" s="38"/>
    </row>
    <row r="26" spans="1:36">
      <c r="A26" s="9" t="s">
        <v>175</v>
      </c>
      <c r="B26" s="36">
        <v>0.93990188308522504</v>
      </c>
      <c r="C26" s="32">
        <v>0.69711002399192701</v>
      </c>
      <c r="D26" s="32">
        <v>0.65530984964831596</v>
      </c>
      <c r="E26" s="34" t="s">
        <v>80</v>
      </c>
      <c r="F26" s="20" t="s">
        <v>80</v>
      </c>
      <c r="G26" s="20" t="s">
        <v>80</v>
      </c>
      <c r="H26" s="20" t="s">
        <v>80</v>
      </c>
      <c r="I26" s="20" t="s">
        <v>80</v>
      </c>
      <c r="J26" s="20" t="s">
        <v>80</v>
      </c>
      <c r="K26" s="20" t="s">
        <v>80</v>
      </c>
      <c r="L26" s="20" t="s">
        <v>80</v>
      </c>
      <c r="M26" s="20" t="s">
        <v>80</v>
      </c>
      <c r="N26" s="20" t="s">
        <v>80</v>
      </c>
      <c r="O26" s="20" t="s">
        <v>80</v>
      </c>
      <c r="P26" s="20" t="s">
        <v>80</v>
      </c>
      <c r="Q26" s="20" t="s">
        <v>80</v>
      </c>
      <c r="R26" s="20" t="s">
        <v>80</v>
      </c>
      <c r="S26" s="20" t="s">
        <v>80</v>
      </c>
      <c r="T26" s="20" t="s">
        <v>80</v>
      </c>
      <c r="U26" s="20" t="s">
        <v>80</v>
      </c>
      <c r="V26" s="20" t="s">
        <v>80</v>
      </c>
      <c r="W26" s="20" t="s">
        <v>80</v>
      </c>
      <c r="X26" s="20" t="s">
        <v>80</v>
      </c>
      <c r="Y26" s="15">
        <v>4.5161290322580596</v>
      </c>
      <c r="Z26" s="20" t="s">
        <v>80</v>
      </c>
      <c r="AA26" s="34" t="s">
        <v>80</v>
      </c>
      <c r="AB26" s="20" t="s">
        <v>80</v>
      </c>
      <c r="AC26" s="20" t="s">
        <v>80</v>
      </c>
      <c r="AD26" s="20" t="s">
        <v>80</v>
      </c>
      <c r="AE26" s="20" t="s">
        <v>80</v>
      </c>
      <c r="AF26" s="20" t="s">
        <v>80</v>
      </c>
      <c r="AG26" s="20" t="s">
        <v>80</v>
      </c>
      <c r="AH26" s="15">
        <v>2.1352313167259802</v>
      </c>
      <c r="AI26" s="26" t="s">
        <v>80</v>
      </c>
      <c r="AJ26" s="38"/>
    </row>
    <row r="27" spans="1:36">
      <c r="A27" s="9" t="s">
        <v>176</v>
      </c>
      <c r="B27" s="36">
        <v>3.62386696597919</v>
      </c>
      <c r="C27" s="32">
        <v>3.21663066456698</v>
      </c>
      <c r="D27" s="32">
        <v>3.6628851272037601</v>
      </c>
      <c r="E27" s="32">
        <v>6.4063270086220703</v>
      </c>
      <c r="F27" s="15">
        <v>4.9180327868852496</v>
      </c>
      <c r="G27" s="20" t="s">
        <v>80</v>
      </c>
      <c r="H27" s="15">
        <v>22.891566265060199</v>
      </c>
      <c r="I27" s="20" t="s">
        <v>80</v>
      </c>
      <c r="J27" s="15">
        <v>16.071428571428601</v>
      </c>
      <c r="K27" s="20" t="s">
        <v>80</v>
      </c>
      <c r="L27" s="20" t="s">
        <v>80</v>
      </c>
      <c r="M27" s="20" t="s">
        <v>80</v>
      </c>
      <c r="N27" s="20" t="s">
        <v>80</v>
      </c>
      <c r="O27" s="20" t="s">
        <v>80</v>
      </c>
      <c r="P27" s="20" t="s">
        <v>80</v>
      </c>
      <c r="Q27" s="15">
        <v>8.5889570552147205</v>
      </c>
      <c r="R27" s="20" t="s">
        <v>80</v>
      </c>
      <c r="S27" s="20" t="s">
        <v>80</v>
      </c>
      <c r="T27" s="15">
        <v>12.5</v>
      </c>
      <c r="U27" s="20" t="s">
        <v>80</v>
      </c>
      <c r="V27" s="20" t="s">
        <v>80</v>
      </c>
      <c r="W27" s="15">
        <v>12.5</v>
      </c>
      <c r="X27" s="20" t="s">
        <v>80</v>
      </c>
      <c r="Y27" s="15">
        <v>20</v>
      </c>
      <c r="Z27" s="20" t="s">
        <v>80</v>
      </c>
      <c r="AA27" s="32">
        <v>1.3819767616488401</v>
      </c>
      <c r="AB27" s="15">
        <v>3.2258064516128999</v>
      </c>
      <c r="AC27" s="20" t="s">
        <v>80</v>
      </c>
      <c r="AD27" s="20" t="s">
        <v>80</v>
      </c>
      <c r="AE27" s="20" t="s">
        <v>80</v>
      </c>
      <c r="AF27" s="15">
        <v>2.79627163781625</v>
      </c>
      <c r="AG27" s="15">
        <v>1.6286644951140099</v>
      </c>
      <c r="AH27" s="20" t="s">
        <v>80</v>
      </c>
      <c r="AI27" s="26" t="s">
        <v>80</v>
      </c>
      <c r="AJ27" s="38"/>
    </row>
    <row r="28" spans="1:36">
      <c r="A28" s="9" t="s">
        <v>177</v>
      </c>
      <c r="B28" s="36">
        <v>0.494849613593491</v>
      </c>
      <c r="C28" s="32">
        <v>0.37790524932387898</v>
      </c>
      <c r="D28" s="34" t="s">
        <v>80</v>
      </c>
      <c r="E28" s="34" t="s">
        <v>80</v>
      </c>
      <c r="F28" s="20" t="s">
        <v>80</v>
      </c>
      <c r="G28" s="20" t="s">
        <v>80</v>
      </c>
      <c r="H28" s="20" t="s">
        <v>80</v>
      </c>
      <c r="I28" s="20" t="s">
        <v>80</v>
      </c>
      <c r="J28" s="20" t="s">
        <v>80</v>
      </c>
      <c r="K28" s="20" t="s">
        <v>80</v>
      </c>
      <c r="L28" s="20" t="s">
        <v>80</v>
      </c>
      <c r="M28" s="20" t="s">
        <v>80</v>
      </c>
      <c r="N28" s="20" t="s">
        <v>80</v>
      </c>
      <c r="O28" s="20" t="s">
        <v>80</v>
      </c>
      <c r="P28" s="20" t="s">
        <v>80</v>
      </c>
      <c r="Q28" s="20" t="s">
        <v>80</v>
      </c>
      <c r="R28" s="20" t="s">
        <v>80</v>
      </c>
      <c r="S28" s="20" t="s">
        <v>80</v>
      </c>
      <c r="T28" s="20" t="s">
        <v>80</v>
      </c>
      <c r="U28" s="20" t="s">
        <v>80</v>
      </c>
      <c r="V28" s="20" t="s">
        <v>80</v>
      </c>
      <c r="W28" s="20" t="s">
        <v>80</v>
      </c>
      <c r="X28" s="20" t="s">
        <v>80</v>
      </c>
      <c r="Y28" s="20" t="s">
        <v>80</v>
      </c>
      <c r="Z28" s="20" t="s">
        <v>80</v>
      </c>
      <c r="AA28" s="34" t="s">
        <v>80</v>
      </c>
      <c r="AB28" s="20" t="s">
        <v>80</v>
      </c>
      <c r="AC28" s="20" t="s">
        <v>80</v>
      </c>
      <c r="AD28" s="20" t="s">
        <v>80</v>
      </c>
      <c r="AE28" s="20" t="s">
        <v>80</v>
      </c>
      <c r="AF28" s="20" t="s">
        <v>80</v>
      </c>
      <c r="AG28" s="20" t="s">
        <v>80</v>
      </c>
      <c r="AH28" s="20" t="s">
        <v>80</v>
      </c>
      <c r="AI28" s="26" t="s">
        <v>80</v>
      </c>
      <c r="AJ28" s="38"/>
    </row>
    <row r="29" spans="1:36">
      <c r="A29" s="9" t="s">
        <v>178</v>
      </c>
      <c r="B29" s="36">
        <v>0.30587880687441998</v>
      </c>
      <c r="C29" s="32">
        <v>0.269654709711659</v>
      </c>
      <c r="D29" s="34" t="s">
        <v>80</v>
      </c>
      <c r="E29" s="34" t="s">
        <v>80</v>
      </c>
      <c r="F29" s="20" t="s">
        <v>80</v>
      </c>
      <c r="G29" s="20" t="s">
        <v>80</v>
      </c>
      <c r="H29" s="20" t="s">
        <v>80</v>
      </c>
      <c r="I29" s="20" t="s">
        <v>80</v>
      </c>
      <c r="J29" s="20" t="s">
        <v>80</v>
      </c>
      <c r="K29" s="20" t="s">
        <v>80</v>
      </c>
      <c r="L29" s="20" t="s">
        <v>80</v>
      </c>
      <c r="M29" s="20" t="s">
        <v>80</v>
      </c>
      <c r="N29" s="20" t="s">
        <v>80</v>
      </c>
      <c r="O29" s="20" t="s">
        <v>80</v>
      </c>
      <c r="P29" s="20" t="s">
        <v>80</v>
      </c>
      <c r="Q29" s="20" t="s">
        <v>80</v>
      </c>
      <c r="R29" s="20" t="s">
        <v>80</v>
      </c>
      <c r="S29" s="20" t="s">
        <v>80</v>
      </c>
      <c r="T29" s="20" t="s">
        <v>80</v>
      </c>
      <c r="U29" s="20" t="s">
        <v>80</v>
      </c>
      <c r="V29" s="20" t="s">
        <v>80</v>
      </c>
      <c r="W29" s="20" t="s">
        <v>80</v>
      </c>
      <c r="X29" s="20" t="s">
        <v>80</v>
      </c>
      <c r="Y29" s="20" t="s">
        <v>80</v>
      </c>
      <c r="Z29" s="20" t="s">
        <v>80</v>
      </c>
      <c r="AA29" s="34" t="s">
        <v>80</v>
      </c>
      <c r="AB29" s="20" t="s">
        <v>80</v>
      </c>
      <c r="AC29" s="20" t="s">
        <v>80</v>
      </c>
      <c r="AD29" s="20" t="s">
        <v>80</v>
      </c>
      <c r="AE29" s="20" t="s">
        <v>80</v>
      </c>
      <c r="AF29" s="20" t="s">
        <v>80</v>
      </c>
      <c r="AG29" s="20" t="s">
        <v>80</v>
      </c>
      <c r="AH29" s="20" t="s">
        <v>80</v>
      </c>
      <c r="AI29" s="26" t="s">
        <v>80</v>
      </c>
      <c r="AJ29" s="38"/>
    </row>
    <row r="30" spans="1:36">
      <c r="A30" s="9" t="s">
        <v>179</v>
      </c>
      <c r="B30" s="36">
        <v>0.69080509664419099</v>
      </c>
      <c r="C30" s="32">
        <v>0.71034136002096904</v>
      </c>
      <c r="D30" s="32">
        <v>1.3183031092239399</v>
      </c>
      <c r="E30" s="32">
        <v>2.4206070646200599</v>
      </c>
      <c r="F30" s="20" t="s">
        <v>80</v>
      </c>
      <c r="G30" s="20" t="s">
        <v>80</v>
      </c>
      <c r="H30" s="20" t="s">
        <v>80</v>
      </c>
      <c r="I30" s="20" t="s">
        <v>80</v>
      </c>
      <c r="J30" s="20" t="s">
        <v>80</v>
      </c>
      <c r="K30" s="20" t="s">
        <v>80</v>
      </c>
      <c r="L30" s="20" t="s">
        <v>80</v>
      </c>
      <c r="M30" s="20" t="s">
        <v>80</v>
      </c>
      <c r="N30" s="20" t="s">
        <v>80</v>
      </c>
      <c r="O30" s="20" t="s">
        <v>80</v>
      </c>
      <c r="P30" s="20" t="s">
        <v>80</v>
      </c>
      <c r="Q30" s="20" t="s">
        <v>80</v>
      </c>
      <c r="R30" s="20" t="s">
        <v>80</v>
      </c>
      <c r="S30" s="20" t="s">
        <v>80</v>
      </c>
      <c r="T30" s="20" t="s">
        <v>80</v>
      </c>
      <c r="U30" s="20" t="s">
        <v>80</v>
      </c>
      <c r="V30" s="20" t="s">
        <v>80</v>
      </c>
      <c r="W30" s="20" t="s">
        <v>80</v>
      </c>
      <c r="X30" s="20" t="s">
        <v>80</v>
      </c>
      <c r="Y30" s="15">
        <v>35.4838709677419</v>
      </c>
      <c r="Z30" s="20" t="s">
        <v>80</v>
      </c>
      <c r="AA30" s="34" t="s">
        <v>80</v>
      </c>
      <c r="AB30" s="20" t="s">
        <v>80</v>
      </c>
      <c r="AC30" s="20" t="s">
        <v>80</v>
      </c>
      <c r="AD30" s="20" t="s">
        <v>80</v>
      </c>
      <c r="AE30" s="20" t="s">
        <v>80</v>
      </c>
      <c r="AF30" s="20" t="s">
        <v>80</v>
      </c>
      <c r="AG30" s="20" t="s">
        <v>80</v>
      </c>
      <c r="AH30" s="20" t="s">
        <v>80</v>
      </c>
      <c r="AI30" s="26" t="s">
        <v>80</v>
      </c>
      <c r="AJ30" s="38"/>
    </row>
    <row r="31" spans="1:36">
      <c r="A31" s="9" t="s">
        <v>180</v>
      </c>
      <c r="B31" s="36">
        <v>0.916821973887196</v>
      </c>
      <c r="C31" s="32">
        <v>0.45624124517822601</v>
      </c>
      <c r="D31" s="34" t="s">
        <v>80</v>
      </c>
      <c r="E31" s="34" t="s">
        <v>80</v>
      </c>
      <c r="F31" s="20" t="s">
        <v>80</v>
      </c>
      <c r="G31" s="20" t="s">
        <v>80</v>
      </c>
      <c r="H31" s="20" t="s">
        <v>80</v>
      </c>
      <c r="I31" s="20" t="s">
        <v>80</v>
      </c>
      <c r="J31" s="20" t="s">
        <v>80</v>
      </c>
      <c r="K31" s="20" t="s">
        <v>80</v>
      </c>
      <c r="L31" s="20" t="s">
        <v>80</v>
      </c>
      <c r="M31" s="20" t="s">
        <v>80</v>
      </c>
      <c r="N31" s="20" t="s">
        <v>80</v>
      </c>
      <c r="O31" s="20" t="s">
        <v>80</v>
      </c>
      <c r="P31" s="20" t="s">
        <v>80</v>
      </c>
      <c r="Q31" s="20" t="s">
        <v>80</v>
      </c>
      <c r="R31" s="20" t="s">
        <v>80</v>
      </c>
      <c r="S31" s="20" t="s">
        <v>80</v>
      </c>
      <c r="T31" s="20" t="s">
        <v>80</v>
      </c>
      <c r="U31" s="20" t="s">
        <v>80</v>
      </c>
      <c r="V31" s="20" t="s">
        <v>80</v>
      </c>
      <c r="W31" s="20" t="s">
        <v>80</v>
      </c>
      <c r="X31" s="20" t="s">
        <v>80</v>
      </c>
      <c r="Y31" s="20" t="s">
        <v>80</v>
      </c>
      <c r="Z31" s="20" t="s">
        <v>80</v>
      </c>
      <c r="AA31" s="34" t="s">
        <v>80</v>
      </c>
      <c r="AB31" s="20" t="s">
        <v>80</v>
      </c>
      <c r="AC31" s="20" t="s">
        <v>80</v>
      </c>
      <c r="AD31" s="20" t="s">
        <v>80</v>
      </c>
      <c r="AE31" s="20" t="s">
        <v>80</v>
      </c>
      <c r="AF31" s="20" t="s">
        <v>80</v>
      </c>
      <c r="AG31" s="20" t="s">
        <v>80</v>
      </c>
      <c r="AH31" s="20" t="s">
        <v>80</v>
      </c>
      <c r="AI31" s="26" t="s">
        <v>80</v>
      </c>
      <c r="AJ31" s="38"/>
    </row>
    <row r="32" spans="1:36">
      <c r="A32" s="9" t="s">
        <v>181</v>
      </c>
      <c r="B32" s="36">
        <v>0.32407974744160001</v>
      </c>
      <c r="C32" s="32">
        <v>0.26086868982774503</v>
      </c>
      <c r="D32" s="34" t="s">
        <v>80</v>
      </c>
      <c r="E32" s="34" t="s">
        <v>80</v>
      </c>
      <c r="F32" s="20" t="s">
        <v>80</v>
      </c>
      <c r="G32" s="20" t="s">
        <v>80</v>
      </c>
      <c r="H32" s="20" t="s">
        <v>80</v>
      </c>
      <c r="I32" s="20" t="s">
        <v>80</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20" t="s">
        <v>80</v>
      </c>
      <c r="X32" s="20" t="s">
        <v>80</v>
      </c>
      <c r="Y32" s="20" t="s">
        <v>80</v>
      </c>
      <c r="Z32" s="20" t="s">
        <v>80</v>
      </c>
      <c r="AA32" s="34" t="s">
        <v>80</v>
      </c>
      <c r="AB32" s="20" t="s">
        <v>80</v>
      </c>
      <c r="AC32" s="20" t="s">
        <v>80</v>
      </c>
      <c r="AD32" s="20" t="s">
        <v>80</v>
      </c>
      <c r="AE32" s="20" t="s">
        <v>80</v>
      </c>
      <c r="AF32" s="20" t="s">
        <v>80</v>
      </c>
      <c r="AG32" s="20" t="s">
        <v>80</v>
      </c>
      <c r="AH32" s="20" t="s">
        <v>80</v>
      </c>
      <c r="AI32" s="26" t="s">
        <v>80</v>
      </c>
      <c r="AJ32" s="38"/>
    </row>
    <row r="33" spans="1:36">
      <c r="A33" s="9" t="s">
        <v>182</v>
      </c>
      <c r="B33" s="36">
        <v>1.68156695795093</v>
      </c>
      <c r="C33" s="32">
        <v>1.5029644714986801</v>
      </c>
      <c r="D33" s="32">
        <v>1.9680381067075301</v>
      </c>
      <c r="E33" s="32">
        <v>2.8759660291382798</v>
      </c>
      <c r="F33" s="20" t="s">
        <v>80</v>
      </c>
      <c r="G33" s="20" t="s">
        <v>80</v>
      </c>
      <c r="H33" s="20" t="s">
        <v>80</v>
      </c>
      <c r="I33" s="20" t="s">
        <v>80</v>
      </c>
      <c r="J33" s="20" t="s">
        <v>80</v>
      </c>
      <c r="K33" s="20" t="s">
        <v>80</v>
      </c>
      <c r="L33" s="20" t="s">
        <v>80</v>
      </c>
      <c r="M33" s="20" t="s">
        <v>80</v>
      </c>
      <c r="N33" s="20" t="s">
        <v>80</v>
      </c>
      <c r="O33" s="20" t="s">
        <v>80</v>
      </c>
      <c r="P33" s="20" t="s">
        <v>80</v>
      </c>
      <c r="Q33" s="20" t="s">
        <v>80</v>
      </c>
      <c r="R33" s="20" t="s">
        <v>80</v>
      </c>
      <c r="S33" s="20" t="s">
        <v>80</v>
      </c>
      <c r="T33" s="20" t="s">
        <v>80</v>
      </c>
      <c r="U33" s="20" t="s">
        <v>80</v>
      </c>
      <c r="V33" s="20" t="s">
        <v>80</v>
      </c>
      <c r="W33" s="15">
        <v>6.8181818181818201</v>
      </c>
      <c r="X33" s="20" t="s">
        <v>80</v>
      </c>
      <c r="Y33" s="15">
        <v>3.87096774193548</v>
      </c>
      <c r="Z33" s="20" t="s">
        <v>80</v>
      </c>
      <c r="AA33" s="32">
        <v>1.21318326264479</v>
      </c>
      <c r="AB33" s="20" t="s">
        <v>80</v>
      </c>
      <c r="AC33" s="20" t="s">
        <v>80</v>
      </c>
      <c r="AD33" s="20" t="s">
        <v>80</v>
      </c>
      <c r="AE33" s="20" t="s">
        <v>80</v>
      </c>
      <c r="AF33" s="15">
        <v>1.3315579227696399</v>
      </c>
      <c r="AG33" s="15">
        <v>4.8859934853420199</v>
      </c>
      <c r="AH33" s="20" t="s">
        <v>80</v>
      </c>
      <c r="AI33" s="26" t="s">
        <v>80</v>
      </c>
      <c r="AJ33" s="38"/>
    </row>
    <row r="34" spans="1:36">
      <c r="A34" s="9" t="s">
        <v>183</v>
      </c>
      <c r="B34" s="36">
        <v>0.59516711160022395</v>
      </c>
      <c r="C34" s="32">
        <v>0.70330094741365701</v>
      </c>
      <c r="D34" s="32">
        <v>1.08868115509689</v>
      </c>
      <c r="E34" s="32">
        <v>1.87356495774938</v>
      </c>
      <c r="F34" s="20" t="s">
        <v>80</v>
      </c>
      <c r="G34" s="20" t="s">
        <v>80</v>
      </c>
      <c r="H34" s="20" t="s">
        <v>80</v>
      </c>
      <c r="I34" s="20" t="s">
        <v>80</v>
      </c>
      <c r="J34" s="20" t="s">
        <v>80</v>
      </c>
      <c r="K34" s="20" t="s">
        <v>80</v>
      </c>
      <c r="L34" s="20" t="s">
        <v>80</v>
      </c>
      <c r="M34" s="20" t="s">
        <v>80</v>
      </c>
      <c r="N34" s="20" t="s">
        <v>80</v>
      </c>
      <c r="O34" s="20" t="s">
        <v>80</v>
      </c>
      <c r="P34" s="20" t="s">
        <v>80</v>
      </c>
      <c r="Q34" s="20" t="s">
        <v>80</v>
      </c>
      <c r="R34" s="20" t="s">
        <v>80</v>
      </c>
      <c r="S34" s="20" t="s">
        <v>80</v>
      </c>
      <c r="T34" s="20" t="s">
        <v>80</v>
      </c>
      <c r="U34" s="20" t="s">
        <v>80</v>
      </c>
      <c r="V34" s="20" t="s">
        <v>80</v>
      </c>
      <c r="W34" s="15">
        <v>19.318181818181799</v>
      </c>
      <c r="X34" s="20" t="s">
        <v>80</v>
      </c>
      <c r="Y34" s="20" t="s">
        <v>80</v>
      </c>
      <c r="Z34" s="20" t="s">
        <v>80</v>
      </c>
      <c r="AA34" s="34" t="s">
        <v>80</v>
      </c>
      <c r="AB34" s="20" t="s">
        <v>80</v>
      </c>
      <c r="AC34" s="20" t="s">
        <v>80</v>
      </c>
      <c r="AD34" s="20" t="s">
        <v>80</v>
      </c>
      <c r="AE34" s="20" t="s">
        <v>80</v>
      </c>
      <c r="AF34" s="20" t="s">
        <v>80</v>
      </c>
      <c r="AG34" s="20" t="s">
        <v>80</v>
      </c>
      <c r="AH34" s="20" t="s">
        <v>80</v>
      </c>
      <c r="AI34" s="26" t="s">
        <v>80</v>
      </c>
      <c r="AJ34" s="38"/>
    </row>
    <row r="35" spans="1:36">
      <c r="A35" s="9" t="s">
        <v>184</v>
      </c>
      <c r="B35" s="36">
        <v>0.62674619780405905</v>
      </c>
      <c r="C35" s="32">
        <v>0.56389114594362799</v>
      </c>
      <c r="D35" s="34" t="s">
        <v>80</v>
      </c>
      <c r="E35" s="34" t="s">
        <v>80</v>
      </c>
      <c r="F35" s="20" t="s">
        <v>80</v>
      </c>
      <c r="G35" s="20" t="s">
        <v>80</v>
      </c>
      <c r="H35" s="20" t="s">
        <v>80</v>
      </c>
      <c r="I35" s="20" t="s">
        <v>80</v>
      </c>
      <c r="J35" s="20" t="s">
        <v>80</v>
      </c>
      <c r="K35" s="20" t="s">
        <v>80</v>
      </c>
      <c r="L35" s="20" t="s">
        <v>80</v>
      </c>
      <c r="M35" s="20" t="s">
        <v>80</v>
      </c>
      <c r="N35" s="20" t="s">
        <v>80</v>
      </c>
      <c r="O35" s="20" t="s">
        <v>80</v>
      </c>
      <c r="P35" s="20" t="s">
        <v>80</v>
      </c>
      <c r="Q35" s="20" t="s">
        <v>80</v>
      </c>
      <c r="R35" s="20" t="s">
        <v>80</v>
      </c>
      <c r="S35" s="20" t="s">
        <v>80</v>
      </c>
      <c r="T35" s="20" t="s">
        <v>80</v>
      </c>
      <c r="U35" s="20" t="s">
        <v>80</v>
      </c>
      <c r="V35" s="20" t="s">
        <v>80</v>
      </c>
      <c r="W35" s="20" t="s">
        <v>80</v>
      </c>
      <c r="X35" s="20" t="s">
        <v>80</v>
      </c>
      <c r="Y35" s="20" t="s">
        <v>80</v>
      </c>
      <c r="Z35" s="20" t="s">
        <v>80</v>
      </c>
      <c r="AA35" s="34" t="s">
        <v>80</v>
      </c>
      <c r="AB35" s="20" t="s">
        <v>80</v>
      </c>
      <c r="AC35" s="20" t="s">
        <v>80</v>
      </c>
      <c r="AD35" s="15">
        <v>2.1459227467811202</v>
      </c>
      <c r="AE35" s="20" t="s">
        <v>80</v>
      </c>
      <c r="AF35" s="20" t="s">
        <v>80</v>
      </c>
      <c r="AG35" s="20" t="s">
        <v>80</v>
      </c>
      <c r="AH35" s="20" t="s">
        <v>80</v>
      </c>
      <c r="AI35" s="26" t="s">
        <v>80</v>
      </c>
      <c r="AJ35" s="38"/>
    </row>
    <row r="36" spans="1:36">
      <c r="A36" s="9" t="s">
        <v>185</v>
      </c>
      <c r="B36" s="36">
        <v>12.7687126291897</v>
      </c>
      <c r="C36" s="32">
        <v>14.1561889906886</v>
      </c>
      <c r="D36" s="32">
        <v>14.711234514504801</v>
      </c>
      <c r="E36" s="32">
        <v>16.495145003722499</v>
      </c>
      <c r="F36" s="15">
        <v>35.245901639344297</v>
      </c>
      <c r="G36" s="20" t="s">
        <v>80</v>
      </c>
      <c r="H36" s="15">
        <v>25.3012048192771</v>
      </c>
      <c r="I36" s="20" t="s">
        <v>80</v>
      </c>
      <c r="J36" s="15">
        <v>50</v>
      </c>
      <c r="K36" s="15">
        <v>47.2222222222222</v>
      </c>
      <c r="L36" s="15">
        <v>20.3883495145631</v>
      </c>
      <c r="M36" s="15">
        <v>24.6913580246914</v>
      </c>
      <c r="N36" s="15">
        <v>27.118644067796598</v>
      </c>
      <c r="O36" s="15">
        <v>40.350877192982502</v>
      </c>
      <c r="P36" s="15">
        <v>23.170731707317099</v>
      </c>
      <c r="Q36" s="15">
        <v>15.9509202453988</v>
      </c>
      <c r="R36" s="15">
        <v>9.0909090909090899</v>
      </c>
      <c r="S36" s="15">
        <v>9.4594594594594597</v>
      </c>
      <c r="T36" s="15">
        <v>16.6666666666667</v>
      </c>
      <c r="U36" s="15">
        <v>8.1967213114754092</v>
      </c>
      <c r="V36" s="15">
        <v>18.918918918918902</v>
      </c>
      <c r="W36" s="15">
        <v>31.818181818181799</v>
      </c>
      <c r="X36" s="15">
        <v>10.326086956521699</v>
      </c>
      <c r="Y36" s="15">
        <v>7.0967741935483897</v>
      </c>
      <c r="Z36" s="15">
        <v>4.3859649122807003</v>
      </c>
      <c r="AA36" s="32">
        <v>13.228084320649</v>
      </c>
      <c r="AB36" s="15">
        <v>17.419354838709701</v>
      </c>
      <c r="AC36" s="15">
        <v>23.974763406940099</v>
      </c>
      <c r="AD36" s="15">
        <v>10.7296137339056</v>
      </c>
      <c r="AE36" s="15">
        <v>15.8576051779935</v>
      </c>
      <c r="AF36" s="15">
        <v>16.910785619174401</v>
      </c>
      <c r="AG36" s="15">
        <v>8.7947882736156409</v>
      </c>
      <c r="AH36" s="15">
        <v>19.217081850533798</v>
      </c>
      <c r="AI36" s="26" t="s">
        <v>80</v>
      </c>
      <c r="AJ36" s="38"/>
    </row>
    <row r="37" spans="1:36">
      <c r="A37" s="9" t="s">
        <v>186</v>
      </c>
      <c r="B37" s="36">
        <v>0.72679955632918603</v>
      </c>
      <c r="C37" s="32">
        <v>0.74113913263012199</v>
      </c>
      <c r="D37" s="32">
        <v>0.57266869732688497</v>
      </c>
      <c r="E37" s="34" t="s">
        <v>80</v>
      </c>
      <c r="F37" s="15">
        <v>4.9180327868852496</v>
      </c>
      <c r="G37" s="20" t="s">
        <v>80</v>
      </c>
      <c r="H37" s="20" t="s">
        <v>80</v>
      </c>
      <c r="I37" s="20" t="s">
        <v>80</v>
      </c>
      <c r="J37" s="20" t="s">
        <v>80</v>
      </c>
      <c r="K37" s="15">
        <v>16.6666666666667</v>
      </c>
      <c r="L37" s="20" t="s">
        <v>80</v>
      </c>
      <c r="M37" s="20" t="s">
        <v>80</v>
      </c>
      <c r="N37" s="20" t="s">
        <v>80</v>
      </c>
      <c r="O37" s="20" t="s">
        <v>80</v>
      </c>
      <c r="P37" s="20" t="s">
        <v>80</v>
      </c>
      <c r="Q37" s="20" t="s">
        <v>80</v>
      </c>
      <c r="R37" s="20" t="s">
        <v>80</v>
      </c>
      <c r="S37" s="20" t="s">
        <v>80</v>
      </c>
      <c r="T37" s="20" t="s">
        <v>80</v>
      </c>
      <c r="U37" s="20" t="s">
        <v>80</v>
      </c>
      <c r="V37" s="20" t="s">
        <v>80</v>
      </c>
      <c r="W37" s="20" t="s">
        <v>80</v>
      </c>
      <c r="X37" s="20" t="s">
        <v>80</v>
      </c>
      <c r="Y37" s="20" t="s">
        <v>80</v>
      </c>
      <c r="Z37" s="20" t="s">
        <v>80</v>
      </c>
      <c r="AA37" s="34" t="s">
        <v>80</v>
      </c>
      <c r="AB37" s="15">
        <v>3.2258064516128999</v>
      </c>
      <c r="AC37" s="20" t="s">
        <v>80</v>
      </c>
      <c r="AD37" s="20" t="s">
        <v>80</v>
      </c>
      <c r="AE37" s="20" t="s">
        <v>80</v>
      </c>
      <c r="AF37" s="20" t="s">
        <v>80</v>
      </c>
      <c r="AG37" s="20" t="s">
        <v>80</v>
      </c>
      <c r="AH37" s="20" t="s">
        <v>80</v>
      </c>
      <c r="AI37" s="26" t="s">
        <v>80</v>
      </c>
      <c r="AJ37" s="38"/>
    </row>
    <row r="38" spans="1:36">
      <c r="A38" s="9" t="s">
        <v>187</v>
      </c>
      <c r="B38" s="36">
        <v>1.8858825553587999</v>
      </c>
      <c r="C38" s="32">
        <v>1.82907531723313</v>
      </c>
      <c r="D38" s="32">
        <v>1.5685554524513201</v>
      </c>
      <c r="E38" s="32">
        <v>2.3508081572988599</v>
      </c>
      <c r="F38" s="20" t="s">
        <v>80</v>
      </c>
      <c r="G38" s="20" t="s">
        <v>80</v>
      </c>
      <c r="H38" s="15">
        <v>8.4337349397590398</v>
      </c>
      <c r="I38" s="20" t="s">
        <v>80</v>
      </c>
      <c r="J38" s="15">
        <v>8.9285714285714306</v>
      </c>
      <c r="K38" s="20" t="s">
        <v>80</v>
      </c>
      <c r="L38" s="20" t="s">
        <v>80</v>
      </c>
      <c r="M38" s="20" t="s">
        <v>80</v>
      </c>
      <c r="N38" s="20" t="s">
        <v>80</v>
      </c>
      <c r="O38" s="20" t="s">
        <v>80</v>
      </c>
      <c r="P38" s="20" t="s">
        <v>80</v>
      </c>
      <c r="Q38" s="20" t="s">
        <v>80</v>
      </c>
      <c r="R38" s="20" t="s">
        <v>80</v>
      </c>
      <c r="S38" s="20" t="s">
        <v>80</v>
      </c>
      <c r="T38" s="20" t="s">
        <v>80</v>
      </c>
      <c r="U38" s="20" t="s">
        <v>80</v>
      </c>
      <c r="V38" s="20" t="s">
        <v>80</v>
      </c>
      <c r="W38" s="20" t="s">
        <v>80</v>
      </c>
      <c r="X38" s="20" t="s">
        <v>80</v>
      </c>
      <c r="Y38" s="15">
        <v>3.2258064516128999</v>
      </c>
      <c r="Z38" s="20" t="s">
        <v>80</v>
      </c>
      <c r="AA38" s="32">
        <v>0.918187478356564</v>
      </c>
      <c r="AB38" s="20" t="s">
        <v>80</v>
      </c>
      <c r="AC38" s="20" t="s">
        <v>80</v>
      </c>
      <c r="AD38" s="15">
        <v>2.1459227467811202</v>
      </c>
      <c r="AE38" s="20" t="s">
        <v>80</v>
      </c>
      <c r="AF38" s="20" t="s">
        <v>80</v>
      </c>
      <c r="AG38" s="15">
        <v>3.90879478827362</v>
      </c>
      <c r="AH38" s="20" t="s">
        <v>80</v>
      </c>
      <c r="AI38" s="26" t="s">
        <v>80</v>
      </c>
      <c r="AJ38" s="38"/>
    </row>
    <row r="39" spans="1:36">
      <c r="A39" s="9" t="s">
        <v>188</v>
      </c>
      <c r="B39" s="36">
        <v>0.79957676271398204</v>
      </c>
      <c r="C39" s="32">
        <v>0.77947687926356601</v>
      </c>
      <c r="D39" s="32">
        <v>1.2947026652385001</v>
      </c>
      <c r="E39" s="34" t="s">
        <v>80</v>
      </c>
      <c r="F39" s="20" t="s">
        <v>80</v>
      </c>
      <c r="G39" s="20" t="s">
        <v>80</v>
      </c>
      <c r="H39" s="20" t="s">
        <v>80</v>
      </c>
      <c r="I39" s="20" t="s">
        <v>80</v>
      </c>
      <c r="J39" s="20" t="s">
        <v>80</v>
      </c>
      <c r="K39" s="20" t="s">
        <v>80</v>
      </c>
      <c r="L39" s="20" t="s">
        <v>80</v>
      </c>
      <c r="M39" s="20" t="s">
        <v>80</v>
      </c>
      <c r="N39" s="20" t="s">
        <v>80</v>
      </c>
      <c r="O39" s="20" t="s">
        <v>80</v>
      </c>
      <c r="P39" s="20" t="s">
        <v>80</v>
      </c>
      <c r="Q39" s="20" t="s">
        <v>80</v>
      </c>
      <c r="R39" s="20" t="s">
        <v>80</v>
      </c>
      <c r="S39" s="15">
        <v>9.4594594594594597</v>
      </c>
      <c r="T39" s="20" t="s">
        <v>80</v>
      </c>
      <c r="U39" s="20" t="s">
        <v>80</v>
      </c>
      <c r="V39" s="20" t="s">
        <v>80</v>
      </c>
      <c r="W39" s="20" t="s">
        <v>80</v>
      </c>
      <c r="X39" s="20" t="s">
        <v>80</v>
      </c>
      <c r="Y39" s="20" t="s">
        <v>80</v>
      </c>
      <c r="Z39" s="20" t="s">
        <v>80</v>
      </c>
      <c r="AA39" s="32">
        <v>1.4139866320116801</v>
      </c>
      <c r="AB39" s="20" t="s">
        <v>80</v>
      </c>
      <c r="AC39" s="20" t="s">
        <v>80</v>
      </c>
      <c r="AD39" s="15">
        <v>12.446351931330501</v>
      </c>
      <c r="AE39" s="20" t="s">
        <v>80</v>
      </c>
      <c r="AF39" s="20" t="s">
        <v>80</v>
      </c>
      <c r="AG39" s="20" t="s">
        <v>80</v>
      </c>
      <c r="AH39" s="20" t="s">
        <v>80</v>
      </c>
      <c r="AI39" s="26" t="s">
        <v>80</v>
      </c>
      <c r="AJ39" s="38"/>
    </row>
    <row r="40" spans="1:36">
      <c r="A40" s="9" t="s">
        <v>189</v>
      </c>
      <c r="B40" s="36">
        <v>0.42723125219975799</v>
      </c>
      <c r="C40" s="32">
        <v>0.38327397423277698</v>
      </c>
      <c r="D40" s="34" t="s">
        <v>80</v>
      </c>
      <c r="E40" s="34" t="s">
        <v>80</v>
      </c>
      <c r="F40" s="20" t="s">
        <v>80</v>
      </c>
      <c r="G40" s="20" t="s">
        <v>80</v>
      </c>
      <c r="H40" s="20" t="s">
        <v>80</v>
      </c>
      <c r="I40" s="20" t="s">
        <v>80</v>
      </c>
      <c r="J40" s="20" t="s">
        <v>80</v>
      </c>
      <c r="K40" s="20" t="s">
        <v>80</v>
      </c>
      <c r="L40" s="20" t="s">
        <v>80</v>
      </c>
      <c r="M40" s="20" t="s">
        <v>80</v>
      </c>
      <c r="N40" s="20" t="s">
        <v>80</v>
      </c>
      <c r="O40" s="20" t="s">
        <v>80</v>
      </c>
      <c r="P40" s="20" t="s">
        <v>80</v>
      </c>
      <c r="Q40" s="20" t="s">
        <v>80</v>
      </c>
      <c r="R40" s="20" t="s">
        <v>80</v>
      </c>
      <c r="S40" s="20" t="s">
        <v>80</v>
      </c>
      <c r="T40" s="20" t="s">
        <v>80</v>
      </c>
      <c r="U40" s="20" t="s">
        <v>80</v>
      </c>
      <c r="V40" s="20" t="s">
        <v>80</v>
      </c>
      <c r="W40" s="20" t="s">
        <v>80</v>
      </c>
      <c r="X40" s="20" t="s">
        <v>80</v>
      </c>
      <c r="Y40" s="20" t="s">
        <v>80</v>
      </c>
      <c r="Z40" s="20" t="s">
        <v>80</v>
      </c>
      <c r="AA40" s="34" t="s">
        <v>80</v>
      </c>
      <c r="AB40" s="20" t="s">
        <v>80</v>
      </c>
      <c r="AC40" s="20" t="s">
        <v>80</v>
      </c>
      <c r="AD40" s="20" t="s">
        <v>80</v>
      </c>
      <c r="AE40" s="20" t="s">
        <v>80</v>
      </c>
      <c r="AF40" s="20" t="s">
        <v>80</v>
      </c>
      <c r="AG40" s="20" t="s">
        <v>80</v>
      </c>
      <c r="AH40" s="20" t="s">
        <v>80</v>
      </c>
      <c r="AI40" s="26" t="s">
        <v>80</v>
      </c>
      <c r="AJ40" s="38"/>
    </row>
    <row r="41" spans="1:36">
      <c r="A41" s="9" t="s">
        <v>190</v>
      </c>
      <c r="B41" s="36">
        <v>12.063029894509199</v>
      </c>
      <c r="C41" s="32">
        <v>13.893112483977999</v>
      </c>
      <c r="D41" s="32">
        <v>13.042075860119301</v>
      </c>
      <c r="E41" s="32">
        <v>14.3430772447799</v>
      </c>
      <c r="F41" s="15">
        <v>13.1147540983607</v>
      </c>
      <c r="G41" s="15">
        <v>10.1694915254237</v>
      </c>
      <c r="H41" s="15">
        <v>16.867469879518101</v>
      </c>
      <c r="I41" s="20" t="s">
        <v>80</v>
      </c>
      <c r="J41" s="15">
        <v>35.714285714285701</v>
      </c>
      <c r="K41" s="15">
        <v>44.4444444444444</v>
      </c>
      <c r="L41" s="15">
        <v>9.7087378640776691</v>
      </c>
      <c r="M41" s="15">
        <v>16.049382716049401</v>
      </c>
      <c r="N41" s="15">
        <v>8.4745762711864394</v>
      </c>
      <c r="O41" s="15">
        <v>15.789473684210501</v>
      </c>
      <c r="P41" s="15">
        <v>26.829268292682901</v>
      </c>
      <c r="Q41" s="15">
        <v>15.3374233128834</v>
      </c>
      <c r="R41" s="15">
        <v>6.8181818181818201</v>
      </c>
      <c r="S41" s="15">
        <v>24.324324324324301</v>
      </c>
      <c r="T41" s="15">
        <v>19.4444444444444</v>
      </c>
      <c r="U41" s="20" t="s">
        <v>80</v>
      </c>
      <c r="V41" s="15">
        <v>32.4324324324324</v>
      </c>
      <c r="W41" s="15">
        <v>32.954545454545503</v>
      </c>
      <c r="X41" s="15">
        <v>3.2608695652173898</v>
      </c>
      <c r="Y41" s="15">
        <v>23.2258064516129</v>
      </c>
      <c r="Z41" s="20" t="s">
        <v>80</v>
      </c>
      <c r="AA41" s="32">
        <v>11.960418194261599</v>
      </c>
      <c r="AB41" s="15">
        <v>10.9677419354839</v>
      </c>
      <c r="AC41" s="15">
        <v>14.195583596214499</v>
      </c>
      <c r="AD41" s="15">
        <v>8.5836909871244593</v>
      </c>
      <c r="AE41" s="15">
        <v>18.446601941747598</v>
      </c>
      <c r="AF41" s="15">
        <v>9.7203728362183792</v>
      </c>
      <c r="AG41" s="15">
        <v>8.4690553745928305</v>
      </c>
      <c r="AH41" s="15">
        <v>20.284697508896802</v>
      </c>
      <c r="AI41" s="26" t="s">
        <v>80</v>
      </c>
      <c r="AJ41" s="38"/>
    </row>
    <row r="42" spans="1:36">
      <c r="A42" s="9" t="s">
        <v>191</v>
      </c>
      <c r="B42" s="36">
        <v>0.69402425769814902</v>
      </c>
      <c r="C42" s="32">
        <v>0.48044679715527799</v>
      </c>
      <c r="D42" s="32">
        <v>0.40619482497168302</v>
      </c>
      <c r="E42" s="34" t="s">
        <v>80</v>
      </c>
      <c r="F42" s="20" t="s">
        <v>80</v>
      </c>
      <c r="G42" s="20" t="s">
        <v>80</v>
      </c>
      <c r="H42" s="20" t="s">
        <v>80</v>
      </c>
      <c r="I42" s="20" t="s">
        <v>80</v>
      </c>
      <c r="J42" s="20" t="s">
        <v>80</v>
      </c>
      <c r="K42" s="20" t="s">
        <v>80</v>
      </c>
      <c r="L42" s="20" t="s">
        <v>80</v>
      </c>
      <c r="M42" s="20" t="s">
        <v>80</v>
      </c>
      <c r="N42" s="20" t="s">
        <v>80</v>
      </c>
      <c r="O42" s="20" t="s">
        <v>80</v>
      </c>
      <c r="P42" s="20" t="s">
        <v>80</v>
      </c>
      <c r="Q42" s="20" t="s">
        <v>80</v>
      </c>
      <c r="R42" s="20" t="s">
        <v>80</v>
      </c>
      <c r="S42" s="20" t="s">
        <v>80</v>
      </c>
      <c r="T42" s="20" t="s">
        <v>80</v>
      </c>
      <c r="U42" s="20" t="s">
        <v>80</v>
      </c>
      <c r="V42" s="20" t="s">
        <v>80</v>
      </c>
      <c r="W42" s="20" t="s">
        <v>80</v>
      </c>
      <c r="X42" s="20" t="s">
        <v>80</v>
      </c>
      <c r="Y42" s="15">
        <v>7.7419354838709697</v>
      </c>
      <c r="Z42" s="20" t="s">
        <v>80</v>
      </c>
      <c r="AA42" s="34" t="s">
        <v>80</v>
      </c>
      <c r="AB42" s="20" t="s">
        <v>80</v>
      </c>
      <c r="AC42" s="20" t="s">
        <v>80</v>
      </c>
      <c r="AD42" s="20" t="s">
        <v>80</v>
      </c>
      <c r="AE42" s="20" t="s">
        <v>80</v>
      </c>
      <c r="AF42" s="20" t="s">
        <v>80</v>
      </c>
      <c r="AG42" s="20" t="s">
        <v>80</v>
      </c>
      <c r="AH42" s="20" t="s">
        <v>80</v>
      </c>
      <c r="AI42" s="26" t="s">
        <v>80</v>
      </c>
      <c r="AJ42" s="38"/>
    </row>
    <row r="43" spans="1:36">
      <c r="A43" s="9" t="s">
        <v>192</v>
      </c>
      <c r="B43" s="36">
        <v>12.5305207430773</v>
      </c>
      <c r="C43" s="32">
        <v>13.7307317240233</v>
      </c>
      <c r="D43" s="32">
        <v>11.664547683118199</v>
      </c>
      <c r="E43" s="32">
        <v>10.939089180104</v>
      </c>
      <c r="F43" s="15">
        <v>15.5737704918033</v>
      </c>
      <c r="G43" s="20" t="s">
        <v>80</v>
      </c>
      <c r="H43" s="15">
        <v>14.4578313253012</v>
      </c>
      <c r="I43" s="20" t="s">
        <v>80</v>
      </c>
      <c r="J43" s="15">
        <v>46.428571428571402</v>
      </c>
      <c r="K43" s="15">
        <v>27.7777777777778</v>
      </c>
      <c r="L43" s="15">
        <v>18.446601941747598</v>
      </c>
      <c r="M43" s="20" t="s">
        <v>80</v>
      </c>
      <c r="N43" s="15">
        <v>16.9491525423729</v>
      </c>
      <c r="O43" s="15">
        <v>24.5614035087719</v>
      </c>
      <c r="P43" s="15">
        <v>9.7560975609756095</v>
      </c>
      <c r="Q43" s="15">
        <v>6.1349693251533699</v>
      </c>
      <c r="R43" s="20" t="s">
        <v>80</v>
      </c>
      <c r="S43" s="15">
        <v>20.270270270270299</v>
      </c>
      <c r="T43" s="15">
        <v>13.8888888888889</v>
      </c>
      <c r="U43" s="15">
        <v>4.0983606557377001</v>
      </c>
      <c r="V43" s="15">
        <v>17.5675675675676</v>
      </c>
      <c r="W43" s="15">
        <v>18.181818181818201</v>
      </c>
      <c r="X43" s="15">
        <v>4.8913043478260896</v>
      </c>
      <c r="Y43" s="15">
        <v>14.193548387096801</v>
      </c>
      <c r="Z43" s="20" t="s">
        <v>80</v>
      </c>
      <c r="AA43" s="32">
        <v>12.2676967345327</v>
      </c>
      <c r="AB43" s="15">
        <v>11.6129032258065</v>
      </c>
      <c r="AC43" s="15">
        <v>23.974763406940099</v>
      </c>
      <c r="AD43" s="15">
        <v>13.3047210300429</v>
      </c>
      <c r="AE43" s="15">
        <v>20.3883495145631</v>
      </c>
      <c r="AF43" s="15">
        <v>6.5246338215712401</v>
      </c>
      <c r="AG43" s="15">
        <v>12.0521172638436</v>
      </c>
      <c r="AH43" s="15">
        <v>16.3701067615658</v>
      </c>
      <c r="AI43" s="26" t="s">
        <v>80</v>
      </c>
      <c r="AJ43" s="38"/>
    </row>
    <row r="44" spans="1:36">
      <c r="A44" s="9" t="s">
        <v>193</v>
      </c>
      <c r="B44" s="36">
        <v>11.7237307083766</v>
      </c>
      <c r="C44" s="32">
        <v>11.9237830413844</v>
      </c>
      <c r="D44" s="32">
        <v>11.711347162538299</v>
      </c>
      <c r="E44" s="32">
        <v>16.382144257297099</v>
      </c>
      <c r="F44" s="15">
        <v>25.409836065573799</v>
      </c>
      <c r="G44" s="15">
        <v>11.864406779661</v>
      </c>
      <c r="H44" s="15">
        <v>37.349397590361399</v>
      </c>
      <c r="I44" s="15">
        <v>5.5555555555555598</v>
      </c>
      <c r="J44" s="15">
        <v>35.714285714285701</v>
      </c>
      <c r="K44" s="15">
        <v>38.8888888888889</v>
      </c>
      <c r="L44" s="15">
        <v>11.6504854368932</v>
      </c>
      <c r="M44" s="20" t="s">
        <v>80</v>
      </c>
      <c r="N44" s="15">
        <v>22.033898305084701</v>
      </c>
      <c r="O44" s="15">
        <v>19.2982456140351</v>
      </c>
      <c r="P44" s="15">
        <v>18.292682926829301</v>
      </c>
      <c r="Q44" s="15">
        <v>12.8834355828221</v>
      </c>
      <c r="R44" s="15">
        <v>15.909090909090899</v>
      </c>
      <c r="S44" s="15">
        <v>21.6216216216216</v>
      </c>
      <c r="T44" s="15">
        <v>30.5555555555556</v>
      </c>
      <c r="U44" s="15">
        <v>6.5573770491803298</v>
      </c>
      <c r="V44" s="15">
        <v>12.1621621621622</v>
      </c>
      <c r="W44" s="15">
        <v>20.454545454545499</v>
      </c>
      <c r="X44" s="15">
        <v>7.0652173913043503</v>
      </c>
      <c r="Y44" s="15">
        <v>23.870967741935502</v>
      </c>
      <c r="Z44" s="15">
        <v>4.3859649122807003</v>
      </c>
      <c r="AA44" s="32">
        <v>7.8280280955650197</v>
      </c>
      <c r="AB44" s="15">
        <v>9.67741935483871</v>
      </c>
      <c r="AC44" s="15">
        <v>5.9936908517350203</v>
      </c>
      <c r="AD44" s="15">
        <v>15.8798283261803</v>
      </c>
      <c r="AE44" s="15">
        <v>16.828478964401299</v>
      </c>
      <c r="AF44" s="15">
        <v>5.3262316910785596</v>
      </c>
      <c r="AG44" s="15">
        <v>6.5146579804560298</v>
      </c>
      <c r="AH44" s="15">
        <v>8.1850533807829198</v>
      </c>
      <c r="AI44" s="26" t="s">
        <v>80</v>
      </c>
      <c r="AJ44" s="38"/>
    </row>
    <row r="45" spans="1:36">
      <c r="A45" s="9" t="s">
        <v>194</v>
      </c>
      <c r="B45" s="36">
        <v>0.37691265127750501</v>
      </c>
      <c r="C45" s="32">
        <v>0.49477266497232097</v>
      </c>
      <c r="D45" s="32">
        <v>0.67968518366305597</v>
      </c>
      <c r="E45" s="32">
        <v>1.38278436309289</v>
      </c>
      <c r="F45" s="15">
        <v>5.7377049180327901</v>
      </c>
      <c r="G45" s="20" t="s">
        <v>80</v>
      </c>
      <c r="H45" s="20" t="s">
        <v>80</v>
      </c>
      <c r="I45" s="20" t="s">
        <v>80</v>
      </c>
      <c r="J45" s="20" t="s">
        <v>80</v>
      </c>
      <c r="K45" s="20" t="s">
        <v>80</v>
      </c>
      <c r="L45" s="20" t="s">
        <v>80</v>
      </c>
      <c r="M45" s="20" t="s">
        <v>80</v>
      </c>
      <c r="N45" s="20" t="s">
        <v>80</v>
      </c>
      <c r="O45" s="20" t="s">
        <v>80</v>
      </c>
      <c r="P45" s="20" t="s">
        <v>80</v>
      </c>
      <c r="Q45" s="20" t="s">
        <v>80</v>
      </c>
      <c r="R45" s="20" t="s">
        <v>80</v>
      </c>
      <c r="S45" s="20" t="s">
        <v>80</v>
      </c>
      <c r="T45" s="20" t="s">
        <v>80</v>
      </c>
      <c r="U45" s="20" t="s">
        <v>80</v>
      </c>
      <c r="V45" s="15">
        <v>27.027027027027</v>
      </c>
      <c r="W45" s="20" t="s">
        <v>80</v>
      </c>
      <c r="X45" s="20" t="s">
        <v>80</v>
      </c>
      <c r="Y45" s="20" t="s">
        <v>80</v>
      </c>
      <c r="Z45" s="20" t="s">
        <v>80</v>
      </c>
      <c r="AA45" s="34" t="s">
        <v>80</v>
      </c>
      <c r="AB45" s="20" t="s">
        <v>80</v>
      </c>
      <c r="AC45" s="20" t="s">
        <v>80</v>
      </c>
      <c r="AD45" s="20" t="s">
        <v>80</v>
      </c>
      <c r="AE45" s="20" t="s">
        <v>80</v>
      </c>
      <c r="AF45" s="20" t="s">
        <v>80</v>
      </c>
      <c r="AG45" s="20" t="s">
        <v>80</v>
      </c>
      <c r="AH45" s="20" t="s">
        <v>80</v>
      </c>
      <c r="AI45" s="26" t="s">
        <v>80</v>
      </c>
      <c r="AJ45" s="38"/>
    </row>
    <row r="46" spans="1:36">
      <c r="A46" s="9" t="s">
        <v>195</v>
      </c>
      <c r="B46" s="36">
        <v>0.73801607286605297</v>
      </c>
      <c r="C46" s="32">
        <v>0.51101504396511599</v>
      </c>
      <c r="D46" s="32">
        <v>0.85738141207478902</v>
      </c>
      <c r="E46" s="34" t="s">
        <v>80</v>
      </c>
      <c r="F46" s="20" t="s">
        <v>80</v>
      </c>
      <c r="G46" s="20" t="s">
        <v>80</v>
      </c>
      <c r="H46" s="15">
        <v>19.277108433734899</v>
      </c>
      <c r="I46" s="20" t="s">
        <v>80</v>
      </c>
      <c r="J46" s="20" t="s">
        <v>80</v>
      </c>
      <c r="K46" s="20" t="s">
        <v>80</v>
      </c>
      <c r="L46" s="20" t="s">
        <v>80</v>
      </c>
      <c r="M46" s="20" t="s">
        <v>80</v>
      </c>
      <c r="N46" s="20" t="s">
        <v>80</v>
      </c>
      <c r="O46" s="20" t="s">
        <v>80</v>
      </c>
      <c r="P46" s="20" t="s">
        <v>80</v>
      </c>
      <c r="Q46" s="20" t="s">
        <v>80</v>
      </c>
      <c r="R46" s="20" t="s">
        <v>80</v>
      </c>
      <c r="S46" s="20" t="s">
        <v>80</v>
      </c>
      <c r="T46" s="15">
        <v>6.9444444444444402</v>
      </c>
      <c r="U46" s="20" t="s">
        <v>80</v>
      </c>
      <c r="V46" s="20" t="s">
        <v>80</v>
      </c>
      <c r="W46" s="20" t="s">
        <v>80</v>
      </c>
      <c r="X46" s="20" t="s">
        <v>80</v>
      </c>
      <c r="Y46" s="20" t="s">
        <v>80</v>
      </c>
      <c r="Z46" s="20" t="s">
        <v>80</v>
      </c>
      <c r="AA46" s="34" t="s">
        <v>80</v>
      </c>
      <c r="AB46" s="20" t="s">
        <v>80</v>
      </c>
      <c r="AC46" s="20" t="s">
        <v>80</v>
      </c>
      <c r="AD46" s="20" t="s">
        <v>80</v>
      </c>
      <c r="AE46" s="20" t="s">
        <v>80</v>
      </c>
      <c r="AF46" s="20" t="s">
        <v>80</v>
      </c>
      <c r="AG46" s="20" t="s">
        <v>80</v>
      </c>
      <c r="AH46" s="20" t="s">
        <v>80</v>
      </c>
      <c r="AI46" s="26" t="s">
        <v>80</v>
      </c>
      <c r="AJ46" s="38"/>
    </row>
    <row r="47" spans="1:36">
      <c r="A47" s="9" t="s">
        <v>196</v>
      </c>
      <c r="B47" s="36">
        <v>0.45239305101969701</v>
      </c>
      <c r="C47" s="32">
        <v>0.60288953180358196</v>
      </c>
      <c r="D47" s="34" t="s">
        <v>80</v>
      </c>
      <c r="E47" s="34" t="s">
        <v>80</v>
      </c>
      <c r="F47" s="20" t="s">
        <v>80</v>
      </c>
      <c r="G47" s="20" t="s">
        <v>80</v>
      </c>
      <c r="H47" s="20" t="s">
        <v>80</v>
      </c>
      <c r="I47" s="20" t="s">
        <v>80</v>
      </c>
      <c r="J47" s="20" t="s">
        <v>80</v>
      </c>
      <c r="K47" s="20" t="s">
        <v>80</v>
      </c>
      <c r="L47" s="20" t="s">
        <v>80</v>
      </c>
      <c r="M47" s="20" t="s">
        <v>80</v>
      </c>
      <c r="N47" s="20" t="s">
        <v>80</v>
      </c>
      <c r="O47" s="20" t="s">
        <v>80</v>
      </c>
      <c r="P47" s="20" t="s">
        <v>80</v>
      </c>
      <c r="Q47" s="20" t="s">
        <v>80</v>
      </c>
      <c r="R47" s="20" t="s">
        <v>80</v>
      </c>
      <c r="S47" s="20" t="s">
        <v>80</v>
      </c>
      <c r="T47" s="20" t="s">
        <v>80</v>
      </c>
      <c r="U47" s="20" t="s">
        <v>80</v>
      </c>
      <c r="V47" s="20" t="s">
        <v>80</v>
      </c>
      <c r="W47" s="20" t="s">
        <v>80</v>
      </c>
      <c r="X47" s="20" t="s">
        <v>80</v>
      </c>
      <c r="Y47" s="20" t="s">
        <v>80</v>
      </c>
      <c r="Z47" s="20" t="s">
        <v>80</v>
      </c>
      <c r="AA47" s="34" t="s">
        <v>80</v>
      </c>
      <c r="AB47" s="15">
        <v>3.2258064516128999</v>
      </c>
      <c r="AC47" s="20" t="s">
        <v>80</v>
      </c>
      <c r="AD47" s="20" t="s">
        <v>80</v>
      </c>
      <c r="AE47" s="20" t="s">
        <v>80</v>
      </c>
      <c r="AF47" s="20" t="s">
        <v>80</v>
      </c>
      <c r="AG47" s="20" t="s">
        <v>80</v>
      </c>
      <c r="AH47" s="20" t="s">
        <v>80</v>
      </c>
      <c r="AI47" s="26" t="s">
        <v>80</v>
      </c>
      <c r="AJ47" s="38"/>
    </row>
    <row r="48" spans="1:36">
      <c r="A48" s="9" t="s">
        <v>197</v>
      </c>
      <c r="B48" s="36">
        <v>1.7089978547657101</v>
      </c>
      <c r="C48" s="32">
        <v>1.4681411861443601</v>
      </c>
      <c r="D48" s="32">
        <v>2.5547508900051201</v>
      </c>
      <c r="E48" s="32">
        <v>4.11282159493022</v>
      </c>
      <c r="F48" s="20" t="s">
        <v>80</v>
      </c>
      <c r="G48" s="20" t="s">
        <v>80</v>
      </c>
      <c r="H48" s="20" t="s">
        <v>80</v>
      </c>
      <c r="I48" s="20" t="s">
        <v>80</v>
      </c>
      <c r="J48" s="20" t="s">
        <v>80</v>
      </c>
      <c r="K48" s="20" t="s">
        <v>80</v>
      </c>
      <c r="L48" s="20" t="s">
        <v>80</v>
      </c>
      <c r="M48" s="20" t="s">
        <v>80</v>
      </c>
      <c r="N48" s="20" t="s">
        <v>80</v>
      </c>
      <c r="O48" s="20" t="s">
        <v>80</v>
      </c>
      <c r="P48" s="20" t="s">
        <v>80</v>
      </c>
      <c r="Q48" s="20" t="s">
        <v>80</v>
      </c>
      <c r="R48" s="20" t="s">
        <v>80</v>
      </c>
      <c r="S48" s="20" t="s">
        <v>80</v>
      </c>
      <c r="T48" s="20" t="s">
        <v>80</v>
      </c>
      <c r="U48" s="20" t="s">
        <v>80</v>
      </c>
      <c r="V48" s="20" t="s">
        <v>80</v>
      </c>
      <c r="W48" s="15">
        <v>37.5</v>
      </c>
      <c r="X48" s="20" t="s">
        <v>80</v>
      </c>
      <c r="Y48" s="15">
        <v>34.838709677419402</v>
      </c>
      <c r="Z48" s="20" t="s">
        <v>80</v>
      </c>
      <c r="AA48" s="32">
        <v>1.25936478065826</v>
      </c>
      <c r="AB48" s="20" t="s">
        <v>80</v>
      </c>
      <c r="AC48" s="20" t="s">
        <v>80</v>
      </c>
      <c r="AD48" s="15">
        <v>2.1459227467811202</v>
      </c>
      <c r="AE48" s="15">
        <v>2.5889967637540501</v>
      </c>
      <c r="AF48" s="20" t="s">
        <v>80</v>
      </c>
      <c r="AG48" s="20" t="s">
        <v>80</v>
      </c>
      <c r="AH48" s="15">
        <v>2.1352313167259802</v>
      </c>
      <c r="AI48" s="26" t="s">
        <v>80</v>
      </c>
      <c r="AJ48" s="38"/>
    </row>
    <row r="49" spans="1:36">
      <c r="A49" s="9" t="s">
        <v>198</v>
      </c>
      <c r="B49" s="36">
        <v>0.49837726734774102</v>
      </c>
      <c r="C49" s="32">
        <v>0.99992247553040403</v>
      </c>
      <c r="D49" s="32">
        <v>1.2961097091326901</v>
      </c>
      <c r="E49" s="32">
        <v>2.0591839055878798</v>
      </c>
      <c r="F49" s="15">
        <v>7.3770491803278704</v>
      </c>
      <c r="G49" s="20" t="s">
        <v>80</v>
      </c>
      <c r="H49" s="20" t="s">
        <v>80</v>
      </c>
      <c r="I49" s="20" t="s">
        <v>80</v>
      </c>
      <c r="J49" s="15">
        <v>10.714285714285699</v>
      </c>
      <c r="K49" s="20" t="s">
        <v>80</v>
      </c>
      <c r="L49" s="20" t="s">
        <v>80</v>
      </c>
      <c r="M49" s="20" t="s">
        <v>80</v>
      </c>
      <c r="N49" s="20" t="s">
        <v>80</v>
      </c>
      <c r="O49" s="20" t="s">
        <v>80</v>
      </c>
      <c r="P49" s="20" t="s">
        <v>80</v>
      </c>
      <c r="Q49" s="20" t="s">
        <v>80</v>
      </c>
      <c r="R49" s="20" t="s">
        <v>80</v>
      </c>
      <c r="S49" s="20" t="s">
        <v>80</v>
      </c>
      <c r="T49" s="20" t="s">
        <v>80</v>
      </c>
      <c r="U49" s="20" t="s">
        <v>80</v>
      </c>
      <c r="V49" s="20" t="s">
        <v>80</v>
      </c>
      <c r="W49" s="20" t="s">
        <v>80</v>
      </c>
      <c r="X49" s="20" t="s">
        <v>80</v>
      </c>
      <c r="Y49" s="20" t="s">
        <v>80</v>
      </c>
      <c r="Z49" s="20" t="s">
        <v>80</v>
      </c>
      <c r="AA49" s="34" t="s">
        <v>80</v>
      </c>
      <c r="AB49" s="20" t="s">
        <v>80</v>
      </c>
      <c r="AC49" s="20" t="s">
        <v>80</v>
      </c>
      <c r="AD49" s="20" t="s">
        <v>80</v>
      </c>
      <c r="AE49" s="15">
        <v>4.5307443365695796</v>
      </c>
      <c r="AF49" s="20" t="s">
        <v>80</v>
      </c>
      <c r="AG49" s="20" t="s">
        <v>80</v>
      </c>
      <c r="AH49" s="20" t="s">
        <v>80</v>
      </c>
      <c r="AI49" s="26" t="s">
        <v>80</v>
      </c>
      <c r="AJ49" s="38"/>
    </row>
    <row r="50" spans="1:36">
      <c r="A50" s="9" t="s">
        <v>199</v>
      </c>
      <c r="B50" s="36">
        <v>8.2732796800996802</v>
      </c>
      <c r="C50" s="32">
        <v>7.1303039171329496</v>
      </c>
      <c r="D50" s="32">
        <v>7.4229022689466904</v>
      </c>
      <c r="E50" s="32">
        <v>12.279993036272201</v>
      </c>
      <c r="F50" s="20" t="s">
        <v>80</v>
      </c>
      <c r="G50" s="15">
        <v>8.4745762711864394</v>
      </c>
      <c r="H50" s="15">
        <v>26.506024096385499</v>
      </c>
      <c r="I50" s="15">
        <v>11.1111111111111</v>
      </c>
      <c r="J50" s="15">
        <v>17.8571428571429</v>
      </c>
      <c r="K50" s="15">
        <v>25</v>
      </c>
      <c r="L50" s="15">
        <v>6.7961165048543704</v>
      </c>
      <c r="M50" s="20" t="s">
        <v>80</v>
      </c>
      <c r="N50" s="20" t="s">
        <v>80</v>
      </c>
      <c r="O50" s="15">
        <v>19.2982456140351</v>
      </c>
      <c r="P50" s="20" t="s">
        <v>80</v>
      </c>
      <c r="Q50" s="15">
        <v>8.5889570552147205</v>
      </c>
      <c r="R50" s="15">
        <v>11.363636363636401</v>
      </c>
      <c r="S50" s="15">
        <v>20.270270270270299</v>
      </c>
      <c r="T50" s="15">
        <v>16.6666666666667</v>
      </c>
      <c r="U50" s="15">
        <v>5.7377049180327901</v>
      </c>
      <c r="V50" s="15">
        <v>10.8108108108108</v>
      </c>
      <c r="W50" s="15">
        <v>21.590909090909101</v>
      </c>
      <c r="X50" s="15">
        <v>10.869565217391299</v>
      </c>
      <c r="Y50" s="15">
        <v>16.129032258064498</v>
      </c>
      <c r="Z50" s="15">
        <v>11.403508771929801</v>
      </c>
      <c r="AA50" s="32">
        <v>3.3846979102215999</v>
      </c>
      <c r="AB50" s="15">
        <v>3.2258064516128999</v>
      </c>
      <c r="AC50" s="15">
        <v>2.5236593059936898</v>
      </c>
      <c r="AD50" s="20" t="s">
        <v>80</v>
      </c>
      <c r="AE50" s="15">
        <v>12.621359223301001</v>
      </c>
      <c r="AF50" s="15">
        <v>4.92676431424767</v>
      </c>
      <c r="AG50" s="15">
        <v>6.8403908794788304</v>
      </c>
      <c r="AH50" s="20" t="s">
        <v>80</v>
      </c>
      <c r="AI50" s="26" t="s">
        <v>80</v>
      </c>
      <c r="AJ50" s="38"/>
    </row>
    <row r="51" spans="1:36">
      <c r="A51" s="9" t="s">
        <v>200</v>
      </c>
      <c r="B51" s="36">
        <v>3.22476602895272</v>
      </c>
      <c r="C51" s="32">
        <v>3.3081219983003298</v>
      </c>
      <c r="D51" s="32">
        <v>4.55706290968494</v>
      </c>
      <c r="E51" s="32">
        <v>4.1006602333156597</v>
      </c>
      <c r="F51" s="20" t="s">
        <v>80</v>
      </c>
      <c r="G51" s="20" t="s">
        <v>80</v>
      </c>
      <c r="H51" s="20" t="s">
        <v>80</v>
      </c>
      <c r="I51" s="20" t="s">
        <v>80</v>
      </c>
      <c r="J51" s="20" t="s">
        <v>80</v>
      </c>
      <c r="K51" s="20" t="s">
        <v>80</v>
      </c>
      <c r="L51" s="20" t="s">
        <v>80</v>
      </c>
      <c r="M51" s="20" t="s">
        <v>80</v>
      </c>
      <c r="N51" s="20" t="s">
        <v>80</v>
      </c>
      <c r="O51" s="20" t="s">
        <v>80</v>
      </c>
      <c r="P51" s="20" t="s">
        <v>80</v>
      </c>
      <c r="Q51" s="20" t="s">
        <v>80</v>
      </c>
      <c r="R51" s="20" t="s">
        <v>80</v>
      </c>
      <c r="S51" s="15">
        <v>9.4594594594594597</v>
      </c>
      <c r="T51" s="15">
        <v>11.1111111111111</v>
      </c>
      <c r="U51" s="20" t="s">
        <v>80</v>
      </c>
      <c r="V51" s="20" t="s">
        <v>80</v>
      </c>
      <c r="W51" s="15">
        <v>55.681818181818201</v>
      </c>
      <c r="X51" s="15">
        <v>7.6086956521739104</v>
      </c>
      <c r="Y51" s="15">
        <v>10.322580645161301</v>
      </c>
      <c r="Z51" s="20" t="s">
        <v>80</v>
      </c>
      <c r="AA51" s="32">
        <v>4.9365178890826202</v>
      </c>
      <c r="AB51" s="15">
        <v>6.4516129032258096</v>
      </c>
      <c r="AC51" s="20" t="s">
        <v>80</v>
      </c>
      <c r="AD51" s="15">
        <v>11.158798283261801</v>
      </c>
      <c r="AE51" s="15">
        <v>2.5889967637540501</v>
      </c>
      <c r="AF51" s="15">
        <v>5.5925432756324902</v>
      </c>
      <c r="AG51" s="15">
        <v>5.8631921824104198</v>
      </c>
      <c r="AH51" s="20" t="s">
        <v>80</v>
      </c>
      <c r="AI51" s="26" t="s">
        <v>80</v>
      </c>
      <c r="AJ51" s="38"/>
    </row>
    <row r="52" spans="1:36">
      <c r="A52" s="9" t="s">
        <v>201</v>
      </c>
      <c r="B52" s="36">
        <v>0.50928712414919097</v>
      </c>
      <c r="C52" s="32">
        <v>0.51765695540675305</v>
      </c>
      <c r="D52" s="32">
        <v>0.67075409090142502</v>
      </c>
      <c r="E52" s="34" t="s">
        <v>80</v>
      </c>
      <c r="F52" s="20" t="s">
        <v>80</v>
      </c>
      <c r="G52" s="20" t="s">
        <v>80</v>
      </c>
      <c r="H52" s="20" t="s">
        <v>80</v>
      </c>
      <c r="I52" s="20" t="s">
        <v>80</v>
      </c>
      <c r="J52" s="15">
        <v>10.714285714285699</v>
      </c>
      <c r="K52" s="20" t="s">
        <v>80</v>
      </c>
      <c r="L52" s="20" t="s">
        <v>80</v>
      </c>
      <c r="M52" s="20" t="s">
        <v>80</v>
      </c>
      <c r="N52" s="20" t="s">
        <v>80</v>
      </c>
      <c r="O52" s="20" t="s">
        <v>80</v>
      </c>
      <c r="P52" s="20" t="s">
        <v>80</v>
      </c>
      <c r="Q52" s="20" t="s">
        <v>80</v>
      </c>
      <c r="R52" s="20" t="s">
        <v>80</v>
      </c>
      <c r="S52" s="20" t="s">
        <v>80</v>
      </c>
      <c r="T52" s="20" t="s">
        <v>80</v>
      </c>
      <c r="U52" s="20" t="s">
        <v>80</v>
      </c>
      <c r="V52" s="20" t="s">
        <v>80</v>
      </c>
      <c r="W52" s="20" t="s">
        <v>80</v>
      </c>
      <c r="X52" s="20" t="s">
        <v>80</v>
      </c>
      <c r="Y52" s="20" t="s">
        <v>80</v>
      </c>
      <c r="Z52" s="20" t="s">
        <v>80</v>
      </c>
      <c r="AA52" s="34" t="s">
        <v>80</v>
      </c>
      <c r="AB52" s="20" t="s">
        <v>80</v>
      </c>
      <c r="AC52" s="20" t="s">
        <v>80</v>
      </c>
      <c r="AD52" s="20" t="s">
        <v>80</v>
      </c>
      <c r="AE52" s="20" t="s">
        <v>80</v>
      </c>
      <c r="AF52" s="20" t="s">
        <v>80</v>
      </c>
      <c r="AG52" s="20" t="s">
        <v>80</v>
      </c>
      <c r="AH52" s="20" t="s">
        <v>80</v>
      </c>
      <c r="AI52" s="26" t="s">
        <v>80</v>
      </c>
      <c r="AJ52" s="38"/>
    </row>
    <row r="53" spans="1:36">
      <c r="A53" s="9" t="s">
        <v>202</v>
      </c>
      <c r="B53" s="36">
        <v>6.9652156954483297</v>
      </c>
      <c r="C53" s="32">
        <v>6.0571326312190399</v>
      </c>
      <c r="D53" s="32">
        <v>4.2930940627939602</v>
      </c>
      <c r="E53" s="32">
        <v>4.9383693400517199</v>
      </c>
      <c r="F53" s="15">
        <v>6.5573770491803298</v>
      </c>
      <c r="G53" s="20" t="s">
        <v>80</v>
      </c>
      <c r="H53" s="20" t="s">
        <v>80</v>
      </c>
      <c r="I53" s="20" t="s">
        <v>80</v>
      </c>
      <c r="J53" s="15">
        <v>8.9285714285714306</v>
      </c>
      <c r="K53" s="20" t="s">
        <v>80</v>
      </c>
      <c r="L53" s="20" t="s">
        <v>80</v>
      </c>
      <c r="M53" s="15">
        <v>13.580246913580201</v>
      </c>
      <c r="N53" s="20" t="s">
        <v>80</v>
      </c>
      <c r="O53" s="20" t="s">
        <v>80</v>
      </c>
      <c r="P53" s="20" t="s">
        <v>80</v>
      </c>
      <c r="Q53" s="20" t="s">
        <v>80</v>
      </c>
      <c r="R53" s="15">
        <v>6.8181818181818201</v>
      </c>
      <c r="S53" s="15">
        <v>18.918918918918902</v>
      </c>
      <c r="T53" s="20" t="s">
        <v>80</v>
      </c>
      <c r="U53" s="20" t="s">
        <v>80</v>
      </c>
      <c r="V53" s="20" t="s">
        <v>80</v>
      </c>
      <c r="W53" s="15">
        <v>15.909090909090899</v>
      </c>
      <c r="X53" s="20" t="s">
        <v>80</v>
      </c>
      <c r="Y53" s="15">
        <v>6.4516129032258096</v>
      </c>
      <c r="Z53" s="15">
        <v>6.1403508771929802</v>
      </c>
      <c r="AA53" s="32">
        <v>3.7566096604992398</v>
      </c>
      <c r="AB53" s="15">
        <v>3.87096774193548</v>
      </c>
      <c r="AC53" s="15">
        <v>10.410094637224001</v>
      </c>
      <c r="AD53" s="15">
        <v>13.3047210300429</v>
      </c>
      <c r="AE53" s="15">
        <v>2.5889967637540501</v>
      </c>
      <c r="AF53" s="15">
        <v>1.3315579227696399</v>
      </c>
      <c r="AG53" s="15">
        <v>2.2801302931596101</v>
      </c>
      <c r="AH53" s="15">
        <v>10.3202846975089</v>
      </c>
      <c r="AI53" s="26" t="s">
        <v>80</v>
      </c>
      <c r="AJ53" s="38"/>
    </row>
    <row r="54" spans="1:36">
      <c r="A54" s="9" t="s">
        <v>203</v>
      </c>
      <c r="B54" s="36">
        <v>1.57363495228821</v>
      </c>
      <c r="C54" s="32">
        <v>1.5106759515340999</v>
      </c>
      <c r="D54" s="32">
        <v>2.26408419824353</v>
      </c>
      <c r="E54" s="32">
        <v>3.79229155532596</v>
      </c>
      <c r="F54" s="20" t="s">
        <v>80</v>
      </c>
      <c r="G54" s="20" t="s">
        <v>80</v>
      </c>
      <c r="H54" s="15">
        <v>48.192771084337402</v>
      </c>
      <c r="I54" s="20" t="s">
        <v>80</v>
      </c>
      <c r="J54" s="20" t="s">
        <v>80</v>
      </c>
      <c r="K54" s="20" t="s">
        <v>80</v>
      </c>
      <c r="L54" s="20" t="s">
        <v>80</v>
      </c>
      <c r="M54" s="20" t="s">
        <v>80</v>
      </c>
      <c r="N54" s="20" t="s">
        <v>80</v>
      </c>
      <c r="O54" s="20" t="s">
        <v>80</v>
      </c>
      <c r="P54" s="20" t="s">
        <v>80</v>
      </c>
      <c r="Q54" s="20" t="s">
        <v>80</v>
      </c>
      <c r="R54" s="20" t="s">
        <v>80</v>
      </c>
      <c r="S54" s="20" t="s">
        <v>80</v>
      </c>
      <c r="T54" s="15">
        <v>12.5</v>
      </c>
      <c r="U54" s="20" t="s">
        <v>80</v>
      </c>
      <c r="V54" s="20" t="s">
        <v>80</v>
      </c>
      <c r="W54" s="20" t="s">
        <v>80</v>
      </c>
      <c r="X54" s="20" t="s">
        <v>80</v>
      </c>
      <c r="Y54" s="20" t="s">
        <v>80</v>
      </c>
      <c r="Z54" s="20" t="s">
        <v>80</v>
      </c>
      <c r="AA54" s="32">
        <v>0.99352659369538898</v>
      </c>
      <c r="AB54" s="20" t="s">
        <v>80</v>
      </c>
      <c r="AC54" s="15">
        <v>5.6782334384858002</v>
      </c>
      <c r="AD54" s="20" t="s">
        <v>80</v>
      </c>
      <c r="AE54" s="20" t="s">
        <v>80</v>
      </c>
      <c r="AF54" s="20" t="s">
        <v>80</v>
      </c>
      <c r="AG54" s="15">
        <v>1.6286644951140099</v>
      </c>
      <c r="AH54" s="20" t="s">
        <v>80</v>
      </c>
      <c r="AI54" s="26" t="s">
        <v>80</v>
      </c>
      <c r="AJ54" s="38"/>
    </row>
    <row r="55" spans="1:36">
      <c r="A55" s="9" t="s">
        <v>204</v>
      </c>
      <c r="B55" s="36">
        <v>0.64335254668960595</v>
      </c>
      <c r="C55" s="32">
        <v>0.95265582388966796</v>
      </c>
      <c r="D55" s="32">
        <v>1.79481530651488</v>
      </c>
      <c r="E55" s="32">
        <v>2.2734251444020801</v>
      </c>
      <c r="F55" s="20" t="s">
        <v>80</v>
      </c>
      <c r="G55" s="20" t="s">
        <v>80</v>
      </c>
      <c r="H55" s="15">
        <v>19.277108433734899</v>
      </c>
      <c r="I55" s="20" t="s">
        <v>80</v>
      </c>
      <c r="J55" s="20" t="s">
        <v>80</v>
      </c>
      <c r="K55" s="20" t="s">
        <v>80</v>
      </c>
      <c r="L55" s="20" t="s">
        <v>80</v>
      </c>
      <c r="M55" s="20" t="s">
        <v>80</v>
      </c>
      <c r="N55" s="20" t="s">
        <v>80</v>
      </c>
      <c r="O55" s="20" t="s">
        <v>80</v>
      </c>
      <c r="P55" s="20" t="s">
        <v>80</v>
      </c>
      <c r="Q55" s="20" t="s">
        <v>80</v>
      </c>
      <c r="R55" s="20" t="s">
        <v>80</v>
      </c>
      <c r="S55" s="20" t="s">
        <v>80</v>
      </c>
      <c r="T55" s="20" t="s">
        <v>80</v>
      </c>
      <c r="U55" s="20" t="s">
        <v>80</v>
      </c>
      <c r="V55" s="20" t="s">
        <v>80</v>
      </c>
      <c r="W55" s="15">
        <v>20.454545454545499</v>
      </c>
      <c r="X55" s="20" t="s">
        <v>80</v>
      </c>
      <c r="Y55" s="20" t="s">
        <v>80</v>
      </c>
      <c r="Z55" s="20" t="s">
        <v>80</v>
      </c>
      <c r="AA55" s="32">
        <v>1.39689720572776</v>
      </c>
      <c r="AB55" s="20" t="s">
        <v>80</v>
      </c>
      <c r="AC55" s="20" t="s">
        <v>80</v>
      </c>
      <c r="AD55" s="15">
        <v>6.0085836909871198</v>
      </c>
      <c r="AE55" s="15">
        <v>4.2071197411003203</v>
      </c>
      <c r="AF55" s="15">
        <v>1.59786950732357</v>
      </c>
      <c r="AG55" s="20" t="s">
        <v>80</v>
      </c>
      <c r="AH55" s="20" t="s">
        <v>80</v>
      </c>
      <c r="AI55" s="26" t="s">
        <v>80</v>
      </c>
      <c r="AJ55" s="38"/>
    </row>
    <row r="56" spans="1:36">
      <c r="A56" s="9" t="s">
        <v>205</v>
      </c>
      <c r="B56" s="36">
        <v>2.2180682918292698</v>
      </c>
      <c r="C56" s="32">
        <v>2.2464406104104202</v>
      </c>
      <c r="D56" s="32">
        <v>2.6929960438729901</v>
      </c>
      <c r="E56" s="32">
        <v>2.1527013187677002</v>
      </c>
      <c r="F56" s="20" t="s">
        <v>80</v>
      </c>
      <c r="G56" s="20" t="s">
        <v>80</v>
      </c>
      <c r="H56" s="20" t="s">
        <v>80</v>
      </c>
      <c r="I56" s="20" t="s">
        <v>80</v>
      </c>
      <c r="J56" s="20" t="s">
        <v>80</v>
      </c>
      <c r="K56" s="20" t="s">
        <v>80</v>
      </c>
      <c r="L56" s="20" t="s">
        <v>80</v>
      </c>
      <c r="M56" s="20" t="s">
        <v>80</v>
      </c>
      <c r="N56" s="20" t="s">
        <v>80</v>
      </c>
      <c r="O56" s="20" t="s">
        <v>80</v>
      </c>
      <c r="P56" s="20" t="s">
        <v>80</v>
      </c>
      <c r="Q56" s="20" t="s">
        <v>80</v>
      </c>
      <c r="R56" s="20" t="s">
        <v>80</v>
      </c>
      <c r="S56" s="20" t="s">
        <v>80</v>
      </c>
      <c r="T56" s="20" t="s">
        <v>80</v>
      </c>
      <c r="U56" s="15">
        <v>5.7377049180327901</v>
      </c>
      <c r="V56" s="20" t="s">
        <v>80</v>
      </c>
      <c r="W56" s="20" t="s">
        <v>80</v>
      </c>
      <c r="X56" s="20" t="s">
        <v>80</v>
      </c>
      <c r="Y56" s="20" t="s">
        <v>80</v>
      </c>
      <c r="Z56" s="20" t="s">
        <v>80</v>
      </c>
      <c r="AA56" s="32">
        <v>3.14219920239616</v>
      </c>
      <c r="AB56" s="20" t="s">
        <v>80</v>
      </c>
      <c r="AC56" s="15">
        <v>1.5772870662460601</v>
      </c>
      <c r="AD56" s="15">
        <v>5.5793991416309003</v>
      </c>
      <c r="AE56" s="15">
        <v>1.61812297734628</v>
      </c>
      <c r="AF56" s="15">
        <v>0.93209054593874796</v>
      </c>
      <c r="AG56" s="15">
        <v>4.5602605863192203</v>
      </c>
      <c r="AH56" s="15">
        <v>10.676156583629901</v>
      </c>
      <c r="AI56" s="26" t="s">
        <v>80</v>
      </c>
      <c r="AJ56" s="38"/>
    </row>
    <row r="57" spans="1:36">
      <c r="A57" s="9" t="s">
        <v>206</v>
      </c>
      <c r="B57" s="36">
        <v>1.0788988744740799</v>
      </c>
      <c r="C57" s="32">
        <v>1.03368230857855</v>
      </c>
      <c r="D57" s="32">
        <v>1.2672750488614</v>
      </c>
      <c r="E57" s="32">
        <v>1.1481358338180001</v>
      </c>
      <c r="F57" s="20" t="s">
        <v>80</v>
      </c>
      <c r="G57" s="20" t="s">
        <v>80</v>
      </c>
      <c r="H57" s="15">
        <v>6.0240963855421699</v>
      </c>
      <c r="I57" s="20" t="s">
        <v>80</v>
      </c>
      <c r="J57" s="15">
        <v>12.5</v>
      </c>
      <c r="K57" s="20" t="s">
        <v>80</v>
      </c>
      <c r="L57" s="20" t="s">
        <v>80</v>
      </c>
      <c r="M57" s="20" t="s">
        <v>80</v>
      </c>
      <c r="N57" s="20" t="s">
        <v>80</v>
      </c>
      <c r="O57" s="15">
        <v>12.280701754386</v>
      </c>
      <c r="P57" s="20" t="s">
        <v>80</v>
      </c>
      <c r="Q57" s="20" t="s">
        <v>80</v>
      </c>
      <c r="R57" s="20" t="s">
        <v>80</v>
      </c>
      <c r="S57" s="20" t="s">
        <v>80</v>
      </c>
      <c r="T57" s="20" t="s">
        <v>80</v>
      </c>
      <c r="U57" s="20" t="s">
        <v>80</v>
      </c>
      <c r="V57" s="20" t="s">
        <v>80</v>
      </c>
      <c r="W57" s="20" t="s">
        <v>80</v>
      </c>
      <c r="X57" s="20" t="s">
        <v>80</v>
      </c>
      <c r="Y57" s="20" t="s">
        <v>80</v>
      </c>
      <c r="Z57" s="20" t="s">
        <v>80</v>
      </c>
      <c r="AA57" s="32">
        <v>1.3663278606226901</v>
      </c>
      <c r="AB57" s="20" t="s">
        <v>80</v>
      </c>
      <c r="AC57" s="20" t="s">
        <v>80</v>
      </c>
      <c r="AD57" s="20" t="s">
        <v>80</v>
      </c>
      <c r="AE57" s="15">
        <v>6.7961165048543704</v>
      </c>
      <c r="AF57" s="15">
        <v>2.79627163781625</v>
      </c>
      <c r="AG57" s="15">
        <v>2.6058631921824098</v>
      </c>
      <c r="AH57" s="20" t="s">
        <v>80</v>
      </c>
      <c r="AI57" s="26" t="s">
        <v>80</v>
      </c>
      <c r="AJ57" s="38"/>
    </row>
    <row r="58" spans="1:36">
      <c r="A58" s="9" t="s">
        <v>207</v>
      </c>
      <c r="B58" s="36">
        <v>2.1302041688114799</v>
      </c>
      <c r="C58" s="32">
        <v>2.10103984630019</v>
      </c>
      <c r="D58" s="32">
        <v>2.8567319523757999</v>
      </c>
      <c r="E58" s="34" t="s">
        <v>80</v>
      </c>
      <c r="F58" s="20" t="s">
        <v>80</v>
      </c>
      <c r="G58" s="20" t="s">
        <v>80</v>
      </c>
      <c r="H58" s="15">
        <v>6.0240963855421699</v>
      </c>
      <c r="I58" s="20" t="s">
        <v>80</v>
      </c>
      <c r="J58" s="20" t="s">
        <v>80</v>
      </c>
      <c r="K58" s="20" t="s">
        <v>80</v>
      </c>
      <c r="L58" s="20" t="s">
        <v>80</v>
      </c>
      <c r="M58" s="20" t="s">
        <v>80</v>
      </c>
      <c r="N58" s="20" t="s">
        <v>80</v>
      </c>
      <c r="O58" s="20" t="s">
        <v>80</v>
      </c>
      <c r="P58" s="20" t="s">
        <v>80</v>
      </c>
      <c r="Q58" s="20" t="s">
        <v>80</v>
      </c>
      <c r="R58" s="20" t="s">
        <v>80</v>
      </c>
      <c r="S58" s="20" t="s">
        <v>80</v>
      </c>
      <c r="T58" s="20" t="s">
        <v>80</v>
      </c>
      <c r="U58" s="20" t="s">
        <v>80</v>
      </c>
      <c r="V58" s="20" t="s">
        <v>80</v>
      </c>
      <c r="W58" s="20" t="s">
        <v>80</v>
      </c>
      <c r="X58" s="20" t="s">
        <v>80</v>
      </c>
      <c r="Y58" s="20" t="s">
        <v>80</v>
      </c>
      <c r="Z58" s="20" t="s">
        <v>80</v>
      </c>
      <c r="AA58" s="32">
        <v>4.3592665385266498</v>
      </c>
      <c r="AB58" s="15">
        <v>4.5161290322580596</v>
      </c>
      <c r="AC58" s="20" t="s">
        <v>80</v>
      </c>
      <c r="AD58" s="15">
        <v>11.587982832618</v>
      </c>
      <c r="AE58" s="15">
        <v>3.55987055016181</v>
      </c>
      <c r="AF58" s="15">
        <v>4.6604527296937404</v>
      </c>
      <c r="AG58" s="15">
        <v>2.2801302931596101</v>
      </c>
      <c r="AH58" s="20" t="s">
        <v>80</v>
      </c>
      <c r="AI58" s="26" t="s">
        <v>80</v>
      </c>
      <c r="AJ58" s="38"/>
    </row>
    <row r="59" spans="1:36">
      <c r="A59" s="9" t="s">
        <v>208</v>
      </c>
      <c r="B59" s="36">
        <v>0.43132470215101998</v>
      </c>
      <c r="C59" s="32">
        <v>0.32882322164014999</v>
      </c>
      <c r="D59" s="34" t="s">
        <v>80</v>
      </c>
      <c r="E59" s="34" t="s">
        <v>80</v>
      </c>
      <c r="F59" s="20" t="s">
        <v>80</v>
      </c>
      <c r="G59" s="20" t="s">
        <v>80</v>
      </c>
      <c r="H59" s="20" t="s">
        <v>80</v>
      </c>
      <c r="I59" s="20" t="s">
        <v>80</v>
      </c>
      <c r="J59" s="20" t="s">
        <v>80</v>
      </c>
      <c r="K59" s="20" t="s">
        <v>80</v>
      </c>
      <c r="L59" s="20" t="s">
        <v>80</v>
      </c>
      <c r="M59" s="20" t="s">
        <v>80</v>
      </c>
      <c r="N59" s="20" t="s">
        <v>80</v>
      </c>
      <c r="O59" s="20" t="s">
        <v>80</v>
      </c>
      <c r="P59" s="20" t="s">
        <v>80</v>
      </c>
      <c r="Q59" s="20" t="s">
        <v>80</v>
      </c>
      <c r="R59" s="20" t="s">
        <v>80</v>
      </c>
      <c r="S59" s="20" t="s">
        <v>80</v>
      </c>
      <c r="T59" s="20" t="s">
        <v>80</v>
      </c>
      <c r="U59" s="20" t="s">
        <v>80</v>
      </c>
      <c r="V59" s="20" t="s">
        <v>80</v>
      </c>
      <c r="W59" s="20" t="s">
        <v>80</v>
      </c>
      <c r="X59" s="20" t="s">
        <v>80</v>
      </c>
      <c r="Y59" s="20" t="s">
        <v>80</v>
      </c>
      <c r="Z59" s="20" t="s">
        <v>80</v>
      </c>
      <c r="AA59" s="34" t="s">
        <v>80</v>
      </c>
      <c r="AB59" s="20" t="s">
        <v>80</v>
      </c>
      <c r="AC59" s="20" t="s">
        <v>80</v>
      </c>
      <c r="AD59" s="20" t="s">
        <v>80</v>
      </c>
      <c r="AE59" s="20" t="s">
        <v>80</v>
      </c>
      <c r="AF59" s="20" t="s">
        <v>80</v>
      </c>
      <c r="AG59" s="20" t="s">
        <v>80</v>
      </c>
      <c r="AH59" s="20" t="s">
        <v>80</v>
      </c>
      <c r="AI59" s="24">
        <v>38.8888888888889</v>
      </c>
      <c r="AJ59" s="38"/>
    </row>
    <row r="60" spans="1:36">
      <c r="A60" s="9" t="s">
        <v>209</v>
      </c>
      <c r="B60" s="36">
        <v>0.288581049189156</v>
      </c>
      <c r="C60" s="32">
        <v>0.23014368826083001</v>
      </c>
      <c r="D60" s="34" t="s">
        <v>80</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34" t="s">
        <v>80</v>
      </c>
      <c r="AB60" s="20" t="s">
        <v>80</v>
      </c>
      <c r="AC60" s="20" t="s">
        <v>80</v>
      </c>
      <c r="AD60" s="20" t="s">
        <v>80</v>
      </c>
      <c r="AE60" s="20" t="s">
        <v>80</v>
      </c>
      <c r="AF60" s="15">
        <v>0.66577896138481996</v>
      </c>
      <c r="AG60" s="20" t="s">
        <v>80</v>
      </c>
      <c r="AH60" s="20" t="s">
        <v>80</v>
      </c>
      <c r="AI60" s="26" t="s">
        <v>80</v>
      </c>
      <c r="AJ60" s="38"/>
    </row>
    <row r="61" spans="1:36">
      <c r="A61" s="9" t="s">
        <v>210</v>
      </c>
      <c r="B61" s="36">
        <v>0.22578542086359499</v>
      </c>
      <c r="C61" s="32">
        <v>0.15701056761357099</v>
      </c>
      <c r="D61" s="34" t="s">
        <v>80</v>
      </c>
      <c r="E61" s="34" t="s">
        <v>80</v>
      </c>
      <c r="F61" s="20" t="s">
        <v>80</v>
      </c>
      <c r="G61" s="20" t="s">
        <v>80</v>
      </c>
      <c r="H61" s="20" t="s">
        <v>80</v>
      </c>
      <c r="I61" s="20" t="s">
        <v>80</v>
      </c>
      <c r="J61" s="20" t="s">
        <v>80</v>
      </c>
      <c r="K61" s="20" t="s">
        <v>80</v>
      </c>
      <c r="L61" s="20" t="s">
        <v>80</v>
      </c>
      <c r="M61" s="20" t="s">
        <v>80</v>
      </c>
      <c r="N61" s="20" t="s">
        <v>80</v>
      </c>
      <c r="O61" s="20" t="s">
        <v>80</v>
      </c>
      <c r="P61" s="20" t="s">
        <v>80</v>
      </c>
      <c r="Q61" s="20" t="s">
        <v>80</v>
      </c>
      <c r="R61" s="20" t="s">
        <v>80</v>
      </c>
      <c r="S61" s="20" t="s">
        <v>80</v>
      </c>
      <c r="T61" s="20" t="s">
        <v>80</v>
      </c>
      <c r="U61" s="20" t="s">
        <v>80</v>
      </c>
      <c r="V61" s="20" t="s">
        <v>80</v>
      </c>
      <c r="W61" s="20" t="s">
        <v>80</v>
      </c>
      <c r="X61" s="20" t="s">
        <v>80</v>
      </c>
      <c r="Y61" s="20" t="s">
        <v>80</v>
      </c>
      <c r="Z61" s="20" t="s">
        <v>80</v>
      </c>
      <c r="AA61" s="34" t="s">
        <v>80</v>
      </c>
      <c r="AB61" s="20" t="s">
        <v>80</v>
      </c>
      <c r="AC61" s="20" t="s">
        <v>80</v>
      </c>
      <c r="AD61" s="20" t="s">
        <v>80</v>
      </c>
      <c r="AE61" s="20" t="s">
        <v>80</v>
      </c>
      <c r="AF61" s="20" t="s">
        <v>80</v>
      </c>
      <c r="AG61" s="20" t="s">
        <v>80</v>
      </c>
      <c r="AH61" s="20" t="s">
        <v>80</v>
      </c>
      <c r="AI61" s="26" t="s">
        <v>80</v>
      </c>
      <c r="AJ61" s="38"/>
    </row>
    <row r="62" spans="1:36">
      <c r="A62" s="9" t="s">
        <v>211</v>
      </c>
      <c r="B62" s="36">
        <v>0.20599038997869401</v>
      </c>
      <c r="C62" s="32">
        <v>0.192384542897859</v>
      </c>
      <c r="D62" s="34" t="s">
        <v>80</v>
      </c>
      <c r="E62" s="34" t="s">
        <v>80</v>
      </c>
      <c r="F62" s="20" t="s">
        <v>80</v>
      </c>
      <c r="G62" s="20" t="s">
        <v>80</v>
      </c>
      <c r="H62" s="20" t="s">
        <v>80</v>
      </c>
      <c r="I62" s="20" t="s">
        <v>80</v>
      </c>
      <c r="J62" s="20" t="s">
        <v>80</v>
      </c>
      <c r="K62" s="20" t="s">
        <v>80</v>
      </c>
      <c r="L62" s="20" t="s">
        <v>80</v>
      </c>
      <c r="M62" s="20" t="s">
        <v>80</v>
      </c>
      <c r="N62" s="20" t="s">
        <v>80</v>
      </c>
      <c r="O62" s="20" t="s">
        <v>80</v>
      </c>
      <c r="P62" s="20" t="s">
        <v>80</v>
      </c>
      <c r="Q62" s="20" t="s">
        <v>80</v>
      </c>
      <c r="R62" s="20" t="s">
        <v>80</v>
      </c>
      <c r="S62" s="20" t="s">
        <v>80</v>
      </c>
      <c r="T62" s="20" t="s">
        <v>80</v>
      </c>
      <c r="U62" s="20" t="s">
        <v>80</v>
      </c>
      <c r="V62" s="20" t="s">
        <v>80</v>
      </c>
      <c r="W62" s="20" t="s">
        <v>80</v>
      </c>
      <c r="X62" s="20" t="s">
        <v>80</v>
      </c>
      <c r="Y62" s="20" t="s">
        <v>80</v>
      </c>
      <c r="Z62" s="20" t="s">
        <v>80</v>
      </c>
      <c r="AA62" s="34" t="s">
        <v>80</v>
      </c>
      <c r="AB62" s="20" t="s">
        <v>80</v>
      </c>
      <c r="AC62" s="20" t="s">
        <v>80</v>
      </c>
      <c r="AD62" s="20" t="s">
        <v>80</v>
      </c>
      <c r="AE62" s="20" t="s">
        <v>80</v>
      </c>
      <c r="AF62" s="20" t="s">
        <v>80</v>
      </c>
      <c r="AG62" s="20" t="s">
        <v>80</v>
      </c>
      <c r="AH62" s="20" t="s">
        <v>80</v>
      </c>
      <c r="AI62" s="26" t="s">
        <v>80</v>
      </c>
      <c r="AJ62" s="38"/>
    </row>
    <row r="63" spans="1:36">
      <c r="A63" s="9" t="s">
        <v>212</v>
      </c>
      <c r="B63" s="36">
        <v>0.53088940805526397</v>
      </c>
      <c r="C63" s="32">
        <v>0.41277980449271501</v>
      </c>
      <c r="D63" s="34" t="s">
        <v>80</v>
      </c>
      <c r="E63" s="34" t="s">
        <v>80</v>
      </c>
      <c r="F63" s="20" t="s">
        <v>80</v>
      </c>
      <c r="G63" s="20" t="s">
        <v>80</v>
      </c>
      <c r="H63" s="20" t="s">
        <v>80</v>
      </c>
      <c r="I63" s="20" t="s">
        <v>80</v>
      </c>
      <c r="J63" s="20" t="s">
        <v>80</v>
      </c>
      <c r="K63" s="20" t="s">
        <v>80</v>
      </c>
      <c r="L63" s="20" t="s">
        <v>80</v>
      </c>
      <c r="M63" s="20" t="s">
        <v>80</v>
      </c>
      <c r="N63" s="20" t="s">
        <v>80</v>
      </c>
      <c r="O63" s="20" t="s">
        <v>80</v>
      </c>
      <c r="P63" s="20" t="s">
        <v>80</v>
      </c>
      <c r="Q63" s="20" t="s">
        <v>80</v>
      </c>
      <c r="R63" s="20" t="s">
        <v>80</v>
      </c>
      <c r="S63" s="20" t="s">
        <v>80</v>
      </c>
      <c r="T63" s="20" t="s">
        <v>80</v>
      </c>
      <c r="U63" s="20" t="s">
        <v>80</v>
      </c>
      <c r="V63" s="20" t="s">
        <v>80</v>
      </c>
      <c r="W63" s="20" t="s">
        <v>80</v>
      </c>
      <c r="X63" s="20" t="s">
        <v>80</v>
      </c>
      <c r="Y63" s="20" t="s">
        <v>80</v>
      </c>
      <c r="Z63" s="20" t="s">
        <v>80</v>
      </c>
      <c r="AA63" s="34" t="s">
        <v>80</v>
      </c>
      <c r="AB63" s="20" t="s">
        <v>80</v>
      </c>
      <c r="AC63" s="20" t="s">
        <v>80</v>
      </c>
      <c r="AD63" s="20" t="s">
        <v>80</v>
      </c>
      <c r="AE63" s="20" t="s">
        <v>80</v>
      </c>
      <c r="AF63" s="20" t="s">
        <v>80</v>
      </c>
      <c r="AG63" s="20" t="s">
        <v>80</v>
      </c>
      <c r="AH63" s="20" t="s">
        <v>80</v>
      </c>
      <c r="AI63" s="26" t="s">
        <v>80</v>
      </c>
      <c r="AJ63" s="38"/>
    </row>
    <row r="64" spans="1:36">
      <c r="A64" s="11" t="s">
        <v>213</v>
      </c>
      <c r="B64" s="37">
        <v>1.54036442212826</v>
      </c>
      <c r="C64" s="33">
        <v>1.48136293446962</v>
      </c>
      <c r="D64" s="33">
        <v>1.6317576328185099</v>
      </c>
      <c r="E64" s="33">
        <v>2.7206856857655599</v>
      </c>
      <c r="F64" s="28" t="s">
        <v>80</v>
      </c>
      <c r="G64" s="28" t="s">
        <v>80</v>
      </c>
      <c r="H64" s="16">
        <v>15.662650602409601</v>
      </c>
      <c r="I64" s="28" t="s">
        <v>80</v>
      </c>
      <c r="J64" s="28" t="s">
        <v>80</v>
      </c>
      <c r="K64" s="28" t="s">
        <v>80</v>
      </c>
      <c r="L64" s="28" t="s">
        <v>80</v>
      </c>
      <c r="M64" s="28" t="s">
        <v>80</v>
      </c>
      <c r="N64" s="28" t="s">
        <v>80</v>
      </c>
      <c r="O64" s="28" t="s">
        <v>80</v>
      </c>
      <c r="P64" s="28" t="s">
        <v>80</v>
      </c>
      <c r="Q64" s="28" t="s">
        <v>80</v>
      </c>
      <c r="R64" s="28" t="s">
        <v>80</v>
      </c>
      <c r="S64" s="28" t="s">
        <v>80</v>
      </c>
      <c r="T64" s="28" t="s">
        <v>80</v>
      </c>
      <c r="U64" s="28" t="s">
        <v>80</v>
      </c>
      <c r="V64" s="28" t="s">
        <v>80</v>
      </c>
      <c r="W64" s="28" t="s">
        <v>80</v>
      </c>
      <c r="X64" s="28" t="s">
        <v>80</v>
      </c>
      <c r="Y64" s="16">
        <v>4.5161290322580596</v>
      </c>
      <c r="Z64" s="28" t="s">
        <v>80</v>
      </c>
      <c r="AA64" s="39" t="s">
        <v>80</v>
      </c>
      <c r="AB64" s="28" t="s">
        <v>80</v>
      </c>
      <c r="AC64" s="28" t="s">
        <v>80</v>
      </c>
      <c r="AD64" s="28" t="s">
        <v>80</v>
      </c>
      <c r="AE64" s="28" t="s">
        <v>80</v>
      </c>
      <c r="AF64" s="16">
        <v>1.06524633821571</v>
      </c>
      <c r="AG64" s="28" t="s">
        <v>80</v>
      </c>
      <c r="AH64" s="28" t="s">
        <v>80</v>
      </c>
      <c r="AI64" s="29" t="s">
        <v>80</v>
      </c>
      <c r="AJ64" s="38"/>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218</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64.623748563866997</v>
      </c>
      <c r="C3" s="15">
        <v>66.087350837459795</v>
      </c>
      <c r="D3" s="24">
        <v>63.414228136724702</v>
      </c>
      <c r="E3" s="15">
        <v>65.699374656881204</v>
      </c>
      <c r="F3" s="15">
        <v>66.524610305811393</v>
      </c>
      <c r="G3" s="24">
        <v>65.007136730065</v>
      </c>
      <c r="H3" s="15">
        <v>64.034058534814804</v>
      </c>
      <c r="I3" s="15">
        <v>65.735916572297398</v>
      </c>
      <c r="J3" s="24">
        <v>62.603550278115897</v>
      </c>
      <c r="K3" s="15">
        <v>59.294966144723503</v>
      </c>
      <c r="L3" s="15">
        <v>68.784234373191794</v>
      </c>
      <c r="M3" s="24">
        <v>56.902266117807301</v>
      </c>
      <c r="N3" s="15">
        <v>55.494220845182497</v>
      </c>
      <c r="O3" s="15">
        <v>62.625797049212103</v>
      </c>
      <c r="P3" s="24">
        <v>50.3364563762118</v>
      </c>
    </row>
    <row r="4" spans="1:16" ht="21.9" customHeight="1">
      <c r="A4" s="22" t="s">
        <v>19</v>
      </c>
      <c r="B4" s="15">
        <v>66.658393578047097</v>
      </c>
      <c r="C4" s="15">
        <v>67.651055329591202</v>
      </c>
      <c r="D4" s="24">
        <v>65.8442176512971</v>
      </c>
      <c r="E4" s="15">
        <v>68.044201747072606</v>
      </c>
      <c r="F4" s="15">
        <v>68.716014193359499</v>
      </c>
      <c r="G4" s="24">
        <v>67.482666248686698</v>
      </c>
      <c r="H4" s="15">
        <v>65.887290495483498</v>
      </c>
      <c r="I4" s="15">
        <v>66.772579909875304</v>
      </c>
      <c r="J4" s="24">
        <v>65.159553955464105</v>
      </c>
      <c r="K4" s="15">
        <v>57.641344521759997</v>
      </c>
      <c r="L4" s="15">
        <v>69.838031919144896</v>
      </c>
      <c r="M4" s="24">
        <v>53.887596001647601</v>
      </c>
      <c r="N4" s="15">
        <v>55.303430073398403</v>
      </c>
      <c r="O4" s="15">
        <v>60.867199496162598</v>
      </c>
      <c r="P4" s="24">
        <v>50.945605182662497</v>
      </c>
    </row>
    <row r="5" spans="1:16" ht="21.9" customHeight="1">
      <c r="A5" s="22" t="s">
        <v>20</v>
      </c>
      <c r="B5" s="15">
        <v>63.742690412632498</v>
      </c>
      <c r="C5" s="15">
        <v>65.2303309352273</v>
      </c>
      <c r="D5" s="24">
        <v>62.505860233758497</v>
      </c>
      <c r="E5" s="15">
        <v>65.078382735852699</v>
      </c>
      <c r="F5" s="15">
        <v>66.649923541018495</v>
      </c>
      <c r="G5" s="24">
        <v>63.742287345258703</v>
      </c>
      <c r="H5" s="15">
        <v>62.779845624824098</v>
      </c>
      <c r="I5" s="15">
        <v>63.6339043821161</v>
      </c>
      <c r="J5" s="24">
        <v>62.079921076110097</v>
      </c>
      <c r="K5" s="15">
        <v>59.872207325425101</v>
      </c>
      <c r="L5" s="20" t="s">
        <v>80</v>
      </c>
      <c r="M5" s="24">
        <v>55.6359438350433</v>
      </c>
      <c r="N5" s="15">
        <v>56.244807791203897</v>
      </c>
      <c r="O5" s="15">
        <v>64.025108335052593</v>
      </c>
      <c r="P5" s="26" t="s">
        <v>80</v>
      </c>
    </row>
    <row r="6" spans="1:16" ht="21.9" customHeight="1">
      <c r="A6" s="22" t="s">
        <v>115</v>
      </c>
      <c r="B6" s="15">
        <v>65.2303309352273</v>
      </c>
      <c r="C6" s="15">
        <v>65.2303309352273</v>
      </c>
      <c r="D6" s="26" t="s">
        <v>80</v>
      </c>
      <c r="E6" s="15">
        <v>66.649923541018495</v>
      </c>
      <c r="F6" s="15">
        <v>66.649923541018495</v>
      </c>
      <c r="G6" s="26" t="s">
        <v>80</v>
      </c>
      <c r="H6" s="15">
        <v>63.6339043821161</v>
      </c>
      <c r="I6" s="15">
        <v>63.6339043821161</v>
      </c>
      <c r="J6" s="26" t="s">
        <v>80</v>
      </c>
      <c r="K6" s="20" t="s">
        <v>80</v>
      </c>
      <c r="L6" s="20" t="s">
        <v>80</v>
      </c>
      <c r="M6" s="26" t="s">
        <v>80</v>
      </c>
      <c r="N6" s="15">
        <v>64.025108335052593</v>
      </c>
      <c r="O6" s="15">
        <v>64.025108335052593</v>
      </c>
      <c r="P6" s="26" t="s">
        <v>80</v>
      </c>
    </row>
    <row r="7" spans="1:16">
      <c r="A7" s="9" t="s">
        <v>116</v>
      </c>
      <c r="B7" s="15">
        <v>81.967213114754102</v>
      </c>
      <c r="C7" s="15">
        <v>81.967213114754102</v>
      </c>
      <c r="D7" s="26" t="s">
        <v>80</v>
      </c>
      <c r="E7" s="15">
        <v>87.719298245613999</v>
      </c>
      <c r="F7" s="15">
        <v>87.719298245613999</v>
      </c>
      <c r="G7" s="26" t="s">
        <v>80</v>
      </c>
      <c r="H7" s="15">
        <v>76.923076923076906</v>
      </c>
      <c r="I7" s="15">
        <v>76.923076923076906</v>
      </c>
      <c r="J7" s="26" t="s">
        <v>80</v>
      </c>
      <c r="K7" s="20" t="s">
        <v>80</v>
      </c>
      <c r="L7" s="20" t="s">
        <v>80</v>
      </c>
      <c r="M7" s="26" t="s">
        <v>80</v>
      </c>
      <c r="N7" s="20" t="s">
        <v>80</v>
      </c>
      <c r="O7" s="20" t="s">
        <v>80</v>
      </c>
      <c r="P7" s="26" t="s">
        <v>80</v>
      </c>
    </row>
    <row r="8" spans="1:16">
      <c r="A8" s="9" t="s">
        <v>117</v>
      </c>
      <c r="B8" s="15">
        <v>86.440677966101703</v>
      </c>
      <c r="C8" s="15">
        <v>86.440677966101703</v>
      </c>
      <c r="D8" s="26" t="s">
        <v>80</v>
      </c>
      <c r="E8" s="15">
        <v>91.176470588235304</v>
      </c>
      <c r="F8" s="15">
        <v>91.176470588235304</v>
      </c>
      <c r="G8" s="26" t="s">
        <v>80</v>
      </c>
      <c r="H8" s="15">
        <v>80</v>
      </c>
      <c r="I8" s="15">
        <v>80</v>
      </c>
      <c r="J8" s="26" t="s">
        <v>80</v>
      </c>
      <c r="K8" s="20" t="s">
        <v>80</v>
      </c>
      <c r="L8" s="20" t="s">
        <v>80</v>
      </c>
      <c r="M8" s="26" t="s">
        <v>80</v>
      </c>
      <c r="N8" s="20" t="s">
        <v>80</v>
      </c>
      <c r="O8" s="20" t="s">
        <v>80</v>
      </c>
      <c r="P8" s="26" t="s">
        <v>80</v>
      </c>
    </row>
    <row r="9" spans="1:16">
      <c r="A9" s="9" t="s">
        <v>118</v>
      </c>
      <c r="B9" s="15">
        <v>54.216867469879503</v>
      </c>
      <c r="C9" s="15">
        <v>54.216867469879503</v>
      </c>
      <c r="D9" s="26" t="s">
        <v>80</v>
      </c>
      <c r="E9" s="15">
        <v>55.5555555555556</v>
      </c>
      <c r="F9" s="15">
        <v>55.5555555555556</v>
      </c>
      <c r="G9" s="26" t="s">
        <v>80</v>
      </c>
      <c r="H9" s="15">
        <v>54.054054054054099</v>
      </c>
      <c r="I9" s="15">
        <v>54.054054054054099</v>
      </c>
      <c r="J9" s="26" t="s">
        <v>80</v>
      </c>
      <c r="K9" s="20" t="s">
        <v>80</v>
      </c>
      <c r="L9" s="20" t="s">
        <v>80</v>
      </c>
      <c r="M9" s="26" t="s">
        <v>80</v>
      </c>
      <c r="N9" s="20" t="s">
        <v>80</v>
      </c>
      <c r="O9" s="20" t="s">
        <v>80</v>
      </c>
      <c r="P9" s="26" t="s">
        <v>80</v>
      </c>
    </row>
    <row r="10" spans="1:16">
      <c r="A10" s="9" t="s">
        <v>119</v>
      </c>
      <c r="B10" s="15">
        <v>70</v>
      </c>
      <c r="C10" s="15">
        <v>70</v>
      </c>
      <c r="D10" s="26" t="s">
        <v>80</v>
      </c>
      <c r="E10" s="15">
        <v>70.8333333333333</v>
      </c>
      <c r="F10" s="15">
        <v>70.8333333333333</v>
      </c>
      <c r="G10" s="26" t="s">
        <v>80</v>
      </c>
      <c r="H10" s="15">
        <v>68.292682926829301</v>
      </c>
      <c r="I10" s="15">
        <v>68.292682926829301</v>
      </c>
      <c r="J10" s="26" t="s">
        <v>80</v>
      </c>
      <c r="K10" s="20" t="s">
        <v>80</v>
      </c>
      <c r="L10" s="20" t="s">
        <v>80</v>
      </c>
      <c r="M10" s="26" t="s">
        <v>80</v>
      </c>
      <c r="N10" s="20" t="s">
        <v>80</v>
      </c>
      <c r="O10" s="20" t="s">
        <v>80</v>
      </c>
      <c r="P10" s="26" t="s">
        <v>80</v>
      </c>
    </row>
    <row r="11" spans="1:16">
      <c r="A11" s="9" t="s">
        <v>120</v>
      </c>
      <c r="B11" s="15">
        <v>67.857142857142804</v>
      </c>
      <c r="C11" s="15">
        <v>67.857142857142804</v>
      </c>
      <c r="D11" s="26" t="s">
        <v>80</v>
      </c>
      <c r="E11" s="15">
        <v>68.75</v>
      </c>
      <c r="F11" s="15">
        <v>68.75</v>
      </c>
      <c r="G11" s="26" t="s">
        <v>80</v>
      </c>
      <c r="H11" s="15">
        <v>66.6666666666667</v>
      </c>
      <c r="I11" s="15">
        <v>66.6666666666667</v>
      </c>
      <c r="J11" s="26" t="s">
        <v>80</v>
      </c>
      <c r="K11" s="20" t="s">
        <v>80</v>
      </c>
      <c r="L11" s="20" t="s">
        <v>80</v>
      </c>
      <c r="M11" s="26" t="s">
        <v>80</v>
      </c>
      <c r="N11" s="20" t="s">
        <v>80</v>
      </c>
      <c r="O11" s="20" t="s">
        <v>80</v>
      </c>
      <c r="P11" s="26" t="s">
        <v>80</v>
      </c>
    </row>
    <row r="12" spans="1:16">
      <c r="A12" s="9" t="s">
        <v>121</v>
      </c>
      <c r="B12" s="15">
        <v>75</v>
      </c>
      <c r="C12" s="15">
        <v>75</v>
      </c>
      <c r="D12" s="26" t="s">
        <v>80</v>
      </c>
      <c r="E12" s="15">
        <v>86.6666666666667</v>
      </c>
      <c r="F12" s="15">
        <v>86.6666666666667</v>
      </c>
      <c r="G12" s="26" t="s">
        <v>80</v>
      </c>
      <c r="H12" s="15">
        <v>66.6666666666667</v>
      </c>
      <c r="I12" s="15">
        <v>66.6666666666667</v>
      </c>
      <c r="J12" s="26" t="s">
        <v>80</v>
      </c>
      <c r="K12" s="20" t="s">
        <v>80</v>
      </c>
      <c r="L12" s="20" t="s">
        <v>80</v>
      </c>
      <c r="M12" s="26" t="s">
        <v>80</v>
      </c>
      <c r="N12" s="20" t="s">
        <v>80</v>
      </c>
      <c r="O12" s="20" t="s">
        <v>80</v>
      </c>
      <c r="P12" s="26" t="s">
        <v>80</v>
      </c>
    </row>
    <row r="13" spans="1:16">
      <c r="A13" s="9" t="s">
        <v>122</v>
      </c>
      <c r="B13" s="15">
        <v>86.407766990291293</v>
      </c>
      <c r="C13" s="15">
        <v>86.407766990291293</v>
      </c>
      <c r="D13" s="26" t="s">
        <v>80</v>
      </c>
      <c r="E13" s="15">
        <v>87.272727272727295</v>
      </c>
      <c r="F13" s="15">
        <v>87.272727272727295</v>
      </c>
      <c r="G13" s="26" t="s">
        <v>80</v>
      </c>
      <c r="H13" s="15">
        <v>85.106382978723403</v>
      </c>
      <c r="I13" s="15">
        <v>85.106382978723403</v>
      </c>
      <c r="J13" s="26" t="s">
        <v>80</v>
      </c>
      <c r="K13" s="20" t="s">
        <v>80</v>
      </c>
      <c r="L13" s="20" t="s">
        <v>80</v>
      </c>
      <c r="M13" s="26" t="s">
        <v>80</v>
      </c>
      <c r="N13" s="20" t="s">
        <v>80</v>
      </c>
      <c r="O13" s="20" t="s">
        <v>80</v>
      </c>
      <c r="P13" s="26" t="s">
        <v>80</v>
      </c>
    </row>
    <row r="14" spans="1:16">
      <c r="A14" s="9" t="s">
        <v>123</v>
      </c>
      <c r="B14" s="15">
        <v>86.419753086419703</v>
      </c>
      <c r="C14" s="15">
        <v>86.419753086419703</v>
      </c>
      <c r="D14" s="26" t="s">
        <v>80</v>
      </c>
      <c r="E14" s="15">
        <v>84.210526315789494</v>
      </c>
      <c r="F14" s="15">
        <v>84.210526315789494</v>
      </c>
      <c r="G14" s="26" t="s">
        <v>80</v>
      </c>
      <c r="H14" s="15">
        <v>87.804878048780495</v>
      </c>
      <c r="I14" s="15">
        <v>87.804878048780495</v>
      </c>
      <c r="J14" s="26" t="s">
        <v>80</v>
      </c>
      <c r="K14" s="20" t="s">
        <v>80</v>
      </c>
      <c r="L14" s="20" t="s">
        <v>80</v>
      </c>
      <c r="M14" s="26" t="s">
        <v>80</v>
      </c>
      <c r="N14" s="20" t="s">
        <v>80</v>
      </c>
      <c r="O14" s="20" t="s">
        <v>80</v>
      </c>
      <c r="P14" s="26" t="s">
        <v>80</v>
      </c>
    </row>
    <row r="15" spans="1:16">
      <c r="A15" s="9" t="s">
        <v>124</v>
      </c>
      <c r="B15" s="15">
        <v>62.711864406779704</v>
      </c>
      <c r="C15" s="15">
        <v>62.711864406779704</v>
      </c>
      <c r="D15" s="26" t="s">
        <v>80</v>
      </c>
      <c r="E15" s="15">
        <v>56.25</v>
      </c>
      <c r="F15" s="15">
        <v>56.25</v>
      </c>
      <c r="G15" s="26" t="s">
        <v>80</v>
      </c>
      <c r="H15" s="15">
        <v>69.230769230769198</v>
      </c>
      <c r="I15" s="15">
        <v>69.230769230769198</v>
      </c>
      <c r="J15" s="26" t="s">
        <v>80</v>
      </c>
      <c r="K15" s="20" t="s">
        <v>80</v>
      </c>
      <c r="L15" s="20" t="s">
        <v>80</v>
      </c>
      <c r="M15" s="26" t="s">
        <v>80</v>
      </c>
      <c r="N15" s="20" t="s">
        <v>80</v>
      </c>
      <c r="O15" s="20" t="s">
        <v>80</v>
      </c>
      <c r="P15" s="26" t="s">
        <v>80</v>
      </c>
    </row>
    <row r="16" spans="1:16">
      <c r="A16" s="9" t="s">
        <v>125</v>
      </c>
      <c r="B16" s="15">
        <v>61.403508771929801</v>
      </c>
      <c r="C16" s="15">
        <v>61.403508771929801</v>
      </c>
      <c r="D16" s="26" t="s">
        <v>80</v>
      </c>
      <c r="E16" s="15">
        <v>69.230769230769198</v>
      </c>
      <c r="F16" s="15">
        <v>69.230769230769198</v>
      </c>
      <c r="G16" s="26" t="s">
        <v>80</v>
      </c>
      <c r="H16" s="15">
        <v>62.962962962962997</v>
      </c>
      <c r="I16" s="15">
        <v>62.962962962962997</v>
      </c>
      <c r="J16" s="26" t="s">
        <v>80</v>
      </c>
      <c r="K16" s="20" t="s">
        <v>80</v>
      </c>
      <c r="L16" s="20" t="s">
        <v>80</v>
      </c>
      <c r="M16" s="26" t="s">
        <v>80</v>
      </c>
      <c r="N16" s="20" t="s">
        <v>80</v>
      </c>
      <c r="O16" s="20" t="s">
        <v>80</v>
      </c>
      <c r="P16" s="26" t="s">
        <v>80</v>
      </c>
    </row>
    <row r="17" spans="1:16">
      <c r="A17" s="9" t="s">
        <v>126</v>
      </c>
      <c r="B17" s="15">
        <v>73.170731707317103</v>
      </c>
      <c r="C17" s="15">
        <v>73.170731707317103</v>
      </c>
      <c r="D17" s="26" t="s">
        <v>80</v>
      </c>
      <c r="E17" s="15">
        <v>73.684210526315795</v>
      </c>
      <c r="F17" s="15">
        <v>73.684210526315795</v>
      </c>
      <c r="G17" s="26" t="s">
        <v>80</v>
      </c>
      <c r="H17" s="15">
        <v>76.315789473684205</v>
      </c>
      <c r="I17" s="15">
        <v>76.315789473684205</v>
      </c>
      <c r="J17" s="26" t="s">
        <v>80</v>
      </c>
      <c r="K17" s="20" t="s">
        <v>80</v>
      </c>
      <c r="L17" s="20" t="s">
        <v>80</v>
      </c>
      <c r="M17" s="26" t="s">
        <v>80</v>
      </c>
      <c r="N17" s="20" t="s">
        <v>80</v>
      </c>
      <c r="O17" s="20" t="s">
        <v>80</v>
      </c>
      <c r="P17" s="26" t="s">
        <v>80</v>
      </c>
    </row>
    <row r="18" spans="1:16">
      <c r="A18" s="9" t="s">
        <v>127</v>
      </c>
      <c r="B18" s="15">
        <v>58.282208588957097</v>
      </c>
      <c r="C18" s="15">
        <v>58.282208588957097</v>
      </c>
      <c r="D18" s="26" t="s">
        <v>80</v>
      </c>
      <c r="E18" s="15">
        <v>56.25</v>
      </c>
      <c r="F18" s="15">
        <v>56.25</v>
      </c>
      <c r="G18" s="26" t="s">
        <v>80</v>
      </c>
      <c r="H18" s="15">
        <v>57.894736842105303</v>
      </c>
      <c r="I18" s="15">
        <v>57.894736842105303</v>
      </c>
      <c r="J18" s="26" t="s">
        <v>80</v>
      </c>
      <c r="K18" s="20" t="s">
        <v>80</v>
      </c>
      <c r="L18" s="20" t="s">
        <v>80</v>
      </c>
      <c r="M18" s="26" t="s">
        <v>80</v>
      </c>
      <c r="N18" s="20" t="s">
        <v>80</v>
      </c>
      <c r="O18" s="20" t="s">
        <v>80</v>
      </c>
      <c r="P18" s="26" t="s">
        <v>80</v>
      </c>
    </row>
    <row r="19" spans="1:16">
      <c r="A19" s="9" t="s">
        <v>128</v>
      </c>
      <c r="B19" s="15">
        <v>76.136363636363598</v>
      </c>
      <c r="C19" s="15">
        <v>76.136363636363598</v>
      </c>
      <c r="D19" s="26" t="s">
        <v>80</v>
      </c>
      <c r="E19" s="15">
        <v>80</v>
      </c>
      <c r="F19" s="15">
        <v>80</v>
      </c>
      <c r="G19" s="26" t="s">
        <v>80</v>
      </c>
      <c r="H19" s="15">
        <v>72.093023255814003</v>
      </c>
      <c r="I19" s="15">
        <v>72.093023255814003</v>
      </c>
      <c r="J19" s="26" t="s">
        <v>80</v>
      </c>
      <c r="K19" s="20" t="s">
        <v>80</v>
      </c>
      <c r="L19" s="20" t="s">
        <v>80</v>
      </c>
      <c r="M19" s="26" t="s">
        <v>80</v>
      </c>
      <c r="N19" s="20" t="s">
        <v>80</v>
      </c>
      <c r="O19" s="20" t="s">
        <v>80</v>
      </c>
      <c r="P19" s="26" t="s">
        <v>80</v>
      </c>
    </row>
    <row r="20" spans="1:16">
      <c r="A20" s="9" t="s">
        <v>129</v>
      </c>
      <c r="B20" s="15">
        <v>54.054054054054099</v>
      </c>
      <c r="C20" s="15">
        <v>54.054054054054099</v>
      </c>
      <c r="D20" s="26" t="s">
        <v>80</v>
      </c>
      <c r="E20" s="15">
        <v>60.975609756097597</v>
      </c>
      <c r="F20" s="15">
        <v>60.975609756097597</v>
      </c>
      <c r="G20" s="26" t="s">
        <v>80</v>
      </c>
      <c r="H20" s="15">
        <v>45.161290322580598</v>
      </c>
      <c r="I20" s="15">
        <v>45.161290322580598</v>
      </c>
      <c r="J20" s="26" t="s">
        <v>80</v>
      </c>
      <c r="K20" s="20" t="s">
        <v>80</v>
      </c>
      <c r="L20" s="20" t="s">
        <v>80</v>
      </c>
      <c r="M20" s="26" t="s">
        <v>80</v>
      </c>
      <c r="N20" s="20" t="s">
        <v>80</v>
      </c>
      <c r="O20" s="20" t="s">
        <v>80</v>
      </c>
      <c r="P20" s="26" t="s">
        <v>80</v>
      </c>
    </row>
    <row r="21" spans="1:16">
      <c r="A21" s="9" t="s">
        <v>130</v>
      </c>
      <c r="B21" s="15">
        <v>58.3333333333333</v>
      </c>
      <c r="C21" s="15">
        <v>58.3333333333333</v>
      </c>
      <c r="D21" s="26" t="s">
        <v>80</v>
      </c>
      <c r="E21" s="15">
        <v>55.5555555555556</v>
      </c>
      <c r="F21" s="15">
        <v>55.5555555555556</v>
      </c>
      <c r="G21" s="26" t="s">
        <v>80</v>
      </c>
      <c r="H21" s="15">
        <v>60.975609756097597</v>
      </c>
      <c r="I21" s="15">
        <v>60.975609756097597</v>
      </c>
      <c r="J21" s="26" t="s">
        <v>80</v>
      </c>
      <c r="K21" s="20" t="s">
        <v>80</v>
      </c>
      <c r="L21" s="20" t="s">
        <v>80</v>
      </c>
      <c r="M21" s="26" t="s">
        <v>80</v>
      </c>
      <c r="N21" s="20" t="s">
        <v>80</v>
      </c>
      <c r="O21" s="20" t="s">
        <v>80</v>
      </c>
      <c r="P21" s="26" t="s">
        <v>80</v>
      </c>
    </row>
    <row r="22" spans="1:16">
      <c r="A22" s="9" t="s">
        <v>131</v>
      </c>
      <c r="B22" s="15">
        <v>50</v>
      </c>
      <c r="C22" s="15">
        <v>50</v>
      </c>
      <c r="D22" s="26" t="s">
        <v>80</v>
      </c>
      <c r="E22" s="15">
        <v>57.692307692307701</v>
      </c>
      <c r="F22" s="15">
        <v>57.692307692307701</v>
      </c>
      <c r="G22" s="26" t="s">
        <v>80</v>
      </c>
      <c r="H22" s="15">
        <v>42.1875</v>
      </c>
      <c r="I22" s="15">
        <v>42.1875</v>
      </c>
      <c r="J22" s="26" t="s">
        <v>80</v>
      </c>
      <c r="K22" s="20" t="s">
        <v>80</v>
      </c>
      <c r="L22" s="20" t="s">
        <v>80</v>
      </c>
      <c r="M22" s="26" t="s">
        <v>80</v>
      </c>
      <c r="N22" s="20" t="s">
        <v>80</v>
      </c>
      <c r="O22" s="20" t="s">
        <v>80</v>
      </c>
      <c r="P22" s="26" t="s">
        <v>80</v>
      </c>
    </row>
    <row r="23" spans="1:16">
      <c r="A23" s="9" t="s">
        <v>132</v>
      </c>
      <c r="B23" s="15">
        <v>86.486486486486498</v>
      </c>
      <c r="C23" s="15">
        <v>86.486486486486498</v>
      </c>
      <c r="D23" s="26" t="s">
        <v>80</v>
      </c>
      <c r="E23" s="15">
        <v>89.189189189189193</v>
      </c>
      <c r="F23" s="15">
        <v>89.189189189189193</v>
      </c>
      <c r="G23" s="26" t="s">
        <v>80</v>
      </c>
      <c r="H23" s="15">
        <v>82.857142857142904</v>
      </c>
      <c r="I23" s="15">
        <v>82.857142857142904</v>
      </c>
      <c r="J23" s="26" t="s">
        <v>80</v>
      </c>
      <c r="K23" s="20" t="s">
        <v>80</v>
      </c>
      <c r="L23" s="20" t="s">
        <v>80</v>
      </c>
      <c r="M23" s="26" t="s">
        <v>80</v>
      </c>
      <c r="N23" s="20" t="s">
        <v>80</v>
      </c>
      <c r="O23" s="20" t="s">
        <v>80</v>
      </c>
      <c r="P23" s="26" t="s">
        <v>80</v>
      </c>
    </row>
    <row r="24" spans="1:16">
      <c r="A24" s="9" t="s">
        <v>133</v>
      </c>
      <c r="B24" s="15">
        <v>63.636363636363598</v>
      </c>
      <c r="C24" s="15">
        <v>63.636363636363598</v>
      </c>
      <c r="D24" s="26" t="s">
        <v>80</v>
      </c>
      <c r="E24" s="15">
        <v>65</v>
      </c>
      <c r="F24" s="15">
        <v>65</v>
      </c>
      <c r="G24" s="26" t="s">
        <v>80</v>
      </c>
      <c r="H24" s="15">
        <v>65.2173913043478</v>
      </c>
      <c r="I24" s="15">
        <v>65.2173913043478</v>
      </c>
      <c r="J24" s="26" t="s">
        <v>80</v>
      </c>
      <c r="K24" s="20" t="s">
        <v>80</v>
      </c>
      <c r="L24" s="20" t="s">
        <v>80</v>
      </c>
      <c r="M24" s="26" t="s">
        <v>80</v>
      </c>
      <c r="N24" s="20" t="s">
        <v>80</v>
      </c>
      <c r="O24" s="20" t="s">
        <v>80</v>
      </c>
      <c r="P24" s="26" t="s">
        <v>80</v>
      </c>
    </row>
    <row r="25" spans="1:16">
      <c r="A25" s="9" t="s">
        <v>134</v>
      </c>
      <c r="B25" s="15">
        <v>79.891304347826093</v>
      </c>
      <c r="C25" s="15">
        <v>79.891304347826093</v>
      </c>
      <c r="D25" s="26" t="s">
        <v>80</v>
      </c>
      <c r="E25" s="15">
        <v>82.758620689655203</v>
      </c>
      <c r="F25" s="15">
        <v>82.758620689655203</v>
      </c>
      <c r="G25" s="26" t="s">
        <v>80</v>
      </c>
      <c r="H25" s="15">
        <v>78.260869565217405</v>
      </c>
      <c r="I25" s="15">
        <v>78.260869565217405</v>
      </c>
      <c r="J25" s="26" t="s">
        <v>80</v>
      </c>
      <c r="K25" s="20" t="s">
        <v>80</v>
      </c>
      <c r="L25" s="20" t="s">
        <v>80</v>
      </c>
      <c r="M25" s="26" t="s">
        <v>80</v>
      </c>
      <c r="N25" s="20" t="s">
        <v>80</v>
      </c>
      <c r="O25" s="20" t="s">
        <v>80</v>
      </c>
      <c r="P25" s="26" t="s">
        <v>80</v>
      </c>
    </row>
    <row r="26" spans="1:16">
      <c r="A26" s="9" t="s">
        <v>135</v>
      </c>
      <c r="B26" s="15">
        <v>67.096774193548399</v>
      </c>
      <c r="C26" s="15">
        <v>67.096774193548399</v>
      </c>
      <c r="D26" s="26" t="s">
        <v>80</v>
      </c>
      <c r="E26" s="15">
        <v>66.25</v>
      </c>
      <c r="F26" s="15">
        <v>66.25</v>
      </c>
      <c r="G26" s="26" t="s">
        <v>80</v>
      </c>
      <c r="H26" s="15">
        <v>68.656716417910403</v>
      </c>
      <c r="I26" s="15">
        <v>68.656716417910403</v>
      </c>
      <c r="J26" s="26" t="s">
        <v>80</v>
      </c>
      <c r="K26" s="20" t="s">
        <v>80</v>
      </c>
      <c r="L26" s="20" t="s">
        <v>80</v>
      </c>
      <c r="M26" s="26" t="s">
        <v>80</v>
      </c>
      <c r="N26" s="15">
        <v>62.5</v>
      </c>
      <c r="O26" s="15">
        <v>62.5</v>
      </c>
      <c r="P26" s="26" t="s">
        <v>80</v>
      </c>
    </row>
    <row r="27" spans="1:16">
      <c r="A27" s="9" t="s">
        <v>136</v>
      </c>
      <c r="B27" s="15">
        <v>70.175438596491205</v>
      </c>
      <c r="C27" s="15">
        <v>70.175438596491205</v>
      </c>
      <c r="D27" s="26" t="s">
        <v>80</v>
      </c>
      <c r="E27" s="15">
        <v>73.469387755102005</v>
      </c>
      <c r="F27" s="15">
        <v>73.469387755102005</v>
      </c>
      <c r="G27" s="26" t="s">
        <v>80</v>
      </c>
      <c r="H27" s="15">
        <v>64.912280701754398</v>
      </c>
      <c r="I27" s="15">
        <v>64.912280701754398</v>
      </c>
      <c r="J27" s="26" t="s">
        <v>80</v>
      </c>
      <c r="K27" s="20" t="s">
        <v>80</v>
      </c>
      <c r="L27" s="20" t="s">
        <v>80</v>
      </c>
      <c r="M27" s="26" t="s">
        <v>80</v>
      </c>
      <c r="N27" s="15">
        <v>87.5</v>
      </c>
      <c r="O27" s="15">
        <v>87.5</v>
      </c>
      <c r="P27" s="26" t="s">
        <v>80</v>
      </c>
    </row>
    <row r="28" spans="1:16" ht="21.9" customHeight="1">
      <c r="A28" s="22" t="s">
        <v>137</v>
      </c>
      <c r="B28" s="15">
        <v>62.505860233758497</v>
      </c>
      <c r="C28" s="20" t="s">
        <v>80</v>
      </c>
      <c r="D28" s="24">
        <v>62.505860233758497</v>
      </c>
      <c r="E28" s="15">
        <v>63.742287345258703</v>
      </c>
      <c r="F28" s="20" t="s">
        <v>80</v>
      </c>
      <c r="G28" s="24">
        <v>63.742287345258703</v>
      </c>
      <c r="H28" s="15">
        <v>62.079921076110097</v>
      </c>
      <c r="I28" s="20" t="s">
        <v>80</v>
      </c>
      <c r="J28" s="24">
        <v>62.079921076110097</v>
      </c>
      <c r="K28" s="15">
        <v>55.6359438350433</v>
      </c>
      <c r="L28" s="20" t="s">
        <v>80</v>
      </c>
      <c r="M28" s="24">
        <v>55.6359438350433</v>
      </c>
      <c r="N28" s="20" t="s">
        <v>80</v>
      </c>
      <c r="O28" s="20" t="s">
        <v>80</v>
      </c>
      <c r="P28" s="26" t="s">
        <v>80</v>
      </c>
    </row>
    <row r="29" spans="1:16">
      <c r="A29" s="9" t="s">
        <v>138</v>
      </c>
      <c r="B29" s="15">
        <v>61.935483870967701</v>
      </c>
      <c r="C29" s="20" t="s">
        <v>80</v>
      </c>
      <c r="D29" s="24">
        <v>61.935483870967701</v>
      </c>
      <c r="E29" s="15">
        <v>68.656716417910403</v>
      </c>
      <c r="F29" s="20" t="s">
        <v>80</v>
      </c>
      <c r="G29" s="24">
        <v>68.656716417910403</v>
      </c>
      <c r="H29" s="15">
        <v>59.740259740259702</v>
      </c>
      <c r="I29" s="20" t="s">
        <v>80</v>
      </c>
      <c r="J29" s="24">
        <v>59.740259740259702</v>
      </c>
      <c r="K29" s="20" t="s">
        <v>80</v>
      </c>
      <c r="L29" s="20" t="s">
        <v>80</v>
      </c>
      <c r="M29" s="26" t="s">
        <v>80</v>
      </c>
      <c r="N29" s="20" t="s">
        <v>80</v>
      </c>
      <c r="O29" s="20" t="s">
        <v>80</v>
      </c>
      <c r="P29" s="26" t="s">
        <v>80</v>
      </c>
    </row>
    <row r="30" spans="1:16">
      <c r="A30" s="9" t="s">
        <v>139</v>
      </c>
      <c r="B30" s="15">
        <v>82.649842271293394</v>
      </c>
      <c r="C30" s="20" t="s">
        <v>80</v>
      </c>
      <c r="D30" s="24">
        <v>82.649842271293394</v>
      </c>
      <c r="E30" s="15">
        <v>79.527559055118104</v>
      </c>
      <c r="F30" s="20" t="s">
        <v>80</v>
      </c>
      <c r="G30" s="24">
        <v>79.527559055118104</v>
      </c>
      <c r="H30" s="15">
        <v>85.875706214689302</v>
      </c>
      <c r="I30" s="20" t="s">
        <v>80</v>
      </c>
      <c r="J30" s="24">
        <v>85.875706214689302</v>
      </c>
      <c r="K30" s="20" t="s">
        <v>80</v>
      </c>
      <c r="L30" s="20" t="s">
        <v>80</v>
      </c>
      <c r="M30" s="26" t="s">
        <v>80</v>
      </c>
      <c r="N30" s="15">
        <v>83.3333333333333</v>
      </c>
      <c r="O30" s="20" t="s">
        <v>80</v>
      </c>
      <c r="P30" s="24">
        <v>83.3333333333333</v>
      </c>
    </row>
    <row r="31" spans="1:16">
      <c r="A31" s="9" t="s">
        <v>140</v>
      </c>
      <c r="B31" s="15">
        <v>50.643776824034298</v>
      </c>
      <c r="C31" s="20" t="s">
        <v>80</v>
      </c>
      <c r="D31" s="24">
        <v>50.643776824034298</v>
      </c>
      <c r="E31" s="15">
        <v>58.4745762711864</v>
      </c>
      <c r="F31" s="20" t="s">
        <v>80</v>
      </c>
      <c r="G31" s="24">
        <v>58.4745762711864</v>
      </c>
      <c r="H31" s="15">
        <v>42.7184466019417</v>
      </c>
      <c r="I31" s="20" t="s">
        <v>80</v>
      </c>
      <c r="J31" s="24">
        <v>42.7184466019417</v>
      </c>
      <c r="K31" s="20" t="s">
        <v>80</v>
      </c>
      <c r="L31" s="20" t="s">
        <v>80</v>
      </c>
      <c r="M31" s="26" t="s">
        <v>80</v>
      </c>
      <c r="N31" s="20" t="s">
        <v>80</v>
      </c>
      <c r="O31" s="20" t="s">
        <v>80</v>
      </c>
      <c r="P31" s="26" t="s">
        <v>80</v>
      </c>
    </row>
    <row r="32" spans="1:16">
      <c r="A32" s="9" t="s">
        <v>141</v>
      </c>
      <c r="B32" s="15">
        <v>57.928802588996803</v>
      </c>
      <c r="C32" s="20" t="s">
        <v>80</v>
      </c>
      <c r="D32" s="24">
        <v>57.928802588996803</v>
      </c>
      <c r="E32" s="15">
        <v>56.25</v>
      </c>
      <c r="F32" s="20" t="s">
        <v>80</v>
      </c>
      <c r="G32" s="24">
        <v>56.25</v>
      </c>
      <c r="H32" s="15">
        <v>59.574468085106403</v>
      </c>
      <c r="I32" s="20" t="s">
        <v>80</v>
      </c>
      <c r="J32" s="24">
        <v>59.574468085106403</v>
      </c>
      <c r="K32" s="20" t="s">
        <v>80</v>
      </c>
      <c r="L32" s="20" t="s">
        <v>80</v>
      </c>
      <c r="M32" s="26" t="s">
        <v>80</v>
      </c>
      <c r="N32" s="20" t="s">
        <v>80</v>
      </c>
      <c r="O32" s="20" t="s">
        <v>80</v>
      </c>
      <c r="P32" s="26" t="s">
        <v>80</v>
      </c>
    </row>
    <row r="33" spans="1:16">
      <c r="A33" s="9" t="s">
        <v>142</v>
      </c>
      <c r="B33" s="15">
        <v>69.241011984021299</v>
      </c>
      <c r="C33" s="20" t="s">
        <v>80</v>
      </c>
      <c r="D33" s="24">
        <v>69.241011984021299</v>
      </c>
      <c r="E33" s="15">
        <v>69.855072463768096</v>
      </c>
      <c r="F33" s="20" t="s">
        <v>80</v>
      </c>
      <c r="G33" s="24">
        <v>69.855072463768096</v>
      </c>
      <c r="H33" s="15">
        <v>70.540540540540505</v>
      </c>
      <c r="I33" s="20" t="s">
        <v>80</v>
      </c>
      <c r="J33" s="24">
        <v>70.540540540540505</v>
      </c>
      <c r="K33" s="15">
        <v>57.142857142857103</v>
      </c>
      <c r="L33" s="20" t="s">
        <v>80</v>
      </c>
      <c r="M33" s="24">
        <v>57.142857142857103</v>
      </c>
      <c r="N33" s="15">
        <v>40</v>
      </c>
      <c r="O33" s="20" t="s">
        <v>80</v>
      </c>
      <c r="P33" s="24">
        <v>40</v>
      </c>
    </row>
    <row r="34" spans="1:16">
      <c r="A34" s="9" t="s">
        <v>143</v>
      </c>
      <c r="B34" s="15">
        <v>47.231270358306197</v>
      </c>
      <c r="C34" s="20" t="s">
        <v>80</v>
      </c>
      <c r="D34" s="24">
        <v>47.231270358306197</v>
      </c>
      <c r="E34" s="15">
        <v>50.595238095238102</v>
      </c>
      <c r="F34" s="20" t="s">
        <v>80</v>
      </c>
      <c r="G34" s="24">
        <v>50.595238095238102</v>
      </c>
      <c r="H34" s="15">
        <v>44.696969696969703</v>
      </c>
      <c r="I34" s="20" t="s">
        <v>80</v>
      </c>
      <c r="J34" s="24">
        <v>44.696969696969703</v>
      </c>
      <c r="K34" s="20" t="s">
        <v>80</v>
      </c>
      <c r="L34" s="20" t="s">
        <v>80</v>
      </c>
      <c r="M34" s="26" t="s">
        <v>80</v>
      </c>
      <c r="N34" s="20" t="s">
        <v>80</v>
      </c>
      <c r="O34" s="20" t="s">
        <v>80</v>
      </c>
      <c r="P34" s="26" t="s">
        <v>80</v>
      </c>
    </row>
    <row r="35" spans="1:16">
      <c r="A35" s="9" t="s">
        <v>144</v>
      </c>
      <c r="B35" s="15">
        <v>84.341637010676195</v>
      </c>
      <c r="C35" s="20" t="s">
        <v>80</v>
      </c>
      <c r="D35" s="24">
        <v>84.341637010676195</v>
      </c>
      <c r="E35" s="15">
        <v>84.057971014492793</v>
      </c>
      <c r="F35" s="20" t="s">
        <v>80</v>
      </c>
      <c r="G35" s="24">
        <v>84.057971014492793</v>
      </c>
      <c r="H35" s="15">
        <v>86.131386861313899</v>
      </c>
      <c r="I35" s="20" t="s">
        <v>80</v>
      </c>
      <c r="J35" s="24">
        <v>86.131386861313899</v>
      </c>
      <c r="K35" s="20" t="s">
        <v>80</v>
      </c>
      <c r="L35" s="20" t="s">
        <v>80</v>
      </c>
      <c r="M35" s="26" t="s">
        <v>80</v>
      </c>
      <c r="N35" s="20" t="s">
        <v>80</v>
      </c>
      <c r="O35" s="20" t="s">
        <v>80</v>
      </c>
      <c r="P35" s="26" t="s">
        <v>80</v>
      </c>
    </row>
    <row r="36" spans="1:16">
      <c r="A36" s="11" t="s">
        <v>145</v>
      </c>
      <c r="B36" s="16">
        <v>50</v>
      </c>
      <c r="C36" s="28" t="s">
        <v>80</v>
      </c>
      <c r="D36" s="25">
        <v>50</v>
      </c>
      <c r="E36" s="16">
        <v>70</v>
      </c>
      <c r="F36" s="28" t="s">
        <v>80</v>
      </c>
      <c r="G36" s="25">
        <v>70</v>
      </c>
      <c r="H36" s="28" t="s">
        <v>80</v>
      </c>
      <c r="I36" s="28" t="s">
        <v>80</v>
      </c>
      <c r="J36" s="29" t="s">
        <v>80</v>
      </c>
      <c r="K36" s="28" t="s">
        <v>80</v>
      </c>
      <c r="L36" s="28" t="s">
        <v>80</v>
      </c>
      <c r="M36" s="29" t="s">
        <v>80</v>
      </c>
      <c r="N36" s="28" t="s">
        <v>80</v>
      </c>
      <c r="O36" s="28" t="s">
        <v>80</v>
      </c>
      <c r="P36" s="29" t="s">
        <v>80</v>
      </c>
    </row>
    <row r="37" spans="1:16" ht="30" customHeight="1">
      <c r="A37" t="s">
        <v>146</v>
      </c>
    </row>
    <row r="38" spans="1:16">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219</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152</v>
      </c>
      <c r="B3" s="15">
        <v>3.7501178650607501</v>
      </c>
      <c r="C3" s="15">
        <v>4.2682640229053597</v>
      </c>
      <c r="D3" s="24">
        <v>3.3193291124311899</v>
      </c>
      <c r="E3" s="15">
        <v>4.1496501403290198</v>
      </c>
      <c r="F3" s="15">
        <v>5.4935727952481104</v>
      </c>
      <c r="G3" s="24">
        <v>3.0070715584366599</v>
      </c>
      <c r="H3" s="15">
        <v>3.0273729617990002</v>
      </c>
      <c r="I3" s="15">
        <v>2.4716175095589401</v>
      </c>
      <c r="J3" s="24">
        <v>3.4828297799433798</v>
      </c>
      <c r="K3" s="20" t="s">
        <v>80</v>
      </c>
      <c r="L3" s="20" t="s">
        <v>80</v>
      </c>
      <c r="M3" s="26" t="s">
        <v>80</v>
      </c>
      <c r="N3" s="20" t="s">
        <v>80</v>
      </c>
      <c r="O3" s="20" t="s">
        <v>80</v>
      </c>
      <c r="P3" s="26" t="s">
        <v>80</v>
      </c>
    </row>
    <row r="4" spans="1:16">
      <c r="A4" s="9" t="s">
        <v>153</v>
      </c>
      <c r="B4" s="15">
        <v>5.7886280223857502</v>
      </c>
      <c r="C4" s="15">
        <v>5.5762760771847697</v>
      </c>
      <c r="D4" s="24">
        <v>5.9651782644489604</v>
      </c>
      <c r="E4" s="15">
        <v>5.7796531212384599</v>
      </c>
      <c r="F4" s="15">
        <v>6.2899962367318603</v>
      </c>
      <c r="G4" s="24">
        <v>5.3457686926631496</v>
      </c>
      <c r="H4" s="15">
        <v>5.8467853716442599</v>
      </c>
      <c r="I4" s="15">
        <v>4.6455468124898296</v>
      </c>
      <c r="J4" s="24">
        <v>6.8312332790459402</v>
      </c>
      <c r="K4" s="20" t="s">
        <v>80</v>
      </c>
      <c r="L4" s="20" t="s">
        <v>80</v>
      </c>
      <c r="M4" s="26" t="s">
        <v>80</v>
      </c>
      <c r="N4" s="20" t="s">
        <v>80</v>
      </c>
      <c r="O4" s="20" t="s">
        <v>80</v>
      </c>
      <c r="P4" s="26" t="s">
        <v>80</v>
      </c>
    </row>
    <row r="5" spans="1:16">
      <c r="A5" s="9" t="s">
        <v>154</v>
      </c>
      <c r="B5" s="15">
        <v>3.6471825782201499</v>
      </c>
      <c r="C5" s="15">
        <v>2.0501449294963501</v>
      </c>
      <c r="D5" s="24">
        <v>4.9749659578327199</v>
      </c>
      <c r="E5" s="15">
        <v>3.20689529343935</v>
      </c>
      <c r="F5" s="20" t="s">
        <v>80</v>
      </c>
      <c r="G5" s="24">
        <v>4.0326089825927296</v>
      </c>
      <c r="H5" s="15">
        <v>4.1500576214527101</v>
      </c>
      <c r="I5" s="20" t="s">
        <v>80</v>
      </c>
      <c r="J5" s="24">
        <v>6.1141478046259197</v>
      </c>
      <c r="K5" s="20" t="s">
        <v>80</v>
      </c>
      <c r="L5" s="20" t="s">
        <v>80</v>
      </c>
      <c r="M5" s="26" t="s">
        <v>80</v>
      </c>
      <c r="N5" s="20" t="s">
        <v>80</v>
      </c>
      <c r="O5" s="20" t="s">
        <v>80</v>
      </c>
      <c r="P5" s="26" t="s">
        <v>80</v>
      </c>
    </row>
    <row r="6" spans="1:16">
      <c r="A6" s="9" t="s">
        <v>155</v>
      </c>
      <c r="B6" s="15">
        <v>6.3122414686103498</v>
      </c>
      <c r="C6" s="15">
        <v>7.3635051071547801</v>
      </c>
      <c r="D6" s="24">
        <v>5.4382167466723601</v>
      </c>
      <c r="E6" s="15">
        <v>7.7237008808371499</v>
      </c>
      <c r="F6" s="15">
        <v>8.3724759070170904</v>
      </c>
      <c r="G6" s="24">
        <v>7.1721241612494602</v>
      </c>
      <c r="H6" s="15">
        <v>4.6870466128817201</v>
      </c>
      <c r="I6" s="15">
        <v>5.96156915119741</v>
      </c>
      <c r="J6" s="24">
        <v>3.64254047692789</v>
      </c>
      <c r="K6" s="20" t="s">
        <v>80</v>
      </c>
      <c r="L6" s="20" t="s">
        <v>80</v>
      </c>
      <c r="M6" s="26" t="s">
        <v>80</v>
      </c>
      <c r="N6" s="20" t="s">
        <v>80</v>
      </c>
      <c r="O6" s="20" t="s">
        <v>80</v>
      </c>
      <c r="P6" s="26" t="s">
        <v>80</v>
      </c>
    </row>
    <row r="7" spans="1:16">
      <c r="A7" s="9" t="s">
        <v>156</v>
      </c>
      <c r="B7" s="15">
        <v>2.2679620764551598</v>
      </c>
      <c r="C7" s="15">
        <v>3.2640338848297001</v>
      </c>
      <c r="D7" s="24">
        <v>1.4398240590970799</v>
      </c>
      <c r="E7" s="15">
        <v>2.4653352055510398</v>
      </c>
      <c r="F7" s="15">
        <v>3.3322211326656501</v>
      </c>
      <c r="G7" s="26" t="s">
        <v>80</v>
      </c>
      <c r="H7" s="15">
        <v>1.9666123735153</v>
      </c>
      <c r="I7" s="15">
        <v>2.9357955910642199</v>
      </c>
      <c r="J7" s="26" t="s">
        <v>80</v>
      </c>
      <c r="K7" s="20" t="s">
        <v>80</v>
      </c>
      <c r="L7" s="20" t="s">
        <v>80</v>
      </c>
      <c r="M7" s="26" t="s">
        <v>80</v>
      </c>
      <c r="N7" s="20" t="s">
        <v>80</v>
      </c>
      <c r="O7" s="20" t="s">
        <v>80</v>
      </c>
      <c r="P7" s="26" t="s">
        <v>80</v>
      </c>
    </row>
    <row r="8" spans="1:16">
      <c r="A8" s="9" t="s">
        <v>157</v>
      </c>
      <c r="B8" s="20" t="s">
        <v>80</v>
      </c>
      <c r="C8" s="20" t="s">
        <v>80</v>
      </c>
      <c r="D8" s="26" t="s">
        <v>80</v>
      </c>
      <c r="E8" s="20" t="s">
        <v>80</v>
      </c>
      <c r="F8" s="20" t="s">
        <v>80</v>
      </c>
      <c r="G8" s="26" t="s">
        <v>80</v>
      </c>
      <c r="H8" s="20" t="s">
        <v>80</v>
      </c>
      <c r="I8" s="20" t="s">
        <v>80</v>
      </c>
      <c r="J8" s="26" t="s">
        <v>80</v>
      </c>
      <c r="K8" s="20" t="s">
        <v>80</v>
      </c>
      <c r="L8" s="20" t="s">
        <v>80</v>
      </c>
      <c r="M8" s="26" t="s">
        <v>80</v>
      </c>
      <c r="N8" s="20" t="s">
        <v>80</v>
      </c>
      <c r="O8" s="20" t="s">
        <v>80</v>
      </c>
      <c r="P8" s="26" t="s">
        <v>80</v>
      </c>
    </row>
    <row r="9" spans="1:16">
      <c r="A9" s="9" t="s">
        <v>158</v>
      </c>
      <c r="B9" s="15">
        <v>1.0311409995585901</v>
      </c>
      <c r="C9" s="15">
        <v>1.3486971228837199</v>
      </c>
      <c r="D9" s="26" t="s">
        <v>80</v>
      </c>
      <c r="E9" s="15">
        <v>1.1780610115415</v>
      </c>
      <c r="F9" s="20" t="s">
        <v>80</v>
      </c>
      <c r="G9" s="26" t="s">
        <v>80</v>
      </c>
      <c r="H9" s="20" t="s">
        <v>80</v>
      </c>
      <c r="I9" s="20" t="s">
        <v>80</v>
      </c>
      <c r="J9" s="26" t="s">
        <v>80</v>
      </c>
      <c r="K9" s="20" t="s">
        <v>80</v>
      </c>
      <c r="L9" s="20" t="s">
        <v>80</v>
      </c>
      <c r="M9" s="26" t="s">
        <v>80</v>
      </c>
      <c r="N9" s="20" t="s">
        <v>80</v>
      </c>
      <c r="O9" s="20" t="s">
        <v>80</v>
      </c>
      <c r="P9" s="26" t="s">
        <v>80</v>
      </c>
    </row>
    <row r="10" spans="1:16">
      <c r="A10" s="9" t="s">
        <v>159</v>
      </c>
      <c r="B10" s="15">
        <v>8.0320908135966693</v>
      </c>
      <c r="C10" s="15">
        <v>6.9130819989273498</v>
      </c>
      <c r="D10" s="24">
        <v>8.9624391412927693</v>
      </c>
      <c r="E10" s="15">
        <v>11.2042760152728</v>
      </c>
      <c r="F10" s="15">
        <v>8.9894679988283794</v>
      </c>
      <c r="G10" s="24">
        <v>13.0872654814673</v>
      </c>
      <c r="H10" s="15">
        <v>4.6029120625176496</v>
      </c>
      <c r="I10" s="15">
        <v>4.34119339896941</v>
      </c>
      <c r="J10" s="24">
        <v>4.8173976771314404</v>
      </c>
      <c r="K10" s="20" t="s">
        <v>80</v>
      </c>
      <c r="L10" s="20" t="s">
        <v>80</v>
      </c>
      <c r="M10" s="26" t="s">
        <v>80</v>
      </c>
      <c r="N10" s="20" t="s">
        <v>80</v>
      </c>
      <c r="O10" s="20" t="s">
        <v>80</v>
      </c>
      <c r="P10" s="26" t="s">
        <v>80</v>
      </c>
    </row>
    <row r="11" spans="1:16">
      <c r="A11" s="9" t="s">
        <v>160</v>
      </c>
      <c r="B11" s="15">
        <v>2.0375661219066301</v>
      </c>
      <c r="C11" s="15">
        <v>2.3080476496922002</v>
      </c>
      <c r="D11" s="24">
        <v>1.81268671635669</v>
      </c>
      <c r="E11" s="15">
        <v>2.32138814351989</v>
      </c>
      <c r="F11" s="15">
        <v>2.37415593342409</v>
      </c>
      <c r="G11" s="24">
        <v>2.2765259289142699</v>
      </c>
      <c r="H11" s="15">
        <v>1.7205045749386201</v>
      </c>
      <c r="I11" s="15">
        <v>2.18610387934255</v>
      </c>
      <c r="J11" s="26" t="s">
        <v>80</v>
      </c>
      <c r="K11" s="20" t="s">
        <v>80</v>
      </c>
      <c r="L11" s="20" t="s">
        <v>80</v>
      </c>
      <c r="M11" s="26" t="s">
        <v>80</v>
      </c>
      <c r="N11" s="20" t="s">
        <v>80</v>
      </c>
      <c r="O11" s="20" t="s">
        <v>80</v>
      </c>
      <c r="P11" s="26" t="s">
        <v>80</v>
      </c>
    </row>
    <row r="12" spans="1:16">
      <c r="A12" s="9" t="s">
        <v>161</v>
      </c>
      <c r="B12" s="15">
        <v>1.0166689691409201</v>
      </c>
      <c r="C12" s="15">
        <v>1.1833631049565401</v>
      </c>
      <c r="D12" s="26" t="s">
        <v>80</v>
      </c>
      <c r="E12" s="15">
        <v>1.2563620150047301</v>
      </c>
      <c r="F12" s="20" t="s">
        <v>80</v>
      </c>
      <c r="G12" s="26" t="s">
        <v>80</v>
      </c>
      <c r="H12" s="20" t="s">
        <v>80</v>
      </c>
      <c r="I12" s="20" t="s">
        <v>80</v>
      </c>
      <c r="J12" s="26" t="s">
        <v>80</v>
      </c>
      <c r="K12" s="20" t="s">
        <v>80</v>
      </c>
      <c r="L12" s="20" t="s">
        <v>80</v>
      </c>
      <c r="M12" s="26" t="s">
        <v>80</v>
      </c>
      <c r="N12" s="20" t="s">
        <v>80</v>
      </c>
      <c r="O12" s="20" t="s">
        <v>80</v>
      </c>
      <c r="P12" s="26" t="s">
        <v>80</v>
      </c>
    </row>
    <row r="13" spans="1:16">
      <c r="A13" s="9" t="s">
        <v>162</v>
      </c>
      <c r="B13" s="15">
        <v>1.62518794025055</v>
      </c>
      <c r="C13" s="15">
        <v>1.9739877023613299</v>
      </c>
      <c r="D13" s="24">
        <v>1.33519444678871</v>
      </c>
      <c r="E13" s="20" t="s">
        <v>80</v>
      </c>
      <c r="F13" s="20" t="s">
        <v>80</v>
      </c>
      <c r="G13" s="26" t="s">
        <v>80</v>
      </c>
      <c r="H13" s="15">
        <v>2.3697485461555501</v>
      </c>
      <c r="I13" s="15">
        <v>3.2741227283271002</v>
      </c>
      <c r="J13" s="26" t="s">
        <v>80</v>
      </c>
      <c r="K13" s="20" t="s">
        <v>80</v>
      </c>
      <c r="L13" s="20" t="s">
        <v>80</v>
      </c>
      <c r="M13" s="26" t="s">
        <v>80</v>
      </c>
      <c r="N13" s="20" t="s">
        <v>80</v>
      </c>
      <c r="O13" s="20" t="s">
        <v>80</v>
      </c>
      <c r="P13" s="26" t="s">
        <v>80</v>
      </c>
    </row>
    <row r="14" spans="1:16">
      <c r="A14" s="9" t="s">
        <v>163</v>
      </c>
      <c r="B14" s="15">
        <v>4.51320248941866</v>
      </c>
      <c r="C14" s="15">
        <v>5.1697959637514304</v>
      </c>
      <c r="D14" s="24">
        <v>3.96730809358034</v>
      </c>
      <c r="E14" s="15">
        <v>4.4052004578985304</v>
      </c>
      <c r="F14" s="15">
        <v>5.6508640237735097</v>
      </c>
      <c r="G14" s="24">
        <v>3.3461599652013501</v>
      </c>
      <c r="H14" s="15">
        <v>4.5438994151502197</v>
      </c>
      <c r="I14" s="15">
        <v>4.4741856099028299</v>
      </c>
      <c r="J14" s="24">
        <v>4.6010317883743301</v>
      </c>
      <c r="K14" s="20" t="s">
        <v>80</v>
      </c>
      <c r="L14" s="20" t="s">
        <v>80</v>
      </c>
      <c r="M14" s="26" t="s">
        <v>80</v>
      </c>
      <c r="N14" s="20" t="s">
        <v>80</v>
      </c>
      <c r="O14" s="20" t="s">
        <v>80</v>
      </c>
      <c r="P14" s="26" t="s">
        <v>80</v>
      </c>
    </row>
    <row r="15" spans="1:16">
      <c r="A15" s="9" t="s">
        <v>164</v>
      </c>
      <c r="B15" s="15">
        <v>6.7879460327347099</v>
      </c>
      <c r="C15" s="15">
        <v>8.4487867726445103</v>
      </c>
      <c r="D15" s="24">
        <v>5.4071165122798304</v>
      </c>
      <c r="E15" s="15">
        <v>9.5817306181691198</v>
      </c>
      <c r="F15" s="15">
        <v>11.2058360959171</v>
      </c>
      <c r="G15" s="24">
        <v>8.2009456996198704</v>
      </c>
      <c r="H15" s="15">
        <v>3.89169093136405</v>
      </c>
      <c r="I15" s="15">
        <v>5.4390068913587104</v>
      </c>
      <c r="J15" s="24">
        <v>2.6236231131130299</v>
      </c>
      <c r="K15" s="20" t="s">
        <v>80</v>
      </c>
      <c r="L15" s="20" t="s">
        <v>80</v>
      </c>
      <c r="M15" s="26" t="s">
        <v>80</v>
      </c>
      <c r="N15" s="20" t="s">
        <v>80</v>
      </c>
      <c r="O15" s="20" t="s">
        <v>80</v>
      </c>
      <c r="P15" s="26" t="s">
        <v>80</v>
      </c>
    </row>
    <row r="16" spans="1:16">
      <c r="A16" s="9" t="s">
        <v>165</v>
      </c>
      <c r="B16" s="20" t="s">
        <v>80</v>
      </c>
      <c r="C16" s="20" t="s">
        <v>80</v>
      </c>
      <c r="D16" s="26" t="s">
        <v>80</v>
      </c>
      <c r="E16" s="20" t="s">
        <v>80</v>
      </c>
      <c r="F16" s="20" t="s">
        <v>80</v>
      </c>
      <c r="G16" s="26" t="s">
        <v>80</v>
      </c>
      <c r="H16" s="20" t="s">
        <v>80</v>
      </c>
      <c r="I16" s="20" t="s">
        <v>80</v>
      </c>
      <c r="J16" s="26" t="s">
        <v>80</v>
      </c>
      <c r="K16" s="20" t="s">
        <v>80</v>
      </c>
      <c r="L16" s="20" t="s">
        <v>80</v>
      </c>
      <c r="M16" s="26" t="s">
        <v>80</v>
      </c>
      <c r="N16" s="20" t="s">
        <v>80</v>
      </c>
      <c r="O16" s="20" t="s">
        <v>80</v>
      </c>
      <c r="P16" s="26" t="s">
        <v>80</v>
      </c>
    </row>
    <row r="17" spans="1:16">
      <c r="A17" s="9" t="s">
        <v>166</v>
      </c>
      <c r="B17" s="15">
        <v>3.5313049560844099</v>
      </c>
      <c r="C17" s="15">
        <v>4.1603933000375699</v>
      </c>
      <c r="D17" s="24">
        <v>3.00827843377514</v>
      </c>
      <c r="E17" s="15">
        <v>3.80698853429449</v>
      </c>
      <c r="F17" s="15">
        <v>4.3081631333441202</v>
      </c>
      <c r="G17" s="24">
        <v>3.3808990115331801</v>
      </c>
      <c r="H17" s="15">
        <v>3.3035807684980099</v>
      </c>
      <c r="I17" s="15">
        <v>3.9395914601831099</v>
      </c>
      <c r="J17" s="24">
        <v>2.7823525830198301</v>
      </c>
      <c r="K17" s="20" t="s">
        <v>80</v>
      </c>
      <c r="L17" s="20" t="s">
        <v>80</v>
      </c>
      <c r="M17" s="26" t="s">
        <v>80</v>
      </c>
      <c r="N17" s="20" t="s">
        <v>80</v>
      </c>
      <c r="O17" s="20" t="s">
        <v>80</v>
      </c>
      <c r="P17" s="26" t="s">
        <v>80</v>
      </c>
    </row>
    <row r="18" spans="1:16">
      <c r="A18" s="9" t="s">
        <v>167</v>
      </c>
      <c r="B18" s="15">
        <v>10.6527980302934</v>
      </c>
      <c r="C18" s="15">
        <v>11.096495531878</v>
      </c>
      <c r="D18" s="24">
        <v>10.2839061831599</v>
      </c>
      <c r="E18" s="15">
        <v>2.8476365987153698</v>
      </c>
      <c r="F18" s="15">
        <v>3.8817290867318901</v>
      </c>
      <c r="G18" s="24">
        <v>1.96846998583125</v>
      </c>
      <c r="H18" s="15">
        <v>18.941393689301801</v>
      </c>
      <c r="I18" s="15">
        <v>19.0767231332647</v>
      </c>
      <c r="J18" s="24">
        <v>18.830487502596601</v>
      </c>
      <c r="K18" s="20" t="s">
        <v>80</v>
      </c>
      <c r="L18" s="20" t="s">
        <v>80</v>
      </c>
      <c r="M18" s="26" t="s">
        <v>80</v>
      </c>
      <c r="N18" s="20" t="s">
        <v>80</v>
      </c>
      <c r="O18" s="20" t="s">
        <v>80</v>
      </c>
      <c r="P18" s="26" t="s">
        <v>80</v>
      </c>
    </row>
    <row r="19" spans="1:16">
      <c r="A19" s="9" t="s">
        <v>168</v>
      </c>
      <c r="B19" s="15">
        <v>4.5767600382809599</v>
      </c>
      <c r="C19" s="15">
        <v>5.6657287110486001</v>
      </c>
      <c r="D19" s="24">
        <v>3.6713872026592802</v>
      </c>
      <c r="E19" s="15">
        <v>4.6634797973553503</v>
      </c>
      <c r="F19" s="15">
        <v>6.1213639143734397</v>
      </c>
      <c r="G19" s="24">
        <v>3.4240132544789001</v>
      </c>
      <c r="H19" s="15">
        <v>4.2023772293256103</v>
      </c>
      <c r="I19" s="15">
        <v>4.7689535634900997</v>
      </c>
      <c r="J19" s="24">
        <v>3.7380524020039299</v>
      </c>
      <c r="K19" s="20" t="s">
        <v>80</v>
      </c>
      <c r="L19" s="20" t="s">
        <v>80</v>
      </c>
      <c r="M19" s="26" t="s">
        <v>80</v>
      </c>
      <c r="N19" s="20" t="s">
        <v>80</v>
      </c>
      <c r="O19" s="20" t="s">
        <v>80</v>
      </c>
      <c r="P19" s="26" t="s">
        <v>80</v>
      </c>
    </row>
    <row r="20" spans="1:16">
      <c r="A20" s="9" t="s">
        <v>169</v>
      </c>
      <c r="B20" s="15">
        <v>0.833447234416689</v>
      </c>
      <c r="C20" s="20" t="s">
        <v>80</v>
      </c>
      <c r="D20" s="26" t="s">
        <v>80</v>
      </c>
      <c r="E20" s="20" t="s">
        <v>80</v>
      </c>
      <c r="F20" s="20" t="s">
        <v>80</v>
      </c>
      <c r="G20" s="26" t="s">
        <v>80</v>
      </c>
      <c r="H20" s="20" t="s">
        <v>80</v>
      </c>
      <c r="I20" s="20" t="s">
        <v>80</v>
      </c>
      <c r="J20" s="26" t="s">
        <v>80</v>
      </c>
      <c r="K20" s="20" t="s">
        <v>80</v>
      </c>
      <c r="L20" s="20" t="s">
        <v>80</v>
      </c>
      <c r="M20" s="26" t="s">
        <v>80</v>
      </c>
      <c r="N20" s="20" t="s">
        <v>80</v>
      </c>
      <c r="O20" s="20" t="s">
        <v>80</v>
      </c>
      <c r="P20" s="26" t="s">
        <v>80</v>
      </c>
    </row>
    <row r="21" spans="1:16">
      <c r="A21" s="9" t="s">
        <v>170</v>
      </c>
      <c r="B21" s="15">
        <v>2.2795966323135799</v>
      </c>
      <c r="C21" s="15">
        <v>2.30546271031923</v>
      </c>
      <c r="D21" s="24">
        <v>2.25809147337189</v>
      </c>
      <c r="E21" s="15">
        <v>1.4691200677221199</v>
      </c>
      <c r="F21" s="20" t="s">
        <v>80</v>
      </c>
      <c r="G21" s="26" t="s">
        <v>80</v>
      </c>
      <c r="H21" s="15">
        <v>3.1980969404782198</v>
      </c>
      <c r="I21" s="15">
        <v>3.0433212896069</v>
      </c>
      <c r="J21" s="24">
        <v>3.3249398264777001</v>
      </c>
      <c r="K21" s="20" t="s">
        <v>80</v>
      </c>
      <c r="L21" s="20" t="s">
        <v>80</v>
      </c>
      <c r="M21" s="26" t="s">
        <v>80</v>
      </c>
      <c r="N21" s="20" t="s">
        <v>80</v>
      </c>
      <c r="O21" s="20" t="s">
        <v>80</v>
      </c>
      <c r="P21" s="26" t="s">
        <v>80</v>
      </c>
    </row>
    <row r="22" spans="1:16">
      <c r="A22" s="9" t="s">
        <v>171</v>
      </c>
      <c r="B22" s="15">
        <v>0.86426334938368898</v>
      </c>
      <c r="C22" s="20" t="s">
        <v>80</v>
      </c>
      <c r="D22" s="26" t="s">
        <v>80</v>
      </c>
      <c r="E22" s="15">
        <v>0.98255377891115103</v>
      </c>
      <c r="F22" s="20" t="s">
        <v>80</v>
      </c>
      <c r="G22" s="26" t="s">
        <v>80</v>
      </c>
      <c r="H22" s="20" t="s">
        <v>80</v>
      </c>
      <c r="I22" s="20" t="s">
        <v>80</v>
      </c>
      <c r="J22" s="26" t="s">
        <v>80</v>
      </c>
      <c r="K22" s="20" t="s">
        <v>80</v>
      </c>
      <c r="L22" s="20" t="s">
        <v>80</v>
      </c>
      <c r="M22" s="26" t="s">
        <v>80</v>
      </c>
      <c r="N22" s="20" t="s">
        <v>80</v>
      </c>
      <c r="O22" s="20" t="s">
        <v>80</v>
      </c>
      <c r="P22" s="26" t="s">
        <v>80</v>
      </c>
    </row>
    <row r="23" spans="1:16">
      <c r="A23" s="9" t="s">
        <v>172</v>
      </c>
      <c r="B23" s="15">
        <v>6.3302657022907196</v>
      </c>
      <c r="C23" s="15">
        <v>4.8152700521543697</v>
      </c>
      <c r="D23" s="24">
        <v>7.5898390417444599</v>
      </c>
      <c r="E23" s="15">
        <v>3.37839658772022</v>
      </c>
      <c r="F23" s="15">
        <v>2.7340113168077802</v>
      </c>
      <c r="G23" s="24">
        <v>3.9262412172727799</v>
      </c>
      <c r="H23" s="15">
        <v>9.6349750726320806</v>
      </c>
      <c r="I23" s="15">
        <v>7.0811646146851004</v>
      </c>
      <c r="J23" s="24">
        <v>11.727892705076499</v>
      </c>
      <c r="K23" s="20" t="s">
        <v>80</v>
      </c>
      <c r="L23" s="20" t="s">
        <v>80</v>
      </c>
      <c r="M23" s="26" t="s">
        <v>80</v>
      </c>
      <c r="N23" s="20" t="s">
        <v>80</v>
      </c>
      <c r="O23" s="20" t="s">
        <v>80</v>
      </c>
      <c r="P23" s="26" t="s">
        <v>80</v>
      </c>
    </row>
    <row r="24" spans="1:16">
      <c r="A24" s="9" t="s">
        <v>173</v>
      </c>
      <c r="B24" s="15">
        <v>21.453008296466599</v>
      </c>
      <c r="C24" s="15">
        <v>23.358288273040301</v>
      </c>
      <c r="D24" s="24">
        <v>19.868951033680801</v>
      </c>
      <c r="E24" s="15">
        <v>29.533553928975898</v>
      </c>
      <c r="F24" s="15">
        <v>29.742273877660999</v>
      </c>
      <c r="G24" s="24">
        <v>29.3561040272958</v>
      </c>
      <c r="H24" s="15">
        <v>13.033484550684101</v>
      </c>
      <c r="I24" s="15">
        <v>16.552952717888999</v>
      </c>
      <c r="J24" s="24">
        <v>10.1491839711135</v>
      </c>
      <c r="K24" s="20" t="s">
        <v>80</v>
      </c>
      <c r="L24" s="20" t="s">
        <v>80</v>
      </c>
      <c r="M24" s="26" t="s">
        <v>80</v>
      </c>
      <c r="N24" s="20" t="s">
        <v>80</v>
      </c>
      <c r="O24" s="20" t="s">
        <v>80</v>
      </c>
      <c r="P24" s="26" t="s">
        <v>80</v>
      </c>
    </row>
    <row r="25" spans="1:16">
      <c r="A25" s="9" t="s">
        <v>174</v>
      </c>
      <c r="B25" s="20" t="s">
        <v>80</v>
      </c>
      <c r="C25" s="20" t="s">
        <v>80</v>
      </c>
      <c r="D25" s="26" t="s">
        <v>80</v>
      </c>
      <c r="E25" s="20" t="s">
        <v>80</v>
      </c>
      <c r="F25" s="20" t="s">
        <v>80</v>
      </c>
      <c r="G25" s="26" t="s">
        <v>80</v>
      </c>
      <c r="H25" s="20" t="s">
        <v>80</v>
      </c>
      <c r="I25" s="20" t="s">
        <v>80</v>
      </c>
      <c r="J25" s="26" t="s">
        <v>80</v>
      </c>
      <c r="K25" s="20" t="s">
        <v>80</v>
      </c>
      <c r="L25" s="20" t="s">
        <v>80</v>
      </c>
      <c r="M25" s="26" t="s">
        <v>80</v>
      </c>
      <c r="N25" s="20" t="s">
        <v>80</v>
      </c>
      <c r="O25" s="20" t="s">
        <v>80</v>
      </c>
      <c r="P25" s="26" t="s">
        <v>80</v>
      </c>
    </row>
    <row r="26" spans="1:16">
      <c r="A26" s="9" t="s">
        <v>175</v>
      </c>
      <c r="B26" s="15">
        <v>3.48545770432216</v>
      </c>
      <c r="C26" s="15">
        <v>4.0991110794358301</v>
      </c>
      <c r="D26" s="24">
        <v>2.9752638757857999</v>
      </c>
      <c r="E26" s="15">
        <v>4.2823571836929801</v>
      </c>
      <c r="F26" s="15">
        <v>4.94616269109929</v>
      </c>
      <c r="G26" s="24">
        <v>3.7180018225205802</v>
      </c>
      <c r="H26" s="15">
        <v>2.7135830576889699</v>
      </c>
      <c r="I26" s="15">
        <v>3.2006985223372801</v>
      </c>
      <c r="J26" s="24">
        <v>2.3143785897824598</v>
      </c>
      <c r="K26" s="20" t="s">
        <v>80</v>
      </c>
      <c r="L26" s="20" t="s">
        <v>80</v>
      </c>
      <c r="M26" s="26" t="s">
        <v>80</v>
      </c>
      <c r="N26" s="20" t="s">
        <v>80</v>
      </c>
      <c r="O26" s="20" t="s">
        <v>80</v>
      </c>
      <c r="P26" s="26" t="s">
        <v>80</v>
      </c>
    </row>
    <row r="27" spans="1:16">
      <c r="A27" s="9" t="s">
        <v>176</v>
      </c>
      <c r="B27" s="15">
        <v>7.6861230820218998</v>
      </c>
      <c r="C27" s="15">
        <v>10.132406070620901</v>
      </c>
      <c r="D27" s="24">
        <v>5.6522737881831704</v>
      </c>
      <c r="E27" s="15">
        <v>2.3906898886571701</v>
      </c>
      <c r="F27" s="15">
        <v>3.7053461940414198</v>
      </c>
      <c r="G27" s="26" t="s">
        <v>80</v>
      </c>
      <c r="H27" s="15">
        <v>13.4640402396094</v>
      </c>
      <c r="I27" s="15">
        <v>17.586873372402799</v>
      </c>
      <c r="J27" s="24">
        <v>10.085265541433101</v>
      </c>
      <c r="K27" s="20" t="s">
        <v>80</v>
      </c>
      <c r="L27" s="20" t="s">
        <v>80</v>
      </c>
      <c r="M27" s="26" t="s">
        <v>80</v>
      </c>
      <c r="N27" s="20" t="s">
        <v>80</v>
      </c>
      <c r="O27" s="20" t="s">
        <v>80</v>
      </c>
      <c r="P27" s="26" t="s">
        <v>80</v>
      </c>
    </row>
    <row r="28" spans="1:16">
      <c r="A28" s="9" t="s">
        <v>177</v>
      </c>
      <c r="B28" s="15">
        <v>3.3026655629962498</v>
      </c>
      <c r="C28" s="15">
        <v>4.0810974408531697</v>
      </c>
      <c r="D28" s="24">
        <v>2.6554742394823898</v>
      </c>
      <c r="E28" s="15">
        <v>1.2729338619355099</v>
      </c>
      <c r="F28" s="20" t="s">
        <v>80</v>
      </c>
      <c r="G28" s="26" t="s">
        <v>80</v>
      </c>
      <c r="H28" s="15">
        <v>5.5654700511942803</v>
      </c>
      <c r="I28" s="15">
        <v>6.38948405301399</v>
      </c>
      <c r="J28" s="24">
        <v>4.8901680026718699</v>
      </c>
      <c r="K28" s="20" t="s">
        <v>80</v>
      </c>
      <c r="L28" s="20" t="s">
        <v>80</v>
      </c>
      <c r="M28" s="26" t="s">
        <v>80</v>
      </c>
      <c r="N28" s="20" t="s">
        <v>80</v>
      </c>
      <c r="O28" s="20" t="s">
        <v>80</v>
      </c>
      <c r="P28" s="26" t="s">
        <v>80</v>
      </c>
    </row>
    <row r="29" spans="1:16">
      <c r="A29" s="9" t="s">
        <v>178</v>
      </c>
      <c r="B29" s="15">
        <v>0.50518475844751998</v>
      </c>
      <c r="C29" s="20" t="s">
        <v>80</v>
      </c>
      <c r="D29" s="26" t="s">
        <v>80</v>
      </c>
      <c r="E29" s="20" t="s">
        <v>80</v>
      </c>
      <c r="F29" s="20" t="s">
        <v>80</v>
      </c>
      <c r="G29" s="26" t="s">
        <v>80</v>
      </c>
      <c r="H29" s="20" t="s">
        <v>80</v>
      </c>
      <c r="I29" s="20" t="s">
        <v>80</v>
      </c>
      <c r="J29" s="26" t="s">
        <v>80</v>
      </c>
      <c r="K29" s="20" t="s">
        <v>80</v>
      </c>
      <c r="L29" s="20" t="s">
        <v>80</v>
      </c>
      <c r="M29" s="26" t="s">
        <v>80</v>
      </c>
      <c r="N29" s="20" t="s">
        <v>80</v>
      </c>
      <c r="O29" s="20" t="s">
        <v>80</v>
      </c>
      <c r="P29" s="26" t="s">
        <v>80</v>
      </c>
    </row>
    <row r="30" spans="1:16">
      <c r="A30" s="9" t="s">
        <v>179</v>
      </c>
      <c r="B30" s="15">
        <v>3.7448780243419999</v>
      </c>
      <c r="C30" s="15">
        <v>4.1049853058454904</v>
      </c>
      <c r="D30" s="24">
        <v>3.4454834148036002</v>
      </c>
      <c r="E30" s="15">
        <v>4.7760606109308199</v>
      </c>
      <c r="F30" s="15">
        <v>4.9693659575527596</v>
      </c>
      <c r="G30" s="24">
        <v>4.6117159233797302</v>
      </c>
      <c r="H30" s="15">
        <v>2.5037847330931502</v>
      </c>
      <c r="I30" s="15">
        <v>2.8474665643684598</v>
      </c>
      <c r="J30" s="24">
        <v>2.2221280571293698</v>
      </c>
      <c r="K30" s="20" t="s">
        <v>80</v>
      </c>
      <c r="L30" s="20" t="s">
        <v>80</v>
      </c>
      <c r="M30" s="26" t="s">
        <v>80</v>
      </c>
      <c r="N30" s="20" t="s">
        <v>80</v>
      </c>
      <c r="O30" s="20" t="s">
        <v>80</v>
      </c>
      <c r="P30" s="26" t="s">
        <v>80</v>
      </c>
    </row>
    <row r="31" spans="1:16">
      <c r="A31" s="9" t="s">
        <v>180</v>
      </c>
      <c r="B31" s="15">
        <v>8.4248408365567808</v>
      </c>
      <c r="C31" s="15">
        <v>8.7143632467952994</v>
      </c>
      <c r="D31" s="24">
        <v>8.1841307664796901</v>
      </c>
      <c r="E31" s="15">
        <v>10.3256651273107</v>
      </c>
      <c r="F31" s="15">
        <v>11.073379175207</v>
      </c>
      <c r="G31" s="24">
        <v>9.6899722521445906</v>
      </c>
      <c r="H31" s="15">
        <v>6.4688936025980697</v>
      </c>
      <c r="I31" s="15">
        <v>6.3066761465430803</v>
      </c>
      <c r="J31" s="24">
        <v>6.6018352518153298</v>
      </c>
      <c r="K31" s="20" t="s">
        <v>80</v>
      </c>
      <c r="L31" s="20" t="s">
        <v>80</v>
      </c>
      <c r="M31" s="26" t="s">
        <v>80</v>
      </c>
      <c r="N31" s="20" t="s">
        <v>80</v>
      </c>
      <c r="O31" s="20" t="s">
        <v>80</v>
      </c>
      <c r="P31" s="26" t="s">
        <v>80</v>
      </c>
    </row>
    <row r="32" spans="1:16">
      <c r="A32" s="9" t="s">
        <v>181</v>
      </c>
      <c r="B32" s="20" t="s">
        <v>80</v>
      </c>
      <c r="C32" s="20" t="s">
        <v>80</v>
      </c>
      <c r="D32" s="26" t="s">
        <v>80</v>
      </c>
      <c r="E32" s="20" t="s">
        <v>80</v>
      </c>
      <c r="F32" s="20" t="s">
        <v>80</v>
      </c>
      <c r="G32" s="26" t="s">
        <v>80</v>
      </c>
      <c r="H32" s="20" t="s">
        <v>80</v>
      </c>
      <c r="I32" s="20" t="s">
        <v>80</v>
      </c>
      <c r="J32" s="26" t="s">
        <v>80</v>
      </c>
      <c r="K32" s="20" t="s">
        <v>80</v>
      </c>
      <c r="L32" s="20" t="s">
        <v>80</v>
      </c>
      <c r="M32" s="26" t="s">
        <v>80</v>
      </c>
      <c r="N32" s="20" t="s">
        <v>80</v>
      </c>
      <c r="O32" s="20" t="s">
        <v>80</v>
      </c>
      <c r="P32" s="26" t="s">
        <v>80</v>
      </c>
    </row>
    <row r="33" spans="1:16">
      <c r="A33" s="9" t="s">
        <v>182</v>
      </c>
      <c r="B33" s="15">
        <v>4.6662218458293898</v>
      </c>
      <c r="C33" s="15">
        <v>4.4616759183716601</v>
      </c>
      <c r="D33" s="24">
        <v>4.8362821340529303</v>
      </c>
      <c r="E33" s="15">
        <v>3.7051633381834201</v>
      </c>
      <c r="F33" s="15">
        <v>4.2887784574800802</v>
      </c>
      <c r="G33" s="24">
        <v>3.2089843855211</v>
      </c>
      <c r="H33" s="15">
        <v>5.7191172620357102</v>
      </c>
      <c r="I33" s="15">
        <v>4.81235495559815</v>
      </c>
      <c r="J33" s="24">
        <v>6.46223381309908</v>
      </c>
      <c r="K33" s="20" t="s">
        <v>80</v>
      </c>
      <c r="L33" s="20" t="s">
        <v>80</v>
      </c>
      <c r="M33" s="26" t="s">
        <v>80</v>
      </c>
      <c r="N33" s="20" t="s">
        <v>80</v>
      </c>
      <c r="O33" s="20" t="s">
        <v>80</v>
      </c>
      <c r="P33" s="26" t="s">
        <v>80</v>
      </c>
    </row>
    <row r="34" spans="1:16">
      <c r="A34" s="9" t="s">
        <v>183</v>
      </c>
      <c r="B34" s="15">
        <v>1.8965468060838799</v>
      </c>
      <c r="C34" s="15">
        <v>2.0820882610696501</v>
      </c>
      <c r="D34" s="24">
        <v>1.7422869109861701</v>
      </c>
      <c r="E34" s="15">
        <v>2.54595287332151</v>
      </c>
      <c r="F34" s="15">
        <v>2.6056529223583098</v>
      </c>
      <c r="G34" s="24">
        <v>2.4951969781680998</v>
      </c>
      <c r="H34" s="15">
        <v>1.16487876836551</v>
      </c>
      <c r="I34" s="20" t="s">
        <v>80</v>
      </c>
      <c r="J34" s="26" t="s">
        <v>80</v>
      </c>
      <c r="K34" s="20" t="s">
        <v>80</v>
      </c>
      <c r="L34" s="20" t="s">
        <v>80</v>
      </c>
      <c r="M34" s="26" t="s">
        <v>80</v>
      </c>
      <c r="N34" s="20" t="s">
        <v>80</v>
      </c>
      <c r="O34" s="20" t="s">
        <v>80</v>
      </c>
      <c r="P34" s="26" t="s">
        <v>80</v>
      </c>
    </row>
    <row r="35" spans="1:16">
      <c r="A35" s="9" t="s">
        <v>184</v>
      </c>
      <c r="B35" s="15">
        <v>1.6440682539949001</v>
      </c>
      <c r="C35" s="15">
        <v>2.0525651505729501</v>
      </c>
      <c r="D35" s="24">
        <v>1.3044423282485</v>
      </c>
      <c r="E35" s="15">
        <v>2.0505517285580601</v>
      </c>
      <c r="F35" s="15">
        <v>2.37661806099449</v>
      </c>
      <c r="G35" s="24">
        <v>1.77333606711027</v>
      </c>
      <c r="H35" s="15">
        <v>1.20091502119187</v>
      </c>
      <c r="I35" s="20" t="s">
        <v>80</v>
      </c>
      <c r="J35" s="26" t="s">
        <v>80</v>
      </c>
      <c r="K35" s="20" t="s">
        <v>80</v>
      </c>
      <c r="L35" s="20" t="s">
        <v>80</v>
      </c>
      <c r="M35" s="26" t="s">
        <v>80</v>
      </c>
      <c r="N35" s="20" t="s">
        <v>80</v>
      </c>
      <c r="O35" s="20" t="s">
        <v>80</v>
      </c>
      <c r="P35" s="26" t="s">
        <v>80</v>
      </c>
    </row>
    <row r="36" spans="1:16">
      <c r="A36" s="9" t="s">
        <v>185</v>
      </c>
      <c r="B36" s="15">
        <v>6.1907762789080598</v>
      </c>
      <c r="C36" s="15">
        <v>4.5537639950718898</v>
      </c>
      <c r="D36" s="24">
        <v>7.5517947273060697</v>
      </c>
      <c r="E36" s="15">
        <v>1.4381187305672101</v>
      </c>
      <c r="F36" s="15">
        <v>2.5144114080323701</v>
      </c>
      <c r="G36" s="26" t="s">
        <v>80</v>
      </c>
      <c r="H36" s="15">
        <v>11.3322669663686</v>
      </c>
      <c r="I36" s="15">
        <v>6.5045924686541996</v>
      </c>
      <c r="J36" s="24">
        <v>15.288678472370201</v>
      </c>
      <c r="K36" s="20" t="s">
        <v>80</v>
      </c>
      <c r="L36" s="20" t="s">
        <v>80</v>
      </c>
      <c r="M36" s="26" t="s">
        <v>80</v>
      </c>
      <c r="N36" s="20" t="s">
        <v>80</v>
      </c>
      <c r="O36" s="20" t="s">
        <v>80</v>
      </c>
      <c r="P36" s="26" t="s">
        <v>80</v>
      </c>
    </row>
    <row r="37" spans="1:16">
      <c r="A37" s="9" t="s">
        <v>186</v>
      </c>
      <c r="B37" s="15">
        <v>1.9650897477152001</v>
      </c>
      <c r="C37" s="15">
        <v>1.69602393674765</v>
      </c>
      <c r="D37" s="24">
        <v>2.18879212073701</v>
      </c>
      <c r="E37" s="15">
        <v>1.8211890721465001</v>
      </c>
      <c r="F37" s="20" t="s">
        <v>80</v>
      </c>
      <c r="G37" s="24">
        <v>1.95390937005758</v>
      </c>
      <c r="H37" s="15">
        <v>2.2035458890159898</v>
      </c>
      <c r="I37" s="20" t="s">
        <v>80</v>
      </c>
      <c r="J37" s="24">
        <v>2.5333488675264899</v>
      </c>
      <c r="K37" s="20" t="s">
        <v>80</v>
      </c>
      <c r="L37" s="20" t="s">
        <v>80</v>
      </c>
      <c r="M37" s="26" t="s">
        <v>80</v>
      </c>
      <c r="N37" s="20" t="s">
        <v>80</v>
      </c>
      <c r="O37" s="20" t="s">
        <v>80</v>
      </c>
      <c r="P37" s="26" t="s">
        <v>80</v>
      </c>
    </row>
    <row r="38" spans="1:16">
      <c r="A38" s="9" t="s">
        <v>187</v>
      </c>
      <c r="B38" s="15">
        <v>2.7822050126659899</v>
      </c>
      <c r="C38" s="15">
        <v>4.4576886671577096</v>
      </c>
      <c r="D38" s="24">
        <v>1.38920131546173</v>
      </c>
      <c r="E38" s="15">
        <v>3.0882569773338</v>
      </c>
      <c r="F38" s="15">
        <v>5.2110616287598397</v>
      </c>
      <c r="G38" s="26" t="s">
        <v>80</v>
      </c>
      <c r="H38" s="15">
        <v>2.47606572559538</v>
      </c>
      <c r="I38" s="15">
        <v>3.62714633667066</v>
      </c>
      <c r="J38" s="26" t="s">
        <v>80</v>
      </c>
      <c r="K38" s="20" t="s">
        <v>80</v>
      </c>
      <c r="L38" s="20" t="s">
        <v>80</v>
      </c>
      <c r="M38" s="26" t="s">
        <v>80</v>
      </c>
      <c r="N38" s="20" t="s">
        <v>80</v>
      </c>
      <c r="O38" s="20" t="s">
        <v>80</v>
      </c>
      <c r="P38" s="26" t="s">
        <v>80</v>
      </c>
    </row>
    <row r="39" spans="1:16">
      <c r="A39" s="9" t="s">
        <v>188</v>
      </c>
      <c r="B39" s="15">
        <v>3.2737407742074001</v>
      </c>
      <c r="C39" s="15">
        <v>2.6558212716376701</v>
      </c>
      <c r="D39" s="24">
        <v>3.7874814778822299</v>
      </c>
      <c r="E39" s="15">
        <v>4.0342269231512402</v>
      </c>
      <c r="F39" s="15">
        <v>3.3063145437060002</v>
      </c>
      <c r="G39" s="24">
        <v>4.6530847801895296</v>
      </c>
      <c r="H39" s="15">
        <v>2.5471500530342999</v>
      </c>
      <c r="I39" s="20" t="s">
        <v>80</v>
      </c>
      <c r="J39" s="24">
        <v>3.1028551872164898</v>
      </c>
      <c r="K39" s="20" t="s">
        <v>80</v>
      </c>
      <c r="L39" s="20" t="s">
        <v>80</v>
      </c>
      <c r="M39" s="26" t="s">
        <v>80</v>
      </c>
      <c r="N39" s="20" t="s">
        <v>80</v>
      </c>
      <c r="O39" s="20" t="s">
        <v>80</v>
      </c>
      <c r="P39" s="26" t="s">
        <v>80</v>
      </c>
    </row>
    <row r="40" spans="1:16">
      <c r="A40" s="9" t="s">
        <v>189</v>
      </c>
      <c r="B40" s="15">
        <v>1.22964506675651</v>
      </c>
      <c r="C40" s="15">
        <v>1.65122918271703</v>
      </c>
      <c r="D40" s="24">
        <v>0.87913837536550199</v>
      </c>
      <c r="E40" s="20" t="s">
        <v>80</v>
      </c>
      <c r="F40" s="20" t="s">
        <v>80</v>
      </c>
      <c r="G40" s="26" t="s">
        <v>80</v>
      </c>
      <c r="H40" s="15">
        <v>1.71586456854554</v>
      </c>
      <c r="I40" s="20" t="s">
        <v>80</v>
      </c>
      <c r="J40" s="26" t="s">
        <v>80</v>
      </c>
      <c r="K40" s="20" t="s">
        <v>80</v>
      </c>
      <c r="L40" s="20" t="s">
        <v>80</v>
      </c>
      <c r="M40" s="26" t="s">
        <v>80</v>
      </c>
      <c r="N40" s="20" t="s">
        <v>80</v>
      </c>
      <c r="O40" s="20" t="s">
        <v>80</v>
      </c>
      <c r="P40" s="26" t="s">
        <v>80</v>
      </c>
    </row>
    <row r="41" spans="1:16">
      <c r="A41" s="9" t="s">
        <v>190</v>
      </c>
      <c r="B41" s="15">
        <v>2.47839932238093</v>
      </c>
      <c r="C41" s="15">
        <v>3.0581283787418299</v>
      </c>
      <c r="D41" s="24">
        <v>1.9964103058229301</v>
      </c>
      <c r="E41" s="15">
        <v>2.5140090738789</v>
      </c>
      <c r="F41" s="15">
        <v>3.0565733203690599</v>
      </c>
      <c r="G41" s="24">
        <v>2.05273082615299</v>
      </c>
      <c r="H41" s="15">
        <v>2.3572847020263201</v>
      </c>
      <c r="I41" s="15">
        <v>2.89300765499795</v>
      </c>
      <c r="J41" s="24">
        <v>1.91824506582682</v>
      </c>
      <c r="K41" s="20" t="s">
        <v>80</v>
      </c>
      <c r="L41" s="20" t="s">
        <v>80</v>
      </c>
      <c r="M41" s="26" t="s">
        <v>80</v>
      </c>
      <c r="N41" s="20" t="s">
        <v>80</v>
      </c>
      <c r="O41" s="20" t="s">
        <v>80</v>
      </c>
      <c r="P41" s="26" t="s">
        <v>80</v>
      </c>
    </row>
    <row r="42" spans="1:16">
      <c r="A42" s="9" t="s">
        <v>191</v>
      </c>
      <c r="B42" s="15">
        <v>0.79477497553863596</v>
      </c>
      <c r="C42" s="20" t="s">
        <v>80</v>
      </c>
      <c r="D42" s="26" t="s">
        <v>80</v>
      </c>
      <c r="E42" s="20" t="s">
        <v>80</v>
      </c>
      <c r="F42" s="20" t="s">
        <v>80</v>
      </c>
      <c r="G42" s="26" t="s">
        <v>80</v>
      </c>
      <c r="H42" s="20" t="s">
        <v>80</v>
      </c>
      <c r="I42" s="20" t="s">
        <v>80</v>
      </c>
      <c r="J42" s="26" t="s">
        <v>80</v>
      </c>
      <c r="K42" s="20" t="s">
        <v>80</v>
      </c>
      <c r="L42" s="20" t="s">
        <v>80</v>
      </c>
      <c r="M42" s="26" t="s">
        <v>80</v>
      </c>
      <c r="N42" s="20" t="s">
        <v>80</v>
      </c>
      <c r="O42" s="20" t="s">
        <v>80</v>
      </c>
      <c r="P42" s="26" t="s">
        <v>80</v>
      </c>
    </row>
    <row r="43" spans="1:16">
      <c r="A43" s="9" t="s">
        <v>192</v>
      </c>
      <c r="B43" s="15">
        <v>13.8332062806731</v>
      </c>
      <c r="C43" s="15">
        <v>15.232587609509499</v>
      </c>
      <c r="D43" s="24">
        <v>12.669755142464799</v>
      </c>
      <c r="E43" s="15">
        <v>21.856301145907398</v>
      </c>
      <c r="F43" s="15">
        <v>23.782459386469899</v>
      </c>
      <c r="G43" s="24">
        <v>20.2187164657572</v>
      </c>
      <c r="H43" s="15">
        <v>5.4521373476211599</v>
      </c>
      <c r="I43" s="15">
        <v>5.8999274010816096</v>
      </c>
      <c r="J43" s="24">
        <v>5.0851611315107403</v>
      </c>
      <c r="K43" s="20" t="s">
        <v>80</v>
      </c>
      <c r="L43" s="20" t="s">
        <v>80</v>
      </c>
      <c r="M43" s="26" t="s">
        <v>80</v>
      </c>
      <c r="N43" s="20" t="s">
        <v>80</v>
      </c>
      <c r="O43" s="20" t="s">
        <v>80</v>
      </c>
      <c r="P43" s="26" t="s">
        <v>80</v>
      </c>
    </row>
    <row r="44" spans="1:16">
      <c r="A44" s="9" t="s">
        <v>193</v>
      </c>
      <c r="B44" s="15">
        <v>9.0210181897435806</v>
      </c>
      <c r="C44" s="15">
        <v>10.0155545193604</v>
      </c>
      <c r="D44" s="24">
        <v>8.1941567754611206</v>
      </c>
      <c r="E44" s="15">
        <v>9.6216120202810806</v>
      </c>
      <c r="F44" s="15">
        <v>11.0337605974045</v>
      </c>
      <c r="G44" s="24">
        <v>8.4210290010387094</v>
      </c>
      <c r="H44" s="15">
        <v>8.5237524841671402</v>
      </c>
      <c r="I44" s="15">
        <v>8.9097765971421996</v>
      </c>
      <c r="J44" s="24">
        <v>8.2073951483749994</v>
      </c>
      <c r="K44" s="20" t="s">
        <v>80</v>
      </c>
      <c r="L44" s="20" t="s">
        <v>80</v>
      </c>
      <c r="M44" s="26" t="s">
        <v>80</v>
      </c>
      <c r="N44" s="20" t="s">
        <v>80</v>
      </c>
      <c r="O44" s="20" t="s">
        <v>80</v>
      </c>
      <c r="P44" s="26" t="s">
        <v>80</v>
      </c>
    </row>
    <row r="45" spans="1:16">
      <c r="A45" s="9" t="s">
        <v>194</v>
      </c>
      <c r="B45" s="15">
        <v>1.0957597049596199</v>
      </c>
      <c r="C45" s="20" t="s">
        <v>80</v>
      </c>
      <c r="D45" s="24">
        <v>1.1767803076160801</v>
      </c>
      <c r="E45" s="15">
        <v>1.1168837634486699</v>
      </c>
      <c r="F45" s="20" t="s">
        <v>80</v>
      </c>
      <c r="G45" s="26" t="s">
        <v>80</v>
      </c>
      <c r="H45" s="15">
        <v>1.0492922643187299</v>
      </c>
      <c r="I45" s="20" t="s">
        <v>80</v>
      </c>
      <c r="J45" s="26" t="s">
        <v>80</v>
      </c>
      <c r="K45" s="20" t="s">
        <v>80</v>
      </c>
      <c r="L45" s="20" t="s">
        <v>80</v>
      </c>
      <c r="M45" s="26" t="s">
        <v>80</v>
      </c>
      <c r="N45" s="20" t="s">
        <v>80</v>
      </c>
      <c r="O45" s="20" t="s">
        <v>80</v>
      </c>
      <c r="P45" s="26" t="s">
        <v>80</v>
      </c>
    </row>
    <row r="46" spans="1:16">
      <c r="A46" s="9" t="s">
        <v>195</v>
      </c>
      <c r="B46" s="15">
        <v>2.15897374314968</v>
      </c>
      <c r="C46" s="15">
        <v>3.2886048318312202</v>
      </c>
      <c r="D46" s="24">
        <v>1.21979401508028</v>
      </c>
      <c r="E46" s="15">
        <v>1.92138606999869</v>
      </c>
      <c r="F46" s="15">
        <v>2.9186428049884898</v>
      </c>
      <c r="G46" s="26" t="s">
        <v>80</v>
      </c>
      <c r="H46" s="15">
        <v>2.4320572199989701</v>
      </c>
      <c r="I46" s="15">
        <v>3.6546821280273898</v>
      </c>
      <c r="J46" s="24">
        <v>1.43008261381169</v>
      </c>
      <c r="K46" s="20" t="s">
        <v>80</v>
      </c>
      <c r="L46" s="20" t="s">
        <v>80</v>
      </c>
      <c r="M46" s="26" t="s">
        <v>80</v>
      </c>
      <c r="N46" s="20" t="s">
        <v>80</v>
      </c>
      <c r="O46" s="20" t="s">
        <v>80</v>
      </c>
      <c r="P46" s="26" t="s">
        <v>80</v>
      </c>
    </row>
    <row r="47" spans="1:16">
      <c r="A47" s="9" t="s">
        <v>196</v>
      </c>
      <c r="B47" s="15">
        <v>1.19957187749632</v>
      </c>
      <c r="C47" s="15">
        <v>1.2568245535101801</v>
      </c>
      <c r="D47" s="24">
        <v>1.1519717775799001</v>
      </c>
      <c r="E47" s="15">
        <v>1.29817164759696</v>
      </c>
      <c r="F47" s="20" t="s">
        <v>80</v>
      </c>
      <c r="G47" s="26" t="s">
        <v>80</v>
      </c>
      <c r="H47" s="15">
        <v>1.0108035220442</v>
      </c>
      <c r="I47" s="20" t="s">
        <v>80</v>
      </c>
      <c r="J47" s="26" t="s">
        <v>80</v>
      </c>
      <c r="K47" s="20" t="s">
        <v>80</v>
      </c>
      <c r="L47" s="20" t="s">
        <v>80</v>
      </c>
      <c r="M47" s="26" t="s">
        <v>80</v>
      </c>
      <c r="N47" s="20" t="s">
        <v>80</v>
      </c>
      <c r="O47" s="20" t="s">
        <v>80</v>
      </c>
      <c r="P47" s="26" t="s">
        <v>80</v>
      </c>
    </row>
    <row r="48" spans="1:16">
      <c r="A48" s="9" t="s">
        <v>197</v>
      </c>
      <c r="B48" s="15">
        <v>1.28332510094611</v>
      </c>
      <c r="C48" s="15">
        <v>1.57554998990533</v>
      </c>
      <c r="D48" s="24">
        <v>1.04036817943631</v>
      </c>
      <c r="E48" s="15">
        <v>1.31119383370889</v>
      </c>
      <c r="F48" s="20" t="s">
        <v>80</v>
      </c>
      <c r="G48" s="26" t="s">
        <v>80</v>
      </c>
      <c r="H48" s="15">
        <v>1.16712794245815</v>
      </c>
      <c r="I48" s="20" t="s">
        <v>80</v>
      </c>
      <c r="J48" s="26" t="s">
        <v>80</v>
      </c>
      <c r="K48" s="20" t="s">
        <v>80</v>
      </c>
      <c r="L48" s="20" t="s">
        <v>80</v>
      </c>
      <c r="M48" s="26" t="s">
        <v>80</v>
      </c>
      <c r="N48" s="20" t="s">
        <v>80</v>
      </c>
      <c r="O48" s="20" t="s">
        <v>80</v>
      </c>
      <c r="P48" s="26" t="s">
        <v>80</v>
      </c>
    </row>
    <row r="49" spans="1:16">
      <c r="A49" s="9" t="s">
        <v>198</v>
      </c>
      <c r="B49" s="15">
        <v>3.7431011595613901</v>
      </c>
      <c r="C49" s="15">
        <v>4.2567100556914097</v>
      </c>
      <c r="D49" s="24">
        <v>3.3160847041587602</v>
      </c>
      <c r="E49" s="15">
        <v>3.4665497429387599</v>
      </c>
      <c r="F49" s="15">
        <v>4.57905674933287</v>
      </c>
      <c r="G49" s="24">
        <v>2.5207165336700101</v>
      </c>
      <c r="H49" s="15">
        <v>4.1454373889703904</v>
      </c>
      <c r="I49" s="15">
        <v>4.0584967711145703</v>
      </c>
      <c r="J49" s="24">
        <v>4.2166876070591304</v>
      </c>
      <c r="K49" s="20" t="s">
        <v>80</v>
      </c>
      <c r="L49" s="20" t="s">
        <v>80</v>
      </c>
      <c r="M49" s="26" t="s">
        <v>80</v>
      </c>
      <c r="N49" s="20" t="s">
        <v>80</v>
      </c>
      <c r="O49" s="20" t="s">
        <v>80</v>
      </c>
      <c r="P49" s="26" t="s">
        <v>80</v>
      </c>
    </row>
    <row r="50" spans="1:16">
      <c r="A50" s="9" t="s">
        <v>199</v>
      </c>
      <c r="B50" s="15">
        <v>18.847133040367002</v>
      </c>
      <c r="C50" s="15">
        <v>24.9264090032006</v>
      </c>
      <c r="D50" s="24">
        <v>13.7927991052973</v>
      </c>
      <c r="E50" s="15">
        <v>17.392403811483401</v>
      </c>
      <c r="F50" s="15">
        <v>24.391941950240099</v>
      </c>
      <c r="G50" s="24">
        <v>11.4415238771292</v>
      </c>
      <c r="H50" s="15">
        <v>20.462338901614899</v>
      </c>
      <c r="I50" s="15">
        <v>25.254927447073499</v>
      </c>
      <c r="J50" s="24">
        <v>16.5346812946737</v>
      </c>
      <c r="K50" s="20" t="s">
        <v>80</v>
      </c>
      <c r="L50" s="20" t="s">
        <v>80</v>
      </c>
      <c r="M50" s="26" t="s">
        <v>80</v>
      </c>
      <c r="N50" s="20" t="s">
        <v>80</v>
      </c>
      <c r="O50" s="20" t="s">
        <v>80</v>
      </c>
      <c r="P50" s="26" t="s">
        <v>80</v>
      </c>
    </row>
    <row r="51" spans="1:16">
      <c r="A51" s="9" t="s">
        <v>200</v>
      </c>
      <c r="B51" s="15">
        <v>3.63453434345181</v>
      </c>
      <c r="C51" s="15">
        <v>2.67372253302063</v>
      </c>
      <c r="D51" s="24">
        <v>4.4333570599015104</v>
      </c>
      <c r="E51" s="15">
        <v>3.72246726584134</v>
      </c>
      <c r="F51" s="15">
        <v>3.30373245034203</v>
      </c>
      <c r="G51" s="24">
        <v>4.0784679850277801</v>
      </c>
      <c r="H51" s="15">
        <v>3.5663570717556401</v>
      </c>
      <c r="I51" s="20" t="s">
        <v>80</v>
      </c>
      <c r="J51" s="24">
        <v>5.0103638588795896</v>
      </c>
      <c r="K51" s="20" t="s">
        <v>80</v>
      </c>
      <c r="L51" s="20" t="s">
        <v>80</v>
      </c>
      <c r="M51" s="26" t="s">
        <v>80</v>
      </c>
      <c r="N51" s="20" t="s">
        <v>80</v>
      </c>
      <c r="O51" s="20" t="s">
        <v>80</v>
      </c>
      <c r="P51" s="26" t="s">
        <v>80</v>
      </c>
    </row>
    <row r="52" spans="1:16">
      <c r="A52" s="9" t="s">
        <v>201</v>
      </c>
      <c r="B52" s="15">
        <v>2.19065356903169</v>
      </c>
      <c r="C52" s="15">
        <v>2.0871365688942398</v>
      </c>
      <c r="D52" s="24">
        <v>2.2767180099042599</v>
      </c>
      <c r="E52" s="15">
        <v>2.6839899814336601</v>
      </c>
      <c r="F52" s="15">
        <v>2.37245657070978</v>
      </c>
      <c r="G52" s="24">
        <v>2.94885001733982</v>
      </c>
      <c r="H52" s="15">
        <v>1.48090668963307</v>
      </c>
      <c r="I52" s="20" t="s">
        <v>80</v>
      </c>
      <c r="J52" s="26" t="s">
        <v>80</v>
      </c>
      <c r="K52" s="20" t="s">
        <v>80</v>
      </c>
      <c r="L52" s="20" t="s">
        <v>80</v>
      </c>
      <c r="M52" s="26" t="s">
        <v>80</v>
      </c>
      <c r="N52" s="20" t="s">
        <v>80</v>
      </c>
      <c r="O52" s="20" t="s">
        <v>80</v>
      </c>
      <c r="P52" s="26" t="s">
        <v>80</v>
      </c>
    </row>
    <row r="53" spans="1:16">
      <c r="A53" s="9" t="s">
        <v>202</v>
      </c>
      <c r="B53" s="15">
        <v>5.4373510865503301</v>
      </c>
      <c r="C53" s="15">
        <v>6.1165907347495301</v>
      </c>
      <c r="D53" s="24">
        <v>4.8726285727301404</v>
      </c>
      <c r="E53" s="15">
        <v>5.5580940465776401</v>
      </c>
      <c r="F53" s="15">
        <v>6.4613263936331604</v>
      </c>
      <c r="G53" s="24">
        <v>4.7901823438910496</v>
      </c>
      <c r="H53" s="15">
        <v>5.3944400283963896</v>
      </c>
      <c r="I53" s="15">
        <v>5.6341462342102098</v>
      </c>
      <c r="J53" s="24">
        <v>5.1979942259316996</v>
      </c>
      <c r="K53" s="20" t="s">
        <v>80</v>
      </c>
      <c r="L53" s="20" t="s">
        <v>80</v>
      </c>
      <c r="M53" s="26" t="s">
        <v>80</v>
      </c>
      <c r="N53" s="20" t="s">
        <v>80</v>
      </c>
      <c r="O53" s="20" t="s">
        <v>80</v>
      </c>
      <c r="P53" s="26" t="s">
        <v>80</v>
      </c>
    </row>
    <row r="54" spans="1:16">
      <c r="A54" s="9" t="s">
        <v>203</v>
      </c>
      <c r="B54" s="15">
        <v>2.8641299218256999</v>
      </c>
      <c r="C54" s="15">
        <v>3.80792654819076</v>
      </c>
      <c r="D54" s="24">
        <v>2.0794536963006802</v>
      </c>
      <c r="E54" s="15">
        <v>2.4223217660427001</v>
      </c>
      <c r="F54" s="15">
        <v>3.6784759330602599</v>
      </c>
      <c r="G54" s="26" t="s">
        <v>80</v>
      </c>
      <c r="H54" s="15">
        <v>3.3717192340931899</v>
      </c>
      <c r="I54" s="15">
        <v>4.0013890873895797</v>
      </c>
      <c r="J54" s="24">
        <v>2.85568753938312</v>
      </c>
      <c r="K54" s="20" t="s">
        <v>80</v>
      </c>
      <c r="L54" s="20" t="s">
        <v>80</v>
      </c>
      <c r="M54" s="26" t="s">
        <v>80</v>
      </c>
      <c r="N54" s="20" t="s">
        <v>80</v>
      </c>
      <c r="O54" s="20" t="s">
        <v>80</v>
      </c>
      <c r="P54" s="26" t="s">
        <v>80</v>
      </c>
    </row>
    <row r="55" spans="1:16">
      <c r="A55" s="9" t="s">
        <v>204</v>
      </c>
      <c r="B55" s="15">
        <v>1.3521840330252799</v>
      </c>
      <c r="C55" s="15">
        <v>1.6103130954943401</v>
      </c>
      <c r="D55" s="24">
        <v>1.13757451570095</v>
      </c>
      <c r="E55" s="15">
        <v>1.07547414362796</v>
      </c>
      <c r="F55" s="20" t="s">
        <v>80</v>
      </c>
      <c r="G55" s="26" t="s">
        <v>80</v>
      </c>
      <c r="H55" s="15">
        <v>1.6499378438063901</v>
      </c>
      <c r="I55" s="20" t="s">
        <v>80</v>
      </c>
      <c r="J55" s="26" t="s">
        <v>80</v>
      </c>
      <c r="K55" s="20" t="s">
        <v>80</v>
      </c>
      <c r="L55" s="20" t="s">
        <v>80</v>
      </c>
      <c r="M55" s="26" t="s">
        <v>80</v>
      </c>
      <c r="N55" s="20" t="s">
        <v>80</v>
      </c>
      <c r="O55" s="20" t="s">
        <v>80</v>
      </c>
      <c r="P55" s="26" t="s">
        <v>80</v>
      </c>
    </row>
    <row r="56" spans="1:16">
      <c r="A56" s="9" t="s">
        <v>205</v>
      </c>
      <c r="B56" s="15">
        <v>1.2474898021474099</v>
      </c>
      <c r="C56" s="15">
        <v>1.33031418015613</v>
      </c>
      <c r="D56" s="24">
        <v>1.17862928866195</v>
      </c>
      <c r="E56" s="15">
        <v>1.26068613654825</v>
      </c>
      <c r="F56" s="20" t="s">
        <v>80</v>
      </c>
      <c r="G56" s="26" t="s">
        <v>80</v>
      </c>
      <c r="H56" s="15">
        <v>1.2112631662600499</v>
      </c>
      <c r="I56" s="20" t="s">
        <v>80</v>
      </c>
      <c r="J56" s="26" t="s">
        <v>80</v>
      </c>
      <c r="K56" s="20" t="s">
        <v>80</v>
      </c>
      <c r="L56" s="20" t="s">
        <v>80</v>
      </c>
      <c r="M56" s="26" t="s">
        <v>80</v>
      </c>
      <c r="N56" s="20" t="s">
        <v>80</v>
      </c>
      <c r="O56" s="20" t="s">
        <v>80</v>
      </c>
      <c r="P56" s="26" t="s">
        <v>80</v>
      </c>
    </row>
    <row r="57" spans="1:16">
      <c r="A57" s="9" t="s">
        <v>206</v>
      </c>
      <c r="B57" s="15">
        <v>1.85854492095695</v>
      </c>
      <c r="C57" s="15">
        <v>2.1891303484388098</v>
      </c>
      <c r="D57" s="24">
        <v>1.58369489691193</v>
      </c>
      <c r="E57" s="15">
        <v>1.4712241645419399</v>
      </c>
      <c r="F57" s="20" t="s">
        <v>80</v>
      </c>
      <c r="G57" s="26" t="s">
        <v>80</v>
      </c>
      <c r="H57" s="15">
        <v>2.2798205126032101</v>
      </c>
      <c r="I57" s="15">
        <v>2.8231279166034899</v>
      </c>
      <c r="J57" s="24">
        <v>1.8345652110081601</v>
      </c>
      <c r="K57" s="20" t="s">
        <v>80</v>
      </c>
      <c r="L57" s="20" t="s">
        <v>80</v>
      </c>
      <c r="M57" s="26" t="s">
        <v>80</v>
      </c>
      <c r="N57" s="20" t="s">
        <v>80</v>
      </c>
      <c r="O57" s="20" t="s">
        <v>80</v>
      </c>
      <c r="P57" s="26" t="s">
        <v>80</v>
      </c>
    </row>
    <row r="58" spans="1:16">
      <c r="A58" s="9" t="s">
        <v>207</v>
      </c>
      <c r="B58" s="15">
        <v>3.18397842701029</v>
      </c>
      <c r="C58" s="15">
        <v>2.4224362099391699</v>
      </c>
      <c r="D58" s="24">
        <v>3.8171276201482098</v>
      </c>
      <c r="E58" s="15">
        <v>3.8548975252488198</v>
      </c>
      <c r="F58" s="15">
        <v>2.8441796730405899</v>
      </c>
      <c r="G58" s="24">
        <v>4.7141914481858498</v>
      </c>
      <c r="H58" s="15">
        <v>2.3526585160283502</v>
      </c>
      <c r="I58" s="20" t="s">
        <v>80</v>
      </c>
      <c r="J58" s="24">
        <v>2.6285269418812498</v>
      </c>
      <c r="K58" s="20" t="s">
        <v>80</v>
      </c>
      <c r="L58" s="20" t="s">
        <v>80</v>
      </c>
      <c r="M58" s="26" t="s">
        <v>80</v>
      </c>
      <c r="N58" s="20" t="s">
        <v>80</v>
      </c>
      <c r="O58" s="20" t="s">
        <v>80</v>
      </c>
      <c r="P58" s="26" t="s">
        <v>80</v>
      </c>
    </row>
    <row r="59" spans="1:16">
      <c r="A59" s="9" t="s">
        <v>208</v>
      </c>
      <c r="B59" s="20" t="s">
        <v>80</v>
      </c>
      <c r="C59" s="20" t="s">
        <v>80</v>
      </c>
      <c r="D59" s="26" t="s">
        <v>80</v>
      </c>
      <c r="E59" s="20" t="s">
        <v>80</v>
      </c>
      <c r="F59" s="20" t="s">
        <v>80</v>
      </c>
      <c r="G59" s="26" t="s">
        <v>80</v>
      </c>
      <c r="H59" s="20" t="s">
        <v>80</v>
      </c>
      <c r="I59" s="20" t="s">
        <v>80</v>
      </c>
      <c r="J59" s="26" t="s">
        <v>80</v>
      </c>
      <c r="K59" s="20" t="s">
        <v>80</v>
      </c>
      <c r="L59" s="20" t="s">
        <v>80</v>
      </c>
      <c r="M59" s="26" t="s">
        <v>80</v>
      </c>
      <c r="N59" s="20" t="s">
        <v>80</v>
      </c>
      <c r="O59" s="20" t="s">
        <v>80</v>
      </c>
      <c r="P59" s="26" t="s">
        <v>80</v>
      </c>
    </row>
    <row r="60" spans="1:16">
      <c r="A60" s="9" t="s">
        <v>209</v>
      </c>
      <c r="B60" s="20" t="s">
        <v>80</v>
      </c>
      <c r="C60" s="20" t="s">
        <v>80</v>
      </c>
      <c r="D60" s="26" t="s">
        <v>80</v>
      </c>
      <c r="E60" s="20" t="s">
        <v>80</v>
      </c>
      <c r="F60" s="20" t="s">
        <v>80</v>
      </c>
      <c r="G60" s="26" t="s">
        <v>80</v>
      </c>
      <c r="H60" s="20" t="s">
        <v>80</v>
      </c>
      <c r="I60" s="20" t="s">
        <v>80</v>
      </c>
      <c r="J60" s="26" t="s">
        <v>80</v>
      </c>
      <c r="K60" s="20" t="s">
        <v>80</v>
      </c>
      <c r="L60" s="20" t="s">
        <v>80</v>
      </c>
      <c r="M60" s="26" t="s">
        <v>80</v>
      </c>
      <c r="N60" s="20" t="s">
        <v>80</v>
      </c>
      <c r="O60" s="20" t="s">
        <v>80</v>
      </c>
      <c r="P60" s="26" t="s">
        <v>80</v>
      </c>
    </row>
    <row r="61" spans="1:16">
      <c r="A61" s="9" t="s">
        <v>210</v>
      </c>
      <c r="B61" s="20" t="s">
        <v>80</v>
      </c>
      <c r="C61" s="20" t="s">
        <v>80</v>
      </c>
      <c r="D61" s="26" t="s">
        <v>80</v>
      </c>
      <c r="E61" s="20" t="s">
        <v>80</v>
      </c>
      <c r="F61" s="20" t="s">
        <v>80</v>
      </c>
      <c r="G61" s="26" t="s">
        <v>80</v>
      </c>
      <c r="H61" s="20" t="s">
        <v>80</v>
      </c>
      <c r="I61" s="20" t="s">
        <v>80</v>
      </c>
      <c r="J61" s="26" t="s">
        <v>80</v>
      </c>
      <c r="K61" s="20" t="s">
        <v>80</v>
      </c>
      <c r="L61" s="20" t="s">
        <v>80</v>
      </c>
      <c r="M61" s="26" t="s">
        <v>80</v>
      </c>
      <c r="N61" s="20" t="s">
        <v>80</v>
      </c>
      <c r="O61" s="20" t="s">
        <v>80</v>
      </c>
      <c r="P61" s="26" t="s">
        <v>80</v>
      </c>
    </row>
    <row r="62" spans="1:16">
      <c r="A62" s="9" t="s">
        <v>211</v>
      </c>
      <c r="B62" s="15">
        <v>0.57288820818351405</v>
      </c>
      <c r="C62" s="20" t="s">
        <v>80</v>
      </c>
      <c r="D62" s="26" t="s">
        <v>80</v>
      </c>
      <c r="E62" s="20" t="s">
        <v>80</v>
      </c>
      <c r="F62" s="20" t="s">
        <v>80</v>
      </c>
      <c r="G62" s="26" t="s">
        <v>80</v>
      </c>
      <c r="H62" s="20" t="s">
        <v>80</v>
      </c>
      <c r="I62" s="20" t="s">
        <v>80</v>
      </c>
      <c r="J62" s="26" t="s">
        <v>80</v>
      </c>
      <c r="K62" s="20" t="s">
        <v>80</v>
      </c>
      <c r="L62" s="20" t="s">
        <v>80</v>
      </c>
      <c r="M62" s="26" t="s">
        <v>80</v>
      </c>
      <c r="N62" s="20" t="s">
        <v>80</v>
      </c>
      <c r="O62" s="20" t="s">
        <v>80</v>
      </c>
      <c r="P62" s="26" t="s">
        <v>80</v>
      </c>
    </row>
    <row r="63" spans="1:16">
      <c r="A63" s="9" t="s">
        <v>212</v>
      </c>
      <c r="B63" s="15">
        <v>1.9198864761638099</v>
      </c>
      <c r="C63" s="15">
        <v>2.29859554713468</v>
      </c>
      <c r="D63" s="24">
        <v>1.6050262657326699</v>
      </c>
      <c r="E63" s="15">
        <v>2.5846220351635401</v>
      </c>
      <c r="F63" s="15">
        <v>3.0527321320779199</v>
      </c>
      <c r="G63" s="24">
        <v>2.1866433503454599</v>
      </c>
      <c r="H63" s="15">
        <v>1.1369930524863201</v>
      </c>
      <c r="I63" s="20" t="s">
        <v>80</v>
      </c>
      <c r="J63" s="26" t="s">
        <v>80</v>
      </c>
      <c r="K63" s="20" t="s">
        <v>80</v>
      </c>
      <c r="L63" s="20" t="s">
        <v>80</v>
      </c>
      <c r="M63" s="26" t="s">
        <v>80</v>
      </c>
      <c r="N63" s="20" t="s">
        <v>80</v>
      </c>
      <c r="O63" s="20" t="s">
        <v>80</v>
      </c>
      <c r="P63" s="26" t="s">
        <v>80</v>
      </c>
    </row>
    <row r="64" spans="1:16">
      <c r="A64" s="11" t="s">
        <v>213</v>
      </c>
      <c r="B64" s="16">
        <v>3.65962900134434</v>
      </c>
      <c r="C64" s="16">
        <v>4.3515499656389203</v>
      </c>
      <c r="D64" s="25">
        <v>3.08436319146815</v>
      </c>
      <c r="E64" s="16">
        <v>3.9203872048964601</v>
      </c>
      <c r="F64" s="16">
        <v>4.3683119150733702</v>
      </c>
      <c r="G64" s="25">
        <v>3.5395697685096201</v>
      </c>
      <c r="H64" s="16">
        <v>3.2544080487636502</v>
      </c>
      <c r="I64" s="16">
        <v>4.2003823802254896</v>
      </c>
      <c r="J64" s="25">
        <v>2.4791561689714898</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71"/>
  <sheetViews>
    <sheetView zoomScale="55" workbookViewId="0"/>
  </sheetViews>
  <sheetFormatPr defaultColWidth="10.90625" defaultRowHeight="15"/>
  <cols>
    <col min="1" max="1" width="51.6796875" customWidth="1"/>
    <col min="2" max="35" width="13.6796875" customWidth="1"/>
  </cols>
  <sheetData>
    <row r="1" spans="1:36" ht="39.9" customHeight="1">
      <c r="A1" s="10" t="s">
        <v>220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45">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9" t="s">
        <v>152</v>
      </c>
      <c r="B3" s="36">
        <v>3.61725212941491</v>
      </c>
      <c r="C3" s="32">
        <v>3.5114270312970501</v>
      </c>
      <c r="D3" s="32">
        <v>3.7501178650607501</v>
      </c>
      <c r="E3" s="32">
        <v>4.2682640229053597</v>
      </c>
      <c r="F3" s="15">
        <v>6.5573770491803298</v>
      </c>
      <c r="G3" s="20" t="s">
        <v>80</v>
      </c>
      <c r="H3" s="20" t="s">
        <v>80</v>
      </c>
      <c r="I3" s="20" t="s">
        <v>80</v>
      </c>
      <c r="J3" s="20" t="s">
        <v>80</v>
      </c>
      <c r="K3" s="15">
        <v>13.8888888888889</v>
      </c>
      <c r="L3" s="20" t="s">
        <v>80</v>
      </c>
      <c r="M3" s="15">
        <v>8.6419753086419693</v>
      </c>
      <c r="N3" s="20" t="s">
        <v>80</v>
      </c>
      <c r="O3" s="20" t="s">
        <v>80</v>
      </c>
      <c r="P3" s="15">
        <v>8.5365853658536608</v>
      </c>
      <c r="Q3" s="15">
        <v>4.2944785276073603</v>
      </c>
      <c r="R3" s="20" t="s">
        <v>80</v>
      </c>
      <c r="S3" s="20" t="s">
        <v>80</v>
      </c>
      <c r="T3" s="20" t="s">
        <v>80</v>
      </c>
      <c r="U3" s="20" t="s">
        <v>80</v>
      </c>
      <c r="V3" s="20" t="s">
        <v>80</v>
      </c>
      <c r="W3" s="20" t="s">
        <v>80</v>
      </c>
      <c r="X3" s="15">
        <v>3.8043478260869601</v>
      </c>
      <c r="Y3" s="15">
        <v>7.0967741935483897</v>
      </c>
      <c r="Z3" s="15">
        <v>5.2631578947368398</v>
      </c>
      <c r="AA3" s="32">
        <v>3.3193291124311899</v>
      </c>
      <c r="AB3" s="15">
        <v>5.1612903225806503</v>
      </c>
      <c r="AC3" s="15">
        <v>2.5236593059936898</v>
      </c>
      <c r="AD3" s="20" t="s">
        <v>80</v>
      </c>
      <c r="AE3" s="15">
        <v>4.5307443365695796</v>
      </c>
      <c r="AF3" s="15">
        <v>3.0625832223701699</v>
      </c>
      <c r="AG3" s="15">
        <v>3.25732899022801</v>
      </c>
      <c r="AH3" s="15">
        <v>5.6939501779359398</v>
      </c>
      <c r="AI3" s="26" t="s">
        <v>80</v>
      </c>
      <c r="AJ3" s="38"/>
    </row>
    <row r="4" spans="1:36">
      <c r="A4" s="9" t="s">
        <v>153</v>
      </c>
      <c r="B4" s="36">
        <v>5.3549833712101096</v>
      </c>
      <c r="C4" s="32">
        <v>5.50407285022749</v>
      </c>
      <c r="D4" s="32">
        <v>5.7886280223857502</v>
      </c>
      <c r="E4" s="32">
        <v>5.5762760771847697</v>
      </c>
      <c r="F4" s="15">
        <v>10.655737704918</v>
      </c>
      <c r="G4" s="15">
        <v>11.864406779661</v>
      </c>
      <c r="H4" s="15">
        <v>7.2289156626505999</v>
      </c>
      <c r="I4" s="20" t="s">
        <v>80</v>
      </c>
      <c r="J4" s="20" t="s">
        <v>80</v>
      </c>
      <c r="K4" s="15">
        <v>22.2222222222222</v>
      </c>
      <c r="L4" s="15">
        <v>8.7378640776699008</v>
      </c>
      <c r="M4" s="15">
        <v>9.8765432098765409</v>
      </c>
      <c r="N4" s="20" t="s">
        <v>80</v>
      </c>
      <c r="O4" s="20" t="s">
        <v>80</v>
      </c>
      <c r="P4" s="15">
        <v>8.5365853658536608</v>
      </c>
      <c r="Q4" s="15">
        <v>5.5214723926380396</v>
      </c>
      <c r="R4" s="20" t="s">
        <v>80</v>
      </c>
      <c r="S4" s="20" t="s">
        <v>80</v>
      </c>
      <c r="T4" s="15">
        <v>11.1111111111111</v>
      </c>
      <c r="U4" s="20" t="s">
        <v>80</v>
      </c>
      <c r="V4" s="20" t="s">
        <v>80</v>
      </c>
      <c r="W4" s="20" t="s">
        <v>80</v>
      </c>
      <c r="X4" s="15">
        <v>4.8913043478260896</v>
      </c>
      <c r="Y4" s="15">
        <v>4.5161290322580596</v>
      </c>
      <c r="Z4" s="20" t="s">
        <v>80</v>
      </c>
      <c r="AA4" s="32">
        <v>5.9651782644489604</v>
      </c>
      <c r="AB4" s="15">
        <v>5.1612903225806503</v>
      </c>
      <c r="AC4" s="15">
        <v>11.0410094637224</v>
      </c>
      <c r="AD4" s="15">
        <v>2.1459227467811202</v>
      </c>
      <c r="AE4" s="15">
        <v>5.1779935275080904</v>
      </c>
      <c r="AF4" s="15">
        <v>9.1877496671105199</v>
      </c>
      <c r="AG4" s="15">
        <v>4.2345276872964197</v>
      </c>
      <c r="AH4" s="15">
        <v>9.6085409252668992</v>
      </c>
      <c r="AI4" s="26" t="s">
        <v>80</v>
      </c>
      <c r="AJ4" s="38"/>
    </row>
    <row r="5" spans="1:36">
      <c r="A5" s="9" t="s">
        <v>154</v>
      </c>
      <c r="B5" s="36">
        <v>2.8921024083957101</v>
      </c>
      <c r="C5" s="32">
        <v>2.9566415699313202</v>
      </c>
      <c r="D5" s="32">
        <v>3.6471825782201499</v>
      </c>
      <c r="E5" s="32">
        <v>2.0501449294963501</v>
      </c>
      <c r="F5" s="20" t="s">
        <v>80</v>
      </c>
      <c r="G5" s="20" t="s">
        <v>80</v>
      </c>
      <c r="H5" s="20" t="s">
        <v>80</v>
      </c>
      <c r="I5" s="20" t="s">
        <v>80</v>
      </c>
      <c r="J5" s="20" t="s">
        <v>80</v>
      </c>
      <c r="K5" s="20" t="s">
        <v>80</v>
      </c>
      <c r="L5" s="20" t="s">
        <v>80</v>
      </c>
      <c r="M5" s="20" t="s">
        <v>80</v>
      </c>
      <c r="N5" s="20" t="s">
        <v>80</v>
      </c>
      <c r="O5" s="20" t="s">
        <v>80</v>
      </c>
      <c r="P5" s="20" t="s">
        <v>80</v>
      </c>
      <c r="Q5" s="20" t="s">
        <v>80</v>
      </c>
      <c r="R5" s="20" t="s">
        <v>80</v>
      </c>
      <c r="S5" s="20" t="s">
        <v>80</v>
      </c>
      <c r="T5" s="20" t="s">
        <v>80</v>
      </c>
      <c r="U5" s="15">
        <v>4.9180327868852496</v>
      </c>
      <c r="V5" s="20" t="s">
        <v>80</v>
      </c>
      <c r="W5" s="20" t="s">
        <v>80</v>
      </c>
      <c r="X5" s="15">
        <v>4.3478260869565197</v>
      </c>
      <c r="Y5" s="15">
        <v>3.2258064516128999</v>
      </c>
      <c r="Z5" s="20" t="s">
        <v>80</v>
      </c>
      <c r="AA5" s="32">
        <v>4.9749659578327199</v>
      </c>
      <c r="AB5" s="15">
        <v>5.1612903225806503</v>
      </c>
      <c r="AC5" s="15">
        <v>6.9400630914826502</v>
      </c>
      <c r="AD5" s="15">
        <v>6.8669527896995701</v>
      </c>
      <c r="AE5" s="15">
        <v>3.2362459546925599</v>
      </c>
      <c r="AF5" s="15">
        <v>6.9241011984021297</v>
      </c>
      <c r="AG5" s="15">
        <v>1.6286644951140099</v>
      </c>
      <c r="AH5" s="15">
        <v>4.9822064056939501</v>
      </c>
      <c r="AI5" s="26" t="s">
        <v>80</v>
      </c>
      <c r="AJ5" s="38"/>
    </row>
    <row r="6" spans="1:36">
      <c r="A6" s="9" t="s">
        <v>155</v>
      </c>
      <c r="B6" s="36">
        <v>5.9788342681915596</v>
      </c>
      <c r="C6" s="32">
        <v>5.5308032535410003</v>
      </c>
      <c r="D6" s="32">
        <v>6.3122414686103498</v>
      </c>
      <c r="E6" s="32">
        <v>7.3635051071547801</v>
      </c>
      <c r="F6" s="15">
        <v>9.0163934426229506</v>
      </c>
      <c r="G6" s="15">
        <v>10.1694915254237</v>
      </c>
      <c r="H6" s="15">
        <v>6.0240963855421699</v>
      </c>
      <c r="I6" s="20" t="s">
        <v>80</v>
      </c>
      <c r="J6" s="20" t="s">
        <v>80</v>
      </c>
      <c r="K6" s="20" t="s">
        <v>80</v>
      </c>
      <c r="L6" s="15">
        <v>14.5631067961165</v>
      </c>
      <c r="M6" s="15">
        <v>7.4074074074074101</v>
      </c>
      <c r="N6" s="15">
        <v>8.4745762711864394</v>
      </c>
      <c r="O6" s="20" t="s">
        <v>80</v>
      </c>
      <c r="P6" s="15">
        <v>12.1951219512195</v>
      </c>
      <c r="Q6" s="15">
        <v>4.2944785276073603</v>
      </c>
      <c r="R6" s="15">
        <v>10.2272727272727</v>
      </c>
      <c r="S6" s="15">
        <v>9.4594594594594597</v>
      </c>
      <c r="T6" s="15">
        <v>9.7222222222222197</v>
      </c>
      <c r="U6" s="15">
        <v>4.0983606557377001</v>
      </c>
      <c r="V6" s="20" t="s">
        <v>80</v>
      </c>
      <c r="W6" s="15">
        <v>6.8181818181818201</v>
      </c>
      <c r="X6" s="15">
        <v>6.5217391304347796</v>
      </c>
      <c r="Y6" s="15">
        <v>6.4516129032258096</v>
      </c>
      <c r="Z6" s="15">
        <v>6.1403508771929802</v>
      </c>
      <c r="AA6" s="32">
        <v>5.4382167466723601</v>
      </c>
      <c r="AB6" s="15">
        <v>5.8064516129032304</v>
      </c>
      <c r="AC6" s="15">
        <v>6.6246056782334399</v>
      </c>
      <c r="AD6" s="15">
        <v>6.0085836909871198</v>
      </c>
      <c r="AE6" s="15">
        <v>8.4142394822006494</v>
      </c>
      <c r="AF6" s="15">
        <v>5.5925432756324902</v>
      </c>
      <c r="AG6" s="15">
        <v>5.5374592833876202</v>
      </c>
      <c r="AH6" s="15">
        <v>7.1174377224199299</v>
      </c>
      <c r="AI6" s="26" t="s">
        <v>80</v>
      </c>
      <c r="AJ6" s="38"/>
    </row>
    <row r="7" spans="1:36">
      <c r="A7" s="9" t="s">
        <v>156</v>
      </c>
      <c r="B7" s="36">
        <v>2.2232601326097501</v>
      </c>
      <c r="C7" s="32">
        <v>2.0591160249773601</v>
      </c>
      <c r="D7" s="32">
        <v>2.2679620764551598</v>
      </c>
      <c r="E7" s="32">
        <v>3.2640338848297001</v>
      </c>
      <c r="F7" s="20" t="s">
        <v>80</v>
      </c>
      <c r="G7" s="20" t="s">
        <v>80</v>
      </c>
      <c r="H7" s="20" t="s">
        <v>80</v>
      </c>
      <c r="I7" s="20" t="s">
        <v>80</v>
      </c>
      <c r="J7" s="20" t="s">
        <v>80</v>
      </c>
      <c r="K7" s="20" t="s">
        <v>80</v>
      </c>
      <c r="L7" s="20" t="s">
        <v>80</v>
      </c>
      <c r="M7" s="20" t="s">
        <v>80</v>
      </c>
      <c r="N7" s="20" t="s">
        <v>80</v>
      </c>
      <c r="O7" s="20" t="s">
        <v>80</v>
      </c>
      <c r="P7" s="20" t="s">
        <v>80</v>
      </c>
      <c r="Q7" s="20" t="s">
        <v>80</v>
      </c>
      <c r="R7" s="20" t="s">
        <v>80</v>
      </c>
      <c r="S7" s="20" t="s">
        <v>80</v>
      </c>
      <c r="T7" s="15">
        <v>6.9444444444444402</v>
      </c>
      <c r="U7" s="20" t="s">
        <v>80</v>
      </c>
      <c r="V7" s="20" t="s">
        <v>80</v>
      </c>
      <c r="W7" s="20" t="s">
        <v>80</v>
      </c>
      <c r="X7" s="15">
        <v>3.2608695652173898</v>
      </c>
      <c r="Y7" s="20" t="s">
        <v>80</v>
      </c>
      <c r="Z7" s="20" t="s">
        <v>80</v>
      </c>
      <c r="AA7" s="32">
        <v>1.4398240590970799</v>
      </c>
      <c r="AB7" s="15">
        <v>3.2258064516128999</v>
      </c>
      <c r="AC7" s="15">
        <v>1.8927444794952699</v>
      </c>
      <c r="AD7" s="15">
        <v>3.0042918454935599</v>
      </c>
      <c r="AE7" s="20" t="s">
        <v>80</v>
      </c>
      <c r="AF7" s="15">
        <v>1.06524633821571</v>
      </c>
      <c r="AG7" s="20" t="s">
        <v>80</v>
      </c>
      <c r="AH7" s="15">
        <v>2.4911032028469799</v>
      </c>
      <c r="AI7" s="26" t="s">
        <v>80</v>
      </c>
      <c r="AJ7" s="38"/>
    </row>
    <row r="8" spans="1:36">
      <c r="A8" s="9" t="s">
        <v>157</v>
      </c>
      <c r="B8" s="36">
        <v>0.28190070093734898</v>
      </c>
      <c r="C8" s="32">
        <v>0.28733195551896001</v>
      </c>
      <c r="D8" s="34" t="s">
        <v>80</v>
      </c>
      <c r="E8" s="34" t="s">
        <v>80</v>
      </c>
      <c r="F8" s="20" t="s">
        <v>80</v>
      </c>
      <c r="G8" s="20" t="s">
        <v>80</v>
      </c>
      <c r="H8" s="20" t="s">
        <v>80</v>
      </c>
      <c r="I8" s="20" t="s">
        <v>80</v>
      </c>
      <c r="J8" s="20" t="s">
        <v>80</v>
      </c>
      <c r="K8" s="20" t="s">
        <v>80</v>
      </c>
      <c r="L8" s="20" t="s">
        <v>80</v>
      </c>
      <c r="M8" s="20" t="s">
        <v>80</v>
      </c>
      <c r="N8" s="20" t="s">
        <v>80</v>
      </c>
      <c r="O8" s="20" t="s">
        <v>80</v>
      </c>
      <c r="P8" s="20" t="s">
        <v>80</v>
      </c>
      <c r="Q8" s="20" t="s">
        <v>80</v>
      </c>
      <c r="R8" s="20" t="s">
        <v>80</v>
      </c>
      <c r="S8" s="20" t="s">
        <v>80</v>
      </c>
      <c r="T8" s="20" t="s">
        <v>80</v>
      </c>
      <c r="U8" s="20" t="s">
        <v>80</v>
      </c>
      <c r="V8" s="20" t="s">
        <v>80</v>
      </c>
      <c r="W8" s="20" t="s">
        <v>80</v>
      </c>
      <c r="X8" s="20" t="s">
        <v>80</v>
      </c>
      <c r="Y8" s="20" t="s">
        <v>80</v>
      </c>
      <c r="Z8" s="20" t="s">
        <v>80</v>
      </c>
      <c r="AA8" s="34" t="s">
        <v>80</v>
      </c>
      <c r="AB8" s="20" t="s">
        <v>80</v>
      </c>
      <c r="AC8" s="20" t="s">
        <v>80</v>
      </c>
      <c r="AD8" s="20" t="s">
        <v>80</v>
      </c>
      <c r="AE8" s="20" t="s">
        <v>80</v>
      </c>
      <c r="AF8" s="20" t="s">
        <v>80</v>
      </c>
      <c r="AG8" s="20" t="s">
        <v>80</v>
      </c>
      <c r="AH8" s="20" t="s">
        <v>80</v>
      </c>
      <c r="AI8" s="26" t="s">
        <v>80</v>
      </c>
      <c r="AJ8" s="38"/>
    </row>
    <row r="9" spans="1:36">
      <c r="A9" s="9" t="s">
        <v>158</v>
      </c>
      <c r="B9" s="36">
        <v>1.4944667296380301</v>
      </c>
      <c r="C9" s="32">
        <v>1.4404051904155299</v>
      </c>
      <c r="D9" s="32">
        <v>1.0311409995585901</v>
      </c>
      <c r="E9" s="32">
        <v>1.3486971228837199</v>
      </c>
      <c r="F9" s="20" t="s">
        <v>80</v>
      </c>
      <c r="G9" s="20" t="s">
        <v>80</v>
      </c>
      <c r="H9" s="20" t="s">
        <v>80</v>
      </c>
      <c r="I9" s="20" t="s">
        <v>80</v>
      </c>
      <c r="J9" s="20" t="s">
        <v>80</v>
      </c>
      <c r="K9" s="20" t="s">
        <v>80</v>
      </c>
      <c r="L9" s="20" t="s">
        <v>80</v>
      </c>
      <c r="M9" s="20" t="s">
        <v>80</v>
      </c>
      <c r="N9" s="20" t="s">
        <v>80</v>
      </c>
      <c r="O9" s="20" t="s">
        <v>80</v>
      </c>
      <c r="P9" s="20" t="s">
        <v>80</v>
      </c>
      <c r="Q9" s="20" t="s">
        <v>80</v>
      </c>
      <c r="R9" s="20" t="s">
        <v>80</v>
      </c>
      <c r="S9" s="20" t="s">
        <v>80</v>
      </c>
      <c r="T9" s="20" t="s">
        <v>80</v>
      </c>
      <c r="U9" s="20" t="s">
        <v>80</v>
      </c>
      <c r="V9" s="20" t="s">
        <v>80</v>
      </c>
      <c r="W9" s="20" t="s">
        <v>80</v>
      </c>
      <c r="X9" s="15">
        <v>2.7173913043478302</v>
      </c>
      <c r="Y9" s="20" t="s">
        <v>80</v>
      </c>
      <c r="Z9" s="20" t="s">
        <v>80</v>
      </c>
      <c r="AA9" s="34" t="s">
        <v>80</v>
      </c>
      <c r="AB9" s="20" t="s">
        <v>80</v>
      </c>
      <c r="AC9" s="20" t="s">
        <v>80</v>
      </c>
      <c r="AD9" s="20" t="s">
        <v>80</v>
      </c>
      <c r="AE9" s="20" t="s">
        <v>80</v>
      </c>
      <c r="AF9" s="15">
        <v>0.93209054593874796</v>
      </c>
      <c r="AG9" s="20" t="s">
        <v>80</v>
      </c>
      <c r="AH9" s="20" t="s">
        <v>80</v>
      </c>
      <c r="AI9" s="26" t="s">
        <v>80</v>
      </c>
      <c r="AJ9" s="38"/>
    </row>
    <row r="10" spans="1:36">
      <c r="A10" s="9" t="s">
        <v>159</v>
      </c>
      <c r="B10" s="36">
        <v>7.50207043428553</v>
      </c>
      <c r="C10" s="32">
        <v>8.0894842376893408</v>
      </c>
      <c r="D10" s="32">
        <v>8.0320908135966693</v>
      </c>
      <c r="E10" s="32">
        <v>6.9130819989273498</v>
      </c>
      <c r="F10" s="15">
        <v>4.9180327868852496</v>
      </c>
      <c r="G10" s="20" t="s">
        <v>80</v>
      </c>
      <c r="H10" s="15">
        <v>12.048192771084301</v>
      </c>
      <c r="I10" s="15">
        <v>6.6666666666666696</v>
      </c>
      <c r="J10" s="20" t="s">
        <v>80</v>
      </c>
      <c r="K10" s="20" t="s">
        <v>80</v>
      </c>
      <c r="L10" s="15">
        <v>7.7669902912621396</v>
      </c>
      <c r="M10" s="15">
        <v>6.1728395061728403</v>
      </c>
      <c r="N10" s="20" t="s">
        <v>80</v>
      </c>
      <c r="O10" s="20" t="s">
        <v>80</v>
      </c>
      <c r="P10" s="20" t="s">
        <v>80</v>
      </c>
      <c r="Q10" s="15">
        <v>3.0674846625766898</v>
      </c>
      <c r="R10" s="15">
        <v>7.9545454545454497</v>
      </c>
      <c r="S10" s="20" t="s">
        <v>80</v>
      </c>
      <c r="T10" s="15">
        <v>12.5</v>
      </c>
      <c r="U10" s="15">
        <v>13.1147540983607</v>
      </c>
      <c r="V10" s="20" t="s">
        <v>80</v>
      </c>
      <c r="W10" s="20" t="s">
        <v>80</v>
      </c>
      <c r="X10" s="15">
        <v>3.2608695652173898</v>
      </c>
      <c r="Y10" s="15">
        <v>7.0967741935483897</v>
      </c>
      <c r="Z10" s="15">
        <v>9.6491228070175392</v>
      </c>
      <c r="AA10" s="32">
        <v>8.9624391412927693</v>
      </c>
      <c r="AB10" s="15">
        <v>8.3870967741935498</v>
      </c>
      <c r="AC10" s="15">
        <v>4.1009463722397497</v>
      </c>
      <c r="AD10" s="15">
        <v>7.7253218884120196</v>
      </c>
      <c r="AE10" s="15">
        <v>10.6796116504854</v>
      </c>
      <c r="AF10" s="15">
        <v>7.3235685752330202</v>
      </c>
      <c r="AG10" s="15">
        <v>12.703583061889301</v>
      </c>
      <c r="AH10" s="15">
        <v>7.4733096085409203</v>
      </c>
      <c r="AI10" s="26" t="s">
        <v>80</v>
      </c>
      <c r="AJ10" s="38"/>
    </row>
    <row r="11" spans="1:36">
      <c r="A11" s="9" t="s">
        <v>160</v>
      </c>
      <c r="B11" s="36">
        <v>2.9373691278334202</v>
      </c>
      <c r="C11" s="32">
        <v>2.8320650708589201</v>
      </c>
      <c r="D11" s="32">
        <v>2.0375661219066301</v>
      </c>
      <c r="E11" s="32">
        <v>2.3080476496922002</v>
      </c>
      <c r="F11" s="20" t="s">
        <v>80</v>
      </c>
      <c r="G11" s="20" t="s">
        <v>80</v>
      </c>
      <c r="H11" s="20" t="s">
        <v>80</v>
      </c>
      <c r="I11" s="20" t="s">
        <v>80</v>
      </c>
      <c r="J11" s="20" t="s">
        <v>80</v>
      </c>
      <c r="K11" s="15">
        <v>16.6666666666667</v>
      </c>
      <c r="L11" s="20" t="s">
        <v>80</v>
      </c>
      <c r="M11" s="20" t="s">
        <v>80</v>
      </c>
      <c r="N11" s="20" t="s">
        <v>80</v>
      </c>
      <c r="O11" s="15">
        <v>8.7719298245614006</v>
      </c>
      <c r="P11" s="20" t="s">
        <v>80</v>
      </c>
      <c r="Q11" s="20" t="s">
        <v>80</v>
      </c>
      <c r="R11" s="20" t="s">
        <v>80</v>
      </c>
      <c r="S11" s="20" t="s">
        <v>80</v>
      </c>
      <c r="T11" s="20" t="s">
        <v>80</v>
      </c>
      <c r="U11" s="20" t="s">
        <v>80</v>
      </c>
      <c r="V11" s="20" t="s">
        <v>80</v>
      </c>
      <c r="W11" s="20" t="s">
        <v>80</v>
      </c>
      <c r="X11" s="15">
        <v>2.7173913043478302</v>
      </c>
      <c r="Y11" s="15">
        <v>3.87096774193548</v>
      </c>
      <c r="Z11" s="20" t="s">
        <v>80</v>
      </c>
      <c r="AA11" s="32">
        <v>1.81268671635669</v>
      </c>
      <c r="AB11" s="15">
        <v>3.87096774193548</v>
      </c>
      <c r="AC11" s="15">
        <v>1.8927444794952699</v>
      </c>
      <c r="AD11" s="20" t="s">
        <v>80</v>
      </c>
      <c r="AE11" s="20" t="s">
        <v>80</v>
      </c>
      <c r="AF11" s="15">
        <v>2.79627163781625</v>
      </c>
      <c r="AG11" s="20" t="s">
        <v>80</v>
      </c>
      <c r="AH11" s="15">
        <v>3.9145907473309598</v>
      </c>
      <c r="AI11" s="26" t="s">
        <v>80</v>
      </c>
      <c r="AJ11" s="38"/>
    </row>
    <row r="12" spans="1:36">
      <c r="A12" s="9" t="s">
        <v>161</v>
      </c>
      <c r="B12" s="36">
        <v>1.08491258147811</v>
      </c>
      <c r="C12" s="32">
        <v>0.82726310238612799</v>
      </c>
      <c r="D12" s="32">
        <v>1.0166689691409201</v>
      </c>
      <c r="E12" s="32">
        <v>1.1833631049565401</v>
      </c>
      <c r="F12" s="20" t="s">
        <v>80</v>
      </c>
      <c r="G12" s="20" t="s">
        <v>80</v>
      </c>
      <c r="H12" s="20" t="s">
        <v>80</v>
      </c>
      <c r="I12" s="20" t="s">
        <v>80</v>
      </c>
      <c r="J12" s="20" t="s">
        <v>80</v>
      </c>
      <c r="K12" s="20" t="s">
        <v>80</v>
      </c>
      <c r="L12" s="20" t="s">
        <v>80</v>
      </c>
      <c r="M12" s="20" t="s">
        <v>80</v>
      </c>
      <c r="N12" s="20" t="s">
        <v>80</v>
      </c>
      <c r="O12" s="20" t="s">
        <v>80</v>
      </c>
      <c r="P12" s="20" t="s">
        <v>80</v>
      </c>
      <c r="Q12" s="20" t="s">
        <v>80</v>
      </c>
      <c r="R12" s="20" t="s">
        <v>80</v>
      </c>
      <c r="S12" s="20" t="s">
        <v>80</v>
      </c>
      <c r="T12" s="20" t="s">
        <v>80</v>
      </c>
      <c r="U12" s="20" t="s">
        <v>80</v>
      </c>
      <c r="V12" s="20" t="s">
        <v>80</v>
      </c>
      <c r="W12" s="20" t="s">
        <v>80</v>
      </c>
      <c r="X12" s="20" t="s">
        <v>80</v>
      </c>
      <c r="Y12" s="20" t="s">
        <v>80</v>
      </c>
      <c r="Z12" s="20" t="s">
        <v>80</v>
      </c>
      <c r="AA12" s="34" t="s">
        <v>80</v>
      </c>
      <c r="AB12" s="20" t="s">
        <v>80</v>
      </c>
      <c r="AC12" s="20" t="s">
        <v>80</v>
      </c>
      <c r="AD12" s="20" t="s">
        <v>80</v>
      </c>
      <c r="AE12" s="20" t="s">
        <v>80</v>
      </c>
      <c r="AF12" s="15">
        <v>1.3315579227696399</v>
      </c>
      <c r="AG12" s="20" t="s">
        <v>80</v>
      </c>
      <c r="AH12" s="20" t="s">
        <v>80</v>
      </c>
      <c r="AI12" s="26" t="s">
        <v>80</v>
      </c>
      <c r="AJ12" s="38"/>
    </row>
    <row r="13" spans="1:36">
      <c r="A13" s="9" t="s">
        <v>162</v>
      </c>
      <c r="B13" s="36">
        <v>2.0714048944577201</v>
      </c>
      <c r="C13" s="32">
        <v>1.7191208420978801</v>
      </c>
      <c r="D13" s="32">
        <v>1.62518794025055</v>
      </c>
      <c r="E13" s="32">
        <v>1.9739877023613299</v>
      </c>
      <c r="F13" s="20" t="s">
        <v>80</v>
      </c>
      <c r="G13" s="20" t="s">
        <v>80</v>
      </c>
      <c r="H13" s="20" t="s">
        <v>80</v>
      </c>
      <c r="I13" s="20" t="s">
        <v>80</v>
      </c>
      <c r="J13" s="20" t="s">
        <v>80</v>
      </c>
      <c r="K13" s="20" t="s">
        <v>80</v>
      </c>
      <c r="L13" s="20" t="s">
        <v>80</v>
      </c>
      <c r="M13" s="20" t="s">
        <v>80</v>
      </c>
      <c r="N13" s="20" t="s">
        <v>80</v>
      </c>
      <c r="O13" s="20" t="s">
        <v>80</v>
      </c>
      <c r="P13" s="20" t="s">
        <v>80</v>
      </c>
      <c r="Q13" s="20" t="s">
        <v>80</v>
      </c>
      <c r="R13" s="20" t="s">
        <v>80</v>
      </c>
      <c r="S13" s="20" t="s">
        <v>80</v>
      </c>
      <c r="T13" s="20" t="s">
        <v>80</v>
      </c>
      <c r="U13" s="20" t="s">
        <v>80</v>
      </c>
      <c r="V13" s="20" t="s">
        <v>80</v>
      </c>
      <c r="W13" s="20" t="s">
        <v>80</v>
      </c>
      <c r="X13" s="20" t="s">
        <v>80</v>
      </c>
      <c r="Y13" s="15">
        <v>4.5161290322580596</v>
      </c>
      <c r="Z13" s="20" t="s">
        <v>80</v>
      </c>
      <c r="AA13" s="32">
        <v>1.33519444678871</v>
      </c>
      <c r="AB13" s="20" t="s">
        <v>80</v>
      </c>
      <c r="AC13" s="15">
        <v>1.8927444794952699</v>
      </c>
      <c r="AD13" s="20" t="s">
        <v>80</v>
      </c>
      <c r="AE13" s="20" t="s">
        <v>80</v>
      </c>
      <c r="AF13" s="15">
        <v>1.9973368841544601</v>
      </c>
      <c r="AG13" s="20" t="s">
        <v>80</v>
      </c>
      <c r="AH13" s="20" t="s">
        <v>80</v>
      </c>
      <c r="AI13" s="26" t="s">
        <v>80</v>
      </c>
      <c r="AJ13" s="38"/>
    </row>
    <row r="14" spans="1:36">
      <c r="A14" s="9" t="s">
        <v>163</v>
      </c>
      <c r="B14" s="36">
        <v>4.3841922039719003</v>
      </c>
      <c r="C14" s="32">
        <v>4.5386710990181802</v>
      </c>
      <c r="D14" s="32">
        <v>4.51320248941866</v>
      </c>
      <c r="E14" s="32">
        <v>5.1697959637514304</v>
      </c>
      <c r="F14" s="20" t="s">
        <v>80</v>
      </c>
      <c r="G14" s="15">
        <v>10.1694915254237</v>
      </c>
      <c r="H14" s="15">
        <v>7.2289156626505999</v>
      </c>
      <c r="I14" s="20" t="s">
        <v>80</v>
      </c>
      <c r="J14" s="20" t="s">
        <v>80</v>
      </c>
      <c r="K14" s="20" t="s">
        <v>80</v>
      </c>
      <c r="L14" s="15">
        <v>6.7961165048543704</v>
      </c>
      <c r="M14" s="15">
        <v>7.4074074074074101</v>
      </c>
      <c r="N14" s="15">
        <v>8.4745762711864394</v>
      </c>
      <c r="O14" s="15">
        <v>8.7719298245614006</v>
      </c>
      <c r="P14" s="15">
        <v>8.5365853658536608</v>
      </c>
      <c r="Q14" s="15">
        <v>5.5214723926380396</v>
      </c>
      <c r="R14" s="20" t="s">
        <v>80</v>
      </c>
      <c r="S14" s="20" t="s">
        <v>80</v>
      </c>
      <c r="T14" s="15">
        <v>8.3333333333333304</v>
      </c>
      <c r="U14" s="20" t="s">
        <v>80</v>
      </c>
      <c r="V14" s="20" t="s">
        <v>80</v>
      </c>
      <c r="W14" s="20" t="s">
        <v>80</v>
      </c>
      <c r="X14" s="15">
        <v>7.0652173913043503</v>
      </c>
      <c r="Y14" s="15">
        <v>11.6129032258065</v>
      </c>
      <c r="Z14" s="20" t="s">
        <v>80</v>
      </c>
      <c r="AA14" s="32">
        <v>3.96730809358034</v>
      </c>
      <c r="AB14" s="15">
        <v>4.5161290322580596</v>
      </c>
      <c r="AC14" s="15">
        <v>6.6246056782334399</v>
      </c>
      <c r="AD14" s="15">
        <v>2.57510729613734</v>
      </c>
      <c r="AE14" s="15">
        <v>4.5307443365695796</v>
      </c>
      <c r="AF14" s="15">
        <v>5.05992010652463</v>
      </c>
      <c r="AG14" s="15">
        <v>2.9315960912052099</v>
      </c>
      <c r="AH14" s="15">
        <v>5.6939501779359398</v>
      </c>
      <c r="AI14" s="26" t="s">
        <v>80</v>
      </c>
      <c r="AJ14" s="38"/>
    </row>
    <row r="15" spans="1:36">
      <c r="A15" s="9" t="s">
        <v>164</v>
      </c>
      <c r="B15" s="36">
        <v>6.1267677042598097</v>
      </c>
      <c r="C15" s="32">
        <v>8.2963470880712897</v>
      </c>
      <c r="D15" s="32">
        <v>6.7879460327347099</v>
      </c>
      <c r="E15" s="32">
        <v>8.4487867726445103</v>
      </c>
      <c r="F15" s="15">
        <v>10.655737704918</v>
      </c>
      <c r="G15" s="15">
        <v>11.864406779661</v>
      </c>
      <c r="H15" s="20" t="s">
        <v>80</v>
      </c>
      <c r="I15" s="15">
        <v>16.6666666666667</v>
      </c>
      <c r="J15" s="15">
        <v>10.714285714285699</v>
      </c>
      <c r="K15" s="15">
        <v>13.8888888888889</v>
      </c>
      <c r="L15" s="15">
        <v>10.6796116504854</v>
      </c>
      <c r="M15" s="15">
        <v>23.456790123456798</v>
      </c>
      <c r="N15" s="15">
        <v>8.4745762711864394</v>
      </c>
      <c r="O15" s="20" t="s">
        <v>80</v>
      </c>
      <c r="P15" s="15">
        <v>18.292682926829301</v>
      </c>
      <c r="Q15" s="15">
        <v>10.429447852760701</v>
      </c>
      <c r="R15" s="15">
        <v>5.6818181818181799</v>
      </c>
      <c r="S15" s="20" t="s">
        <v>80</v>
      </c>
      <c r="T15" s="20" t="s">
        <v>80</v>
      </c>
      <c r="U15" s="20" t="s">
        <v>80</v>
      </c>
      <c r="V15" s="15">
        <v>29.729729729729701</v>
      </c>
      <c r="W15" s="15">
        <v>13.636363636363599</v>
      </c>
      <c r="X15" s="15">
        <v>8.6956521739130395</v>
      </c>
      <c r="Y15" s="15">
        <v>14.193548387096801</v>
      </c>
      <c r="Z15" s="15">
        <v>7.8947368421052602</v>
      </c>
      <c r="AA15" s="32">
        <v>5.4071165122798304</v>
      </c>
      <c r="AB15" s="15">
        <v>4.5161290322580596</v>
      </c>
      <c r="AC15" s="15">
        <v>10.0946372239748</v>
      </c>
      <c r="AD15" s="20" t="s">
        <v>80</v>
      </c>
      <c r="AE15" s="15">
        <v>5.8252427184466002</v>
      </c>
      <c r="AF15" s="15">
        <v>5.3262316910785596</v>
      </c>
      <c r="AG15" s="15">
        <v>2.9315960912052099</v>
      </c>
      <c r="AH15" s="15">
        <v>11.0320284697509</v>
      </c>
      <c r="AI15" s="26" t="s">
        <v>80</v>
      </c>
      <c r="AJ15" s="38"/>
    </row>
    <row r="16" spans="1:36">
      <c r="A16" s="9" t="s">
        <v>165</v>
      </c>
      <c r="B16" s="36">
        <v>0.40361937654808799</v>
      </c>
      <c r="C16" s="32">
        <v>0.39201245976104199</v>
      </c>
      <c r="D16" s="34" t="s">
        <v>80</v>
      </c>
      <c r="E16" s="34" t="s">
        <v>80</v>
      </c>
      <c r="F16" s="20" t="s">
        <v>80</v>
      </c>
      <c r="G16" s="20" t="s">
        <v>80</v>
      </c>
      <c r="H16" s="20" t="s">
        <v>80</v>
      </c>
      <c r="I16" s="20" t="s">
        <v>80</v>
      </c>
      <c r="J16" s="20" t="s">
        <v>80</v>
      </c>
      <c r="K16" s="20" t="s">
        <v>80</v>
      </c>
      <c r="L16" s="20" t="s">
        <v>80</v>
      </c>
      <c r="M16" s="20" t="s">
        <v>80</v>
      </c>
      <c r="N16" s="20" t="s">
        <v>80</v>
      </c>
      <c r="O16" s="20" t="s">
        <v>80</v>
      </c>
      <c r="P16" s="20" t="s">
        <v>80</v>
      </c>
      <c r="Q16" s="20" t="s">
        <v>80</v>
      </c>
      <c r="R16" s="20" t="s">
        <v>80</v>
      </c>
      <c r="S16" s="20" t="s">
        <v>80</v>
      </c>
      <c r="T16" s="20" t="s">
        <v>80</v>
      </c>
      <c r="U16" s="20" t="s">
        <v>80</v>
      </c>
      <c r="V16" s="20" t="s">
        <v>80</v>
      </c>
      <c r="W16" s="20" t="s">
        <v>80</v>
      </c>
      <c r="X16" s="20" t="s">
        <v>80</v>
      </c>
      <c r="Y16" s="20" t="s">
        <v>80</v>
      </c>
      <c r="Z16" s="20" t="s">
        <v>80</v>
      </c>
      <c r="AA16" s="34" t="s">
        <v>80</v>
      </c>
      <c r="AB16" s="20" t="s">
        <v>80</v>
      </c>
      <c r="AC16" s="20" t="s">
        <v>80</v>
      </c>
      <c r="AD16" s="20" t="s">
        <v>80</v>
      </c>
      <c r="AE16" s="20" t="s">
        <v>80</v>
      </c>
      <c r="AF16" s="20" t="s">
        <v>80</v>
      </c>
      <c r="AG16" s="20" t="s">
        <v>80</v>
      </c>
      <c r="AH16" s="20" t="s">
        <v>80</v>
      </c>
      <c r="AI16" s="26" t="s">
        <v>80</v>
      </c>
      <c r="AJ16" s="38"/>
    </row>
    <row r="17" spans="1:36">
      <c r="A17" s="9" t="s">
        <v>166</v>
      </c>
      <c r="B17" s="36">
        <v>3.8286353927064298</v>
      </c>
      <c r="C17" s="32">
        <v>4.0806950105366502</v>
      </c>
      <c r="D17" s="32">
        <v>3.5313049560844099</v>
      </c>
      <c r="E17" s="32">
        <v>4.1603933000375699</v>
      </c>
      <c r="F17" s="20" t="s">
        <v>80</v>
      </c>
      <c r="G17" s="20" t="s">
        <v>80</v>
      </c>
      <c r="H17" s="15">
        <v>7.2289156626505999</v>
      </c>
      <c r="I17" s="20" t="s">
        <v>80</v>
      </c>
      <c r="J17" s="20" t="s">
        <v>80</v>
      </c>
      <c r="K17" s="20" t="s">
        <v>80</v>
      </c>
      <c r="L17" s="15">
        <v>8.7378640776699008</v>
      </c>
      <c r="M17" s="15">
        <v>9.8765432098765409</v>
      </c>
      <c r="N17" s="20" t="s">
        <v>80</v>
      </c>
      <c r="O17" s="20" t="s">
        <v>80</v>
      </c>
      <c r="P17" s="15">
        <v>7.3170731707317103</v>
      </c>
      <c r="Q17" s="20" t="s">
        <v>80</v>
      </c>
      <c r="R17" s="20" t="s">
        <v>80</v>
      </c>
      <c r="S17" s="20" t="s">
        <v>80</v>
      </c>
      <c r="T17" s="20" t="s">
        <v>80</v>
      </c>
      <c r="U17" s="20" t="s">
        <v>80</v>
      </c>
      <c r="V17" s="20" t="s">
        <v>80</v>
      </c>
      <c r="W17" s="20" t="s">
        <v>80</v>
      </c>
      <c r="X17" s="15">
        <v>7.6086956521739104</v>
      </c>
      <c r="Y17" s="20" t="s">
        <v>80</v>
      </c>
      <c r="Z17" s="20" t="s">
        <v>80</v>
      </c>
      <c r="AA17" s="32">
        <v>3.00827843377514</v>
      </c>
      <c r="AB17" s="15">
        <v>3.87096774193548</v>
      </c>
      <c r="AC17" s="15">
        <v>2.8391167192429001</v>
      </c>
      <c r="AD17" s="15">
        <v>3.8626609442060098</v>
      </c>
      <c r="AE17" s="15">
        <v>2.5889967637540501</v>
      </c>
      <c r="AF17" s="15">
        <v>3.0625832223701699</v>
      </c>
      <c r="AG17" s="15">
        <v>1.95439739413681</v>
      </c>
      <c r="AH17" s="15">
        <v>5.3380782918149503</v>
      </c>
      <c r="AI17" s="26" t="s">
        <v>80</v>
      </c>
      <c r="AJ17" s="38"/>
    </row>
    <row r="18" spans="1:36">
      <c r="A18" s="9" t="s">
        <v>167</v>
      </c>
      <c r="B18" s="36">
        <v>10.915436754923</v>
      </c>
      <c r="C18" s="32">
        <v>10.9677886659719</v>
      </c>
      <c r="D18" s="32">
        <v>10.6527980302934</v>
      </c>
      <c r="E18" s="32">
        <v>11.096495531878</v>
      </c>
      <c r="F18" s="15">
        <v>11.4754098360656</v>
      </c>
      <c r="G18" s="15">
        <v>11.864406779661</v>
      </c>
      <c r="H18" s="20" t="s">
        <v>80</v>
      </c>
      <c r="I18" s="15">
        <v>11.1111111111111</v>
      </c>
      <c r="J18" s="20" t="s">
        <v>80</v>
      </c>
      <c r="K18" s="15">
        <v>19.4444444444444</v>
      </c>
      <c r="L18" s="15">
        <v>13.5922330097087</v>
      </c>
      <c r="M18" s="15">
        <v>14.814814814814801</v>
      </c>
      <c r="N18" s="15">
        <v>11.864406779661</v>
      </c>
      <c r="O18" s="15">
        <v>12.280701754386</v>
      </c>
      <c r="P18" s="15">
        <v>17.0731707317073</v>
      </c>
      <c r="Q18" s="15">
        <v>10.429447852760701</v>
      </c>
      <c r="R18" s="15">
        <v>14.7727272727273</v>
      </c>
      <c r="S18" s="15">
        <v>9.4594594594594597</v>
      </c>
      <c r="T18" s="15">
        <v>11.1111111111111</v>
      </c>
      <c r="U18" s="15">
        <v>5.7377049180327901</v>
      </c>
      <c r="V18" s="15">
        <v>16.2162162162162</v>
      </c>
      <c r="W18" s="15">
        <v>7.9545454545454497</v>
      </c>
      <c r="X18" s="15">
        <v>19.021739130434799</v>
      </c>
      <c r="Y18" s="15">
        <v>12.9032258064516</v>
      </c>
      <c r="Z18" s="15">
        <v>7.8947368421052602</v>
      </c>
      <c r="AA18" s="32">
        <v>10.2839061831599</v>
      </c>
      <c r="AB18" s="15">
        <v>12.258064516129</v>
      </c>
      <c r="AC18" s="15">
        <v>14.5110410094637</v>
      </c>
      <c r="AD18" s="15">
        <v>6.0085836909871198</v>
      </c>
      <c r="AE18" s="15">
        <v>11.9741100323625</v>
      </c>
      <c r="AF18" s="15">
        <v>12.649800266311599</v>
      </c>
      <c r="AG18" s="15">
        <v>7.1661237785016301</v>
      </c>
      <c r="AH18" s="15">
        <v>15.6583629893238</v>
      </c>
      <c r="AI18" s="26" t="s">
        <v>80</v>
      </c>
      <c r="AJ18" s="38"/>
    </row>
    <row r="19" spans="1:36">
      <c r="A19" s="9" t="s">
        <v>168</v>
      </c>
      <c r="B19" s="36">
        <v>4.9115167681525396</v>
      </c>
      <c r="C19" s="32">
        <v>4.8009034006615199</v>
      </c>
      <c r="D19" s="32">
        <v>4.5767600382809599</v>
      </c>
      <c r="E19" s="32">
        <v>5.6657287110486001</v>
      </c>
      <c r="F19" s="20" t="s">
        <v>80</v>
      </c>
      <c r="G19" s="20" t="s">
        <v>80</v>
      </c>
      <c r="H19" s="15">
        <v>9.6385542168674707</v>
      </c>
      <c r="I19" s="20" t="s">
        <v>80</v>
      </c>
      <c r="J19" s="20" t="s">
        <v>80</v>
      </c>
      <c r="K19" s="20" t="s">
        <v>80</v>
      </c>
      <c r="L19" s="15">
        <v>4.8543689320388301</v>
      </c>
      <c r="M19" s="20" t="s">
        <v>80</v>
      </c>
      <c r="N19" s="20" t="s">
        <v>80</v>
      </c>
      <c r="O19" s="20" t="s">
        <v>80</v>
      </c>
      <c r="P19" s="15">
        <v>8.5365853658536608</v>
      </c>
      <c r="Q19" s="15">
        <v>3.6809815950920202</v>
      </c>
      <c r="R19" s="15">
        <v>6.8181818181818201</v>
      </c>
      <c r="S19" s="20" t="s">
        <v>80</v>
      </c>
      <c r="T19" s="15">
        <v>12.5</v>
      </c>
      <c r="U19" s="15">
        <v>5.7377049180327901</v>
      </c>
      <c r="V19" s="20" t="s">
        <v>80</v>
      </c>
      <c r="W19" s="20" t="s">
        <v>80</v>
      </c>
      <c r="X19" s="15">
        <v>4.8913043478260896</v>
      </c>
      <c r="Y19" s="15">
        <v>6.4516129032258096</v>
      </c>
      <c r="Z19" s="20" t="s">
        <v>80</v>
      </c>
      <c r="AA19" s="32">
        <v>3.6713872026592802</v>
      </c>
      <c r="AB19" s="20" t="s">
        <v>80</v>
      </c>
      <c r="AC19" s="15">
        <v>3.7854889589905398</v>
      </c>
      <c r="AD19" s="15">
        <v>5.15021459227468</v>
      </c>
      <c r="AE19" s="15">
        <v>2.5889967637540501</v>
      </c>
      <c r="AF19" s="15">
        <v>4.5272969374167804</v>
      </c>
      <c r="AG19" s="15">
        <v>2.9315960912052099</v>
      </c>
      <c r="AH19" s="15">
        <v>4.6263345195729499</v>
      </c>
      <c r="AI19" s="26" t="s">
        <v>80</v>
      </c>
      <c r="AJ19" s="38"/>
    </row>
    <row r="20" spans="1:36">
      <c r="A20" s="9" t="s">
        <v>169</v>
      </c>
      <c r="B20" s="36">
        <v>0.85494288457628098</v>
      </c>
      <c r="C20" s="32">
        <v>0.73649025128619705</v>
      </c>
      <c r="D20" s="32">
        <v>0.833447234416689</v>
      </c>
      <c r="E20" s="34" t="s">
        <v>80</v>
      </c>
      <c r="F20" s="20" t="s">
        <v>80</v>
      </c>
      <c r="G20" s="20" t="s">
        <v>80</v>
      </c>
      <c r="H20" s="20" t="s">
        <v>80</v>
      </c>
      <c r="I20" s="20" t="s">
        <v>80</v>
      </c>
      <c r="J20" s="20" t="s">
        <v>80</v>
      </c>
      <c r="K20" s="20" t="s">
        <v>80</v>
      </c>
      <c r="L20" s="20" t="s">
        <v>80</v>
      </c>
      <c r="M20" s="20" t="s">
        <v>80</v>
      </c>
      <c r="N20" s="20" t="s">
        <v>80</v>
      </c>
      <c r="O20" s="20" t="s">
        <v>80</v>
      </c>
      <c r="P20" s="20" t="s">
        <v>80</v>
      </c>
      <c r="Q20" s="20" t="s">
        <v>80</v>
      </c>
      <c r="R20" s="20" t="s">
        <v>80</v>
      </c>
      <c r="S20" s="20" t="s">
        <v>80</v>
      </c>
      <c r="T20" s="20" t="s">
        <v>80</v>
      </c>
      <c r="U20" s="20" t="s">
        <v>80</v>
      </c>
      <c r="V20" s="20" t="s">
        <v>80</v>
      </c>
      <c r="W20" s="20" t="s">
        <v>80</v>
      </c>
      <c r="X20" s="20" t="s">
        <v>80</v>
      </c>
      <c r="Y20" s="20" t="s">
        <v>80</v>
      </c>
      <c r="Z20" s="20" t="s">
        <v>80</v>
      </c>
      <c r="AA20" s="34" t="s">
        <v>80</v>
      </c>
      <c r="AB20" s="20" t="s">
        <v>80</v>
      </c>
      <c r="AC20" s="20" t="s">
        <v>80</v>
      </c>
      <c r="AD20" s="20" t="s">
        <v>80</v>
      </c>
      <c r="AE20" s="20" t="s">
        <v>80</v>
      </c>
      <c r="AF20" s="15">
        <v>0.93209054593874796</v>
      </c>
      <c r="AG20" s="20" t="s">
        <v>80</v>
      </c>
      <c r="AH20" s="20" t="s">
        <v>80</v>
      </c>
      <c r="AI20" s="26" t="s">
        <v>80</v>
      </c>
      <c r="AJ20" s="38"/>
    </row>
    <row r="21" spans="1:36">
      <c r="A21" s="9" t="s">
        <v>170</v>
      </c>
      <c r="B21" s="36">
        <v>2.55943123551581</v>
      </c>
      <c r="C21" s="32">
        <v>2.5340038644260101</v>
      </c>
      <c r="D21" s="32">
        <v>2.2795966323135799</v>
      </c>
      <c r="E21" s="32">
        <v>2.30546271031923</v>
      </c>
      <c r="F21" s="15">
        <v>6.5573770491803298</v>
      </c>
      <c r="G21" s="20" t="s">
        <v>80</v>
      </c>
      <c r="H21" s="20" t="s">
        <v>80</v>
      </c>
      <c r="I21" s="20" t="s">
        <v>80</v>
      </c>
      <c r="J21" s="20" t="s">
        <v>80</v>
      </c>
      <c r="K21" s="20" t="s">
        <v>80</v>
      </c>
      <c r="L21" s="15">
        <v>4.8543689320388301</v>
      </c>
      <c r="M21" s="15">
        <v>11.1111111111111</v>
      </c>
      <c r="N21" s="20" t="s">
        <v>80</v>
      </c>
      <c r="O21" s="15">
        <v>10.526315789473699</v>
      </c>
      <c r="P21" s="20" t="s">
        <v>80</v>
      </c>
      <c r="Q21" s="20" t="s">
        <v>80</v>
      </c>
      <c r="R21" s="20" t="s">
        <v>80</v>
      </c>
      <c r="S21" s="20" t="s">
        <v>80</v>
      </c>
      <c r="T21" s="20" t="s">
        <v>80</v>
      </c>
      <c r="U21" s="20" t="s">
        <v>80</v>
      </c>
      <c r="V21" s="20" t="s">
        <v>80</v>
      </c>
      <c r="W21" s="20" t="s">
        <v>80</v>
      </c>
      <c r="X21" s="15">
        <v>4.8913043478260896</v>
      </c>
      <c r="Y21" s="15">
        <v>3.87096774193548</v>
      </c>
      <c r="Z21" s="20" t="s">
        <v>80</v>
      </c>
      <c r="AA21" s="32">
        <v>2.25809147337189</v>
      </c>
      <c r="AB21" s="20" t="s">
        <v>80</v>
      </c>
      <c r="AC21" s="15">
        <v>11.98738170347</v>
      </c>
      <c r="AD21" s="20" t="s">
        <v>80</v>
      </c>
      <c r="AE21" s="20" t="s">
        <v>80</v>
      </c>
      <c r="AF21" s="15">
        <v>3.0625832223701699</v>
      </c>
      <c r="AG21" s="20" t="s">
        <v>80</v>
      </c>
      <c r="AH21" s="15">
        <v>4.6263345195729499</v>
      </c>
      <c r="AI21" s="26" t="s">
        <v>80</v>
      </c>
      <c r="AJ21" s="38"/>
    </row>
    <row r="22" spans="1:36">
      <c r="A22" s="9" t="s">
        <v>171</v>
      </c>
      <c r="B22" s="36">
        <v>1.0363360376879001</v>
      </c>
      <c r="C22" s="32">
        <v>0.97575428546424103</v>
      </c>
      <c r="D22" s="32">
        <v>0.86426334938368898</v>
      </c>
      <c r="E22" s="34" t="s">
        <v>80</v>
      </c>
      <c r="F22" s="20" t="s">
        <v>80</v>
      </c>
      <c r="G22" s="20" t="s">
        <v>80</v>
      </c>
      <c r="H22" s="20" t="s">
        <v>80</v>
      </c>
      <c r="I22" s="20" t="s">
        <v>80</v>
      </c>
      <c r="J22" s="20" t="s">
        <v>80</v>
      </c>
      <c r="K22" s="20" t="s">
        <v>80</v>
      </c>
      <c r="L22" s="20" t="s">
        <v>80</v>
      </c>
      <c r="M22" s="20" t="s">
        <v>80</v>
      </c>
      <c r="N22" s="20" t="s">
        <v>80</v>
      </c>
      <c r="O22" s="20" t="s">
        <v>80</v>
      </c>
      <c r="P22" s="20" t="s">
        <v>80</v>
      </c>
      <c r="Q22" s="20" t="s">
        <v>80</v>
      </c>
      <c r="R22" s="20" t="s">
        <v>80</v>
      </c>
      <c r="S22" s="20" t="s">
        <v>80</v>
      </c>
      <c r="T22" s="15">
        <v>6.9444444444444402</v>
      </c>
      <c r="U22" s="20" t="s">
        <v>80</v>
      </c>
      <c r="V22" s="20" t="s">
        <v>80</v>
      </c>
      <c r="W22" s="20" t="s">
        <v>80</v>
      </c>
      <c r="X22" s="20" t="s">
        <v>80</v>
      </c>
      <c r="Y22" s="20" t="s">
        <v>80</v>
      </c>
      <c r="Z22" s="20" t="s">
        <v>80</v>
      </c>
      <c r="AA22" s="34" t="s">
        <v>80</v>
      </c>
      <c r="AB22" s="20" t="s">
        <v>80</v>
      </c>
      <c r="AC22" s="20" t="s">
        <v>80</v>
      </c>
      <c r="AD22" s="20" t="s">
        <v>80</v>
      </c>
      <c r="AE22" s="20" t="s">
        <v>80</v>
      </c>
      <c r="AF22" s="15">
        <v>0.93209054593874796</v>
      </c>
      <c r="AG22" s="20" t="s">
        <v>80</v>
      </c>
      <c r="AH22" s="15">
        <v>1.77935943060498</v>
      </c>
      <c r="AI22" s="26" t="s">
        <v>80</v>
      </c>
      <c r="AJ22" s="38"/>
    </row>
    <row r="23" spans="1:36">
      <c r="A23" s="9" t="s">
        <v>172</v>
      </c>
      <c r="B23" s="36">
        <v>5.5703404785507198</v>
      </c>
      <c r="C23" s="32">
        <v>6.0201998618334303</v>
      </c>
      <c r="D23" s="32">
        <v>6.3302657022907196</v>
      </c>
      <c r="E23" s="32">
        <v>4.8152700521543697</v>
      </c>
      <c r="F23" s="15">
        <v>9.0163934426229506</v>
      </c>
      <c r="G23" s="20" t="s">
        <v>80</v>
      </c>
      <c r="H23" s="20" t="s">
        <v>80</v>
      </c>
      <c r="I23" s="20" t="s">
        <v>80</v>
      </c>
      <c r="J23" s="20" t="s">
        <v>80</v>
      </c>
      <c r="K23" s="20" t="s">
        <v>80</v>
      </c>
      <c r="L23" s="15">
        <v>7.7669902912621396</v>
      </c>
      <c r="M23" s="15">
        <v>6.1728395061728403</v>
      </c>
      <c r="N23" s="20" t="s">
        <v>80</v>
      </c>
      <c r="O23" s="20" t="s">
        <v>80</v>
      </c>
      <c r="P23" s="15">
        <v>9.7560975609756095</v>
      </c>
      <c r="Q23" s="20" t="s">
        <v>80</v>
      </c>
      <c r="R23" s="15">
        <v>6.8181818181818201</v>
      </c>
      <c r="S23" s="20" t="s">
        <v>80</v>
      </c>
      <c r="T23" s="15">
        <v>8.3333333333333304</v>
      </c>
      <c r="U23" s="20" t="s">
        <v>80</v>
      </c>
      <c r="V23" s="20" t="s">
        <v>80</v>
      </c>
      <c r="W23" s="20" t="s">
        <v>80</v>
      </c>
      <c r="X23" s="15">
        <v>3.2608695652173898</v>
      </c>
      <c r="Y23" s="15">
        <v>3.2258064516128999</v>
      </c>
      <c r="Z23" s="20" t="s">
        <v>80</v>
      </c>
      <c r="AA23" s="32">
        <v>7.5898390417444599</v>
      </c>
      <c r="AB23" s="15">
        <v>5.8064516129032304</v>
      </c>
      <c r="AC23" s="15">
        <v>12.3028391167192</v>
      </c>
      <c r="AD23" s="15">
        <v>2.57510729613734</v>
      </c>
      <c r="AE23" s="15">
        <v>5.8252427184466002</v>
      </c>
      <c r="AF23" s="15">
        <v>6.3914780292942703</v>
      </c>
      <c r="AG23" s="15">
        <v>4.2345276872964197</v>
      </c>
      <c r="AH23" s="15">
        <v>14.234875444839901</v>
      </c>
      <c r="AI23" s="26" t="s">
        <v>80</v>
      </c>
      <c r="AJ23" s="38"/>
    </row>
    <row r="24" spans="1:36">
      <c r="A24" s="9" t="s">
        <v>173</v>
      </c>
      <c r="B24" s="36">
        <v>22.940609912452601</v>
      </c>
      <c r="C24" s="32">
        <v>24.233381867303802</v>
      </c>
      <c r="D24" s="32">
        <v>21.453008296466599</v>
      </c>
      <c r="E24" s="32">
        <v>23.358288273040301</v>
      </c>
      <c r="F24" s="15">
        <v>26.229508196721302</v>
      </c>
      <c r="G24" s="15">
        <v>35.593220338983102</v>
      </c>
      <c r="H24" s="15">
        <v>22.891566265060199</v>
      </c>
      <c r="I24" s="15">
        <v>30</v>
      </c>
      <c r="J24" s="15">
        <v>26.785714285714299</v>
      </c>
      <c r="K24" s="15">
        <v>50</v>
      </c>
      <c r="L24" s="15">
        <v>35.922330097087404</v>
      </c>
      <c r="M24" s="15">
        <v>50.617283950617299</v>
      </c>
      <c r="N24" s="15">
        <v>23.728813559321999</v>
      </c>
      <c r="O24" s="15">
        <v>15.789473684210501</v>
      </c>
      <c r="P24" s="15">
        <v>14.634146341463399</v>
      </c>
      <c r="Q24" s="15">
        <v>19.631901840490801</v>
      </c>
      <c r="R24" s="15">
        <v>28.409090909090899</v>
      </c>
      <c r="S24" s="15">
        <v>16.2162162162162</v>
      </c>
      <c r="T24" s="15">
        <v>15.2777777777778</v>
      </c>
      <c r="U24" s="15">
        <v>17.213114754098399</v>
      </c>
      <c r="V24" s="15">
        <v>40.540540540540498</v>
      </c>
      <c r="W24" s="15">
        <v>12.5</v>
      </c>
      <c r="X24" s="15">
        <v>26.630434782608699</v>
      </c>
      <c r="Y24" s="15">
        <v>32.903225806451601</v>
      </c>
      <c r="Z24" s="15">
        <v>26.315789473684202</v>
      </c>
      <c r="AA24" s="32">
        <v>19.868951033680801</v>
      </c>
      <c r="AB24" s="15">
        <v>19.354838709677399</v>
      </c>
      <c r="AC24" s="15">
        <v>28.0757097791798</v>
      </c>
      <c r="AD24" s="15">
        <v>13.733905579399099</v>
      </c>
      <c r="AE24" s="15">
        <v>15.5339805825243</v>
      </c>
      <c r="AF24" s="15">
        <v>19.5739014647137</v>
      </c>
      <c r="AG24" s="15">
        <v>18.241042345276899</v>
      </c>
      <c r="AH24" s="15">
        <v>28.469750889679698</v>
      </c>
      <c r="AI24" s="26" t="s">
        <v>80</v>
      </c>
      <c r="AJ24" s="38"/>
    </row>
    <row r="25" spans="1:36">
      <c r="A25" s="9" t="s">
        <v>174</v>
      </c>
      <c r="B25" s="36">
        <v>0.40052593877834902</v>
      </c>
      <c r="C25" s="32">
        <v>0.36467915110829402</v>
      </c>
      <c r="D25" s="34" t="s">
        <v>80</v>
      </c>
      <c r="E25" s="34" t="s">
        <v>80</v>
      </c>
      <c r="F25" s="20" t="s">
        <v>80</v>
      </c>
      <c r="G25" s="20" t="s">
        <v>80</v>
      </c>
      <c r="H25" s="20" t="s">
        <v>80</v>
      </c>
      <c r="I25" s="20" t="s">
        <v>80</v>
      </c>
      <c r="J25" s="20" t="s">
        <v>80</v>
      </c>
      <c r="K25" s="20" t="s">
        <v>80</v>
      </c>
      <c r="L25" s="20" t="s">
        <v>80</v>
      </c>
      <c r="M25" s="20" t="s">
        <v>80</v>
      </c>
      <c r="N25" s="20" t="s">
        <v>80</v>
      </c>
      <c r="O25" s="20" t="s">
        <v>80</v>
      </c>
      <c r="P25" s="20" t="s">
        <v>80</v>
      </c>
      <c r="Q25" s="20" t="s">
        <v>80</v>
      </c>
      <c r="R25" s="20" t="s">
        <v>80</v>
      </c>
      <c r="S25" s="20" t="s">
        <v>80</v>
      </c>
      <c r="T25" s="20" t="s">
        <v>80</v>
      </c>
      <c r="U25" s="20" t="s">
        <v>80</v>
      </c>
      <c r="V25" s="20" t="s">
        <v>80</v>
      </c>
      <c r="W25" s="20" t="s">
        <v>80</v>
      </c>
      <c r="X25" s="20" t="s">
        <v>80</v>
      </c>
      <c r="Y25" s="20" t="s">
        <v>80</v>
      </c>
      <c r="Z25" s="20" t="s">
        <v>80</v>
      </c>
      <c r="AA25" s="34" t="s">
        <v>80</v>
      </c>
      <c r="AB25" s="20" t="s">
        <v>80</v>
      </c>
      <c r="AC25" s="20" t="s">
        <v>80</v>
      </c>
      <c r="AD25" s="20" t="s">
        <v>80</v>
      </c>
      <c r="AE25" s="20" t="s">
        <v>80</v>
      </c>
      <c r="AF25" s="20" t="s">
        <v>80</v>
      </c>
      <c r="AG25" s="20" t="s">
        <v>80</v>
      </c>
      <c r="AH25" s="20" t="s">
        <v>80</v>
      </c>
      <c r="AI25" s="26" t="s">
        <v>80</v>
      </c>
      <c r="AJ25" s="38"/>
    </row>
    <row r="26" spans="1:36">
      <c r="A26" s="9" t="s">
        <v>175</v>
      </c>
      <c r="B26" s="36">
        <v>3.6371770846970901</v>
      </c>
      <c r="C26" s="32">
        <v>3.7720087784054299</v>
      </c>
      <c r="D26" s="32">
        <v>3.48545770432216</v>
      </c>
      <c r="E26" s="32">
        <v>4.0991110794358301</v>
      </c>
      <c r="F26" s="15">
        <v>6.5573770491803298</v>
      </c>
      <c r="G26" s="20" t="s">
        <v>80</v>
      </c>
      <c r="H26" s="20" t="s">
        <v>80</v>
      </c>
      <c r="I26" s="15">
        <v>7.7777777777777803</v>
      </c>
      <c r="J26" s="20" t="s">
        <v>80</v>
      </c>
      <c r="K26" s="15">
        <v>16.6666666666667</v>
      </c>
      <c r="L26" s="15">
        <v>8.7378640776699008</v>
      </c>
      <c r="M26" s="15">
        <v>11.1111111111111</v>
      </c>
      <c r="N26" s="20" t="s">
        <v>80</v>
      </c>
      <c r="O26" s="15">
        <v>10.526315789473699</v>
      </c>
      <c r="P26" s="20" t="s">
        <v>80</v>
      </c>
      <c r="Q26" s="20" t="s">
        <v>80</v>
      </c>
      <c r="R26" s="15">
        <v>5.6818181818181799</v>
      </c>
      <c r="S26" s="20" t="s">
        <v>80</v>
      </c>
      <c r="T26" s="20" t="s">
        <v>80</v>
      </c>
      <c r="U26" s="20" t="s">
        <v>80</v>
      </c>
      <c r="V26" s="15">
        <v>6.7567567567567597</v>
      </c>
      <c r="W26" s="20" t="s">
        <v>80</v>
      </c>
      <c r="X26" s="15">
        <v>5.4347826086956497</v>
      </c>
      <c r="Y26" s="15">
        <v>5.8064516129032304</v>
      </c>
      <c r="Z26" s="20" t="s">
        <v>80</v>
      </c>
      <c r="AA26" s="32">
        <v>2.9752638757857999</v>
      </c>
      <c r="AB26" s="20" t="s">
        <v>80</v>
      </c>
      <c r="AC26" s="15">
        <v>5.3627760252365899</v>
      </c>
      <c r="AD26" s="20" t="s">
        <v>80</v>
      </c>
      <c r="AE26" s="15">
        <v>1.94174757281553</v>
      </c>
      <c r="AF26" s="15">
        <v>3.0625832223701699</v>
      </c>
      <c r="AG26" s="15">
        <v>1.95439739413681</v>
      </c>
      <c r="AH26" s="15">
        <v>5.6939501779359398</v>
      </c>
      <c r="AI26" s="26" t="s">
        <v>80</v>
      </c>
      <c r="AJ26" s="38"/>
    </row>
    <row r="27" spans="1:36">
      <c r="A27" s="9" t="s">
        <v>176</v>
      </c>
      <c r="B27" s="36">
        <v>7.9378004050992903</v>
      </c>
      <c r="C27" s="32">
        <v>7.5579949097710903</v>
      </c>
      <c r="D27" s="32">
        <v>7.6861230820218998</v>
      </c>
      <c r="E27" s="32">
        <v>10.132406070620901</v>
      </c>
      <c r="F27" s="15">
        <v>15.5737704918033</v>
      </c>
      <c r="G27" s="15">
        <v>15.254237288135601</v>
      </c>
      <c r="H27" s="15">
        <v>7.2289156626505999</v>
      </c>
      <c r="I27" s="15">
        <v>15.5555555555556</v>
      </c>
      <c r="J27" s="15">
        <v>10.714285714285699</v>
      </c>
      <c r="K27" s="20" t="s">
        <v>80</v>
      </c>
      <c r="L27" s="15">
        <v>22.330097087378601</v>
      </c>
      <c r="M27" s="15">
        <v>12.3456790123457</v>
      </c>
      <c r="N27" s="20" t="s">
        <v>80</v>
      </c>
      <c r="O27" s="20" t="s">
        <v>80</v>
      </c>
      <c r="P27" s="15">
        <v>20.731707317073202</v>
      </c>
      <c r="Q27" s="15">
        <v>6.74846625766871</v>
      </c>
      <c r="R27" s="15">
        <v>7.9545454545454497</v>
      </c>
      <c r="S27" s="20" t="s">
        <v>80</v>
      </c>
      <c r="T27" s="15">
        <v>8.3333333333333304</v>
      </c>
      <c r="U27" s="15">
        <v>5.7377049180327901</v>
      </c>
      <c r="V27" s="20" t="s">
        <v>80</v>
      </c>
      <c r="W27" s="20" t="s">
        <v>80</v>
      </c>
      <c r="X27" s="15">
        <v>14.130434782608701</v>
      </c>
      <c r="Y27" s="15">
        <v>11.6129032258065</v>
      </c>
      <c r="Z27" s="15">
        <v>8.7719298245614006</v>
      </c>
      <c r="AA27" s="32">
        <v>5.6522737881831704</v>
      </c>
      <c r="AB27" s="15">
        <v>7.0967741935483897</v>
      </c>
      <c r="AC27" s="15">
        <v>6.6246056782334399</v>
      </c>
      <c r="AD27" s="15">
        <v>2.1459227467811202</v>
      </c>
      <c r="AE27" s="15">
        <v>7.1197411003236297</v>
      </c>
      <c r="AF27" s="15">
        <v>6.9241011984021297</v>
      </c>
      <c r="AG27" s="15">
        <v>3.90879478827362</v>
      </c>
      <c r="AH27" s="15">
        <v>6.4056939501779402</v>
      </c>
      <c r="AI27" s="26" t="s">
        <v>80</v>
      </c>
      <c r="AJ27" s="38"/>
    </row>
    <row r="28" spans="1:36">
      <c r="A28" s="9" t="s">
        <v>177</v>
      </c>
      <c r="B28" s="36">
        <v>4.3991788642041403</v>
      </c>
      <c r="C28" s="32">
        <v>4.1892384964413303</v>
      </c>
      <c r="D28" s="32">
        <v>3.3026655629962498</v>
      </c>
      <c r="E28" s="32">
        <v>4.0810974408531697</v>
      </c>
      <c r="F28" s="15">
        <v>9.0163934426229506</v>
      </c>
      <c r="G28" s="20" t="s">
        <v>80</v>
      </c>
      <c r="H28" s="20" t="s">
        <v>80</v>
      </c>
      <c r="I28" s="20" t="s">
        <v>80</v>
      </c>
      <c r="J28" s="20" t="s">
        <v>80</v>
      </c>
      <c r="K28" s="20" t="s">
        <v>80</v>
      </c>
      <c r="L28" s="15">
        <v>9.7087378640776691</v>
      </c>
      <c r="M28" s="20" t="s">
        <v>80</v>
      </c>
      <c r="N28" s="20" t="s">
        <v>80</v>
      </c>
      <c r="O28" s="20" t="s">
        <v>80</v>
      </c>
      <c r="P28" s="15">
        <v>10.975609756097599</v>
      </c>
      <c r="Q28" s="15">
        <v>5.5214723926380396</v>
      </c>
      <c r="R28" s="20" t="s">
        <v>80</v>
      </c>
      <c r="S28" s="20" t="s">
        <v>80</v>
      </c>
      <c r="T28" s="20" t="s">
        <v>80</v>
      </c>
      <c r="U28" s="20" t="s">
        <v>80</v>
      </c>
      <c r="V28" s="20" t="s">
        <v>80</v>
      </c>
      <c r="W28" s="20" t="s">
        <v>80</v>
      </c>
      <c r="X28" s="15">
        <v>10.326086956521699</v>
      </c>
      <c r="Y28" s="15">
        <v>5.1612903225806503</v>
      </c>
      <c r="Z28" s="20" t="s">
        <v>80</v>
      </c>
      <c r="AA28" s="32">
        <v>2.6554742394823898</v>
      </c>
      <c r="AB28" s="20" t="s">
        <v>80</v>
      </c>
      <c r="AC28" s="15">
        <v>7.5709779179810699</v>
      </c>
      <c r="AD28" s="15">
        <v>2.57510729613734</v>
      </c>
      <c r="AE28" s="15">
        <v>2.5889967637540501</v>
      </c>
      <c r="AF28" s="15">
        <v>3.5952063914780301</v>
      </c>
      <c r="AG28" s="20" t="s">
        <v>80</v>
      </c>
      <c r="AH28" s="15">
        <v>5.6939501779359398</v>
      </c>
      <c r="AI28" s="26" t="s">
        <v>80</v>
      </c>
      <c r="AJ28" s="38"/>
    </row>
    <row r="29" spans="1:36">
      <c r="A29" s="9" t="s">
        <v>178</v>
      </c>
      <c r="B29" s="36">
        <v>0.60444325089101603</v>
      </c>
      <c r="C29" s="32">
        <v>0.47065422944235602</v>
      </c>
      <c r="D29" s="32">
        <v>0.50518475844751998</v>
      </c>
      <c r="E29" s="34" t="s">
        <v>80</v>
      </c>
      <c r="F29" s="20" t="s">
        <v>80</v>
      </c>
      <c r="G29" s="20" t="s">
        <v>80</v>
      </c>
      <c r="H29" s="20" t="s">
        <v>80</v>
      </c>
      <c r="I29" s="20" t="s">
        <v>80</v>
      </c>
      <c r="J29" s="20" t="s">
        <v>80</v>
      </c>
      <c r="K29" s="20" t="s">
        <v>80</v>
      </c>
      <c r="L29" s="20" t="s">
        <v>80</v>
      </c>
      <c r="M29" s="20" t="s">
        <v>80</v>
      </c>
      <c r="N29" s="20" t="s">
        <v>80</v>
      </c>
      <c r="O29" s="20" t="s">
        <v>80</v>
      </c>
      <c r="P29" s="20" t="s">
        <v>80</v>
      </c>
      <c r="Q29" s="20" t="s">
        <v>80</v>
      </c>
      <c r="R29" s="20" t="s">
        <v>80</v>
      </c>
      <c r="S29" s="20" t="s">
        <v>80</v>
      </c>
      <c r="T29" s="20" t="s">
        <v>80</v>
      </c>
      <c r="U29" s="20" t="s">
        <v>80</v>
      </c>
      <c r="V29" s="20" t="s">
        <v>80</v>
      </c>
      <c r="W29" s="20" t="s">
        <v>80</v>
      </c>
      <c r="X29" s="20" t="s">
        <v>80</v>
      </c>
      <c r="Y29" s="20" t="s">
        <v>80</v>
      </c>
      <c r="Z29" s="20" t="s">
        <v>80</v>
      </c>
      <c r="AA29" s="34" t="s">
        <v>80</v>
      </c>
      <c r="AB29" s="20" t="s">
        <v>80</v>
      </c>
      <c r="AC29" s="20" t="s">
        <v>80</v>
      </c>
      <c r="AD29" s="20" t="s">
        <v>80</v>
      </c>
      <c r="AE29" s="20" t="s">
        <v>80</v>
      </c>
      <c r="AF29" s="15">
        <v>0.79893475366178401</v>
      </c>
      <c r="AG29" s="20" t="s">
        <v>80</v>
      </c>
      <c r="AH29" s="20" t="s">
        <v>80</v>
      </c>
      <c r="AI29" s="26" t="s">
        <v>80</v>
      </c>
      <c r="AJ29" s="38"/>
    </row>
    <row r="30" spans="1:36">
      <c r="A30" s="9" t="s">
        <v>179</v>
      </c>
      <c r="B30" s="36">
        <v>2.9308780981006999</v>
      </c>
      <c r="C30" s="32">
        <v>3.6870288411453802</v>
      </c>
      <c r="D30" s="32">
        <v>3.7448780243419999</v>
      </c>
      <c r="E30" s="32">
        <v>4.1049853058454904</v>
      </c>
      <c r="F30" s="20" t="s">
        <v>80</v>
      </c>
      <c r="G30" s="20" t="s">
        <v>80</v>
      </c>
      <c r="H30" s="20" t="s">
        <v>80</v>
      </c>
      <c r="I30" s="20" t="s">
        <v>80</v>
      </c>
      <c r="J30" s="20" t="s">
        <v>80</v>
      </c>
      <c r="K30" s="20" t="s">
        <v>80</v>
      </c>
      <c r="L30" s="15">
        <v>5.8252427184466002</v>
      </c>
      <c r="M30" s="15">
        <v>7.4074074074074101</v>
      </c>
      <c r="N30" s="20" t="s">
        <v>80</v>
      </c>
      <c r="O30" s="20" t="s">
        <v>80</v>
      </c>
      <c r="P30" s="15">
        <v>8.5365853658536608</v>
      </c>
      <c r="Q30" s="20" t="s">
        <v>80</v>
      </c>
      <c r="R30" s="20" t="s">
        <v>80</v>
      </c>
      <c r="S30" s="20" t="s">
        <v>80</v>
      </c>
      <c r="T30" s="15">
        <v>8.3333333333333304</v>
      </c>
      <c r="U30" s="20" t="s">
        <v>80</v>
      </c>
      <c r="V30" s="20" t="s">
        <v>80</v>
      </c>
      <c r="W30" s="20" t="s">
        <v>80</v>
      </c>
      <c r="X30" s="15">
        <v>4.3478260869565197</v>
      </c>
      <c r="Y30" s="15">
        <v>7.7419354838709697</v>
      </c>
      <c r="Z30" s="15">
        <v>4.3859649122807003</v>
      </c>
      <c r="AA30" s="32">
        <v>3.4454834148036002</v>
      </c>
      <c r="AB30" s="15">
        <v>3.2258064516128999</v>
      </c>
      <c r="AC30" s="15">
        <v>3.1545741324921099</v>
      </c>
      <c r="AD30" s="20" t="s">
        <v>80</v>
      </c>
      <c r="AE30" s="15">
        <v>4.2071197411003203</v>
      </c>
      <c r="AF30" s="15">
        <v>3.8615179760319598</v>
      </c>
      <c r="AG30" s="15">
        <v>4.5602605863192203</v>
      </c>
      <c r="AH30" s="15">
        <v>5.6939501779359398</v>
      </c>
      <c r="AI30" s="26" t="s">
        <v>80</v>
      </c>
      <c r="AJ30" s="38"/>
    </row>
    <row r="31" spans="1:36">
      <c r="A31" s="9" t="s">
        <v>180</v>
      </c>
      <c r="B31" s="36">
        <v>6.9949084674478703</v>
      </c>
      <c r="C31" s="32">
        <v>7.2235261424613002</v>
      </c>
      <c r="D31" s="32">
        <v>8.4248408365567808</v>
      </c>
      <c r="E31" s="32">
        <v>8.7143632467952994</v>
      </c>
      <c r="F31" s="15">
        <v>11.4754098360656</v>
      </c>
      <c r="G31" s="15">
        <v>8.4745762711864394</v>
      </c>
      <c r="H31" s="20" t="s">
        <v>80</v>
      </c>
      <c r="I31" s="15">
        <v>15.5555555555556</v>
      </c>
      <c r="J31" s="20" t="s">
        <v>80</v>
      </c>
      <c r="K31" s="20" t="s">
        <v>80</v>
      </c>
      <c r="L31" s="15">
        <v>8.7378640776699008</v>
      </c>
      <c r="M31" s="20" t="s">
        <v>80</v>
      </c>
      <c r="N31" s="15">
        <v>8.4745762711864394</v>
      </c>
      <c r="O31" s="20" t="s">
        <v>80</v>
      </c>
      <c r="P31" s="15">
        <v>13.4146341463415</v>
      </c>
      <c r="Q31" s="15">
        <v>9.2024539877300597</v>
      </c>
      <c r="R31" s="15">
        <v>13.636363636363599</v>
      </c>
      <c r="S31" s="20" t="s">
        <v>80</v>
      </c>
      <c r="T31" s="15">
        <v>13.8888888888889</v>
      </c>
      <c r="U31" s="20" t="s">
        <v>80</v>
      </c>
      <c r="V31" s="15">
        <v>9.4594594594594597</v>
      </c>
      <c r="W31" s="20" t="s">
        <v>80</v>
      </c>
      <c r="X31" s="15">
        <v>8.6956521739130395</v>
      </c>
      <c r="Y31" s="15">
        <v>8.3870967741935498</v>
      </c>
      <c r="Z31" s="20" t="s">
        <v>80</v>
      </c>
      <c r="AA31" s="32">
        <v>8.1841307664796901</v>
      </c>
      <c r="AB31" s="15">
        <v>7.0967741935483897</v>
      </c>
      <c r="AC31" s="15">
        <v>6.6246056782334399</v>
      </c>
      <c r="AD31" s="15">
        <v>8.1545064377682408</v>
      </c>
      <c r="AE31" s="15">
        <v>7.1197411003236297</v>
      </c>
      <c r="AF31" s="15">
        <v>12.117177097203699</v>
      </c>
      <c r="AG31" s="15">
        <v>4.5602605863192203</v>
      </c>
      <c r="AH31" s="15">
        <v>9.6085409252668992</v>
      </c>
      <c r="AI31" s="26" t="s">
        <v>80</v>
      </c>
      <c r="AJ31" s="38"/>
    </row>
    <row r="32" spans="1:36">
      <c r="A32" s="9" t="s">
        <v>181</v>
      </c>
      <c r="B32" s="36">
        <v>0.31382264659037301</v>
      </c>
      <c r="C32" s="32">
        <v>0.244420662868859</v>
      </c>
      <c r="D32" s="34" t="s">
        <v>80</v>
      </c>
      <c r="E32" s="34" t="s">
        <v>80</v>
      </c>
      <c r="F32" s="20" t="s">
        <v>80</v>
      </c>
      <c r="G32" s="20" t="s">
        <v>80</v>
      </c>
      <c r="H32" s="20" t="s">
        <v>80</v>
      </c>
      <c r="I32" s="20" t="s">
        <v>80</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20" t="s">
        <v>80</v>
      </c>
      <c r="X32" s="20" t="s">
        <v>80</v>
      </c>
      <c r="Y32" s="20" t="s">
        <v>80</v>
      </c>
      <c r="Z32" s="20" t="s">
        <v>80</v>
      </c>
      <c r="AA32" s="34" t="s">
        <v>80</v>
      </c>
      <c r="AB32" s="20" t="s">
        <v>80</v>
      </c>
      <c r="AC32" s="20" t="s">
        <v>80</v>
      </c>
      <c r="AD32" s="20" t="s">
        <v>80</v>
      </c>
      <c r="AE32" s="20" t="s">
        <v>80</v>
      </c>
      <c r="AF32" s="15">
        <v>0.66577896138481996</v>
      </c>
      <c r="AG32" s="20" t="s">
        <v>80</v>
      </c>
      <c r="AH32" s="20" t="s">
        <v>80</v>
      </c>
      <c r="AI32" s="26" t="s">
        <v>80</v>
      </c>
      <c r="AJ32" s="38"/>
    </row>
    <row r="33" spans="1:36">
      <c r="A33" s="9" t="s">
        <v>182</v>
      </c>
      <c r="B33" s="36">
        <v>4.5538298587018904</v>
      </c>
      <c r="C33" s="32">
        <v>4.7386506015965599</v>
      </c>
      <c r="D33" s="32">
        <v>4.6662218458293898</v>
      </c>
      <c r="E33" s="32">
        <v>4.4616759183716601</v>
      </c>
      <c r="F33" s="15">
        <v>14.7540983606557</v>
      </c>
      <c r="G33" s="20" t="s">
        <v>80</v>
      </c>
      <c r="H33" s="20" t="s">
        <v>80</v>
      </c>
      <c r="I33" s="20" t="s">
        <v>80</v>
      </c>
      <c r="J33" s="20" t="s">
        <v>80</v>
      </c>
      <c r="K33" s="20" t="s">
        <v>80</v>
      </c>
      <c r="L33" s="15">
        <v>11.6504854368932</v>
      </c>
      <c r="M33" s="15">
        <v>12.3456790123457</v>
      </c>
      <c r="N33" s="20" t="s">
        <v>80</v>
      </c>
      <c r="O33" s="20" t="s">
        <v>80</v>
      </c>
      <c r="P33" s="15">
        <v>15.853658536585399</v>
      </c>
      <c r="Q33" s="15">
        <v>3.0674846625766898</v>
      </c>
      <c r="R33" s="15">
        <v>6.8181818181818201</v>
      </c>
      <c r="S33" s="20" t="s">
        <v>80</v>
      </c>
      <c r="T33" s="20" t="s">
        <v>80</v>
      </c>
      <c r="U33" s="20" t="s">
        <v>80</v>
      </c>
      <c r="V33" s="20" t="s">
        <v>80</v>
      </c>
      <c r="W33" s="20" t="s">
        <v>80</v>
      </c>
      <c r="X33" s="15">
        <v>5.9782608695652204</v>
      </c>
      <c r="Y33" s="15">
        <v>3.2258064516128999</v>
      </c>
      <c r="Z33" s="15">
        <v>7.0175438596491198</v>
      </c>
      <c r="AA33" s="32">
        <v>4.8362821340529303</v>
      </c>
      <c r="AB33" s="15">
        <v>3.2258064516128999</v>
      </c>
      <c r="AC33" s="15">
        <v>14.8264984227129</v>
      </c>
      <c r="AD33" s="20" t="s">
        <v>80</v>
      </c>
      <c r="AE33" s="15">
        <v>4.8543689320388399</v>
      </c>
      <c r="AF33" s="15">
        <v>6.9241011984021297</v>
      </c>
      <c r="AG33" s="20" t="s">
        <v>80</v>
      </c>
      <c r="AH33" s="15">
        <v>10.676156583629901</v>
      </c>
      <c r="AI33" s="26" t="s">
        <v>80</v>
      </c>
      <c r="AJ33" s="38"/>
    </row>
    <row r="34" spans="1:36">
      <c r="A34" s="9" t="s">
        <v>183</v>
      </c>
      <c r="B34" s="36">
        <v>1.9410735335935601</v>
      </c>
      <c r="C34" s="32">
        <v>2.1038550325886498</v>
      </c>
      <c r="D34" s="32">
        <v>1.8965468060838799</v>
      </c>
      <c r="E34" s="32">
        <v>2.0820882610696501</v>
      </c>
      <c r="F34" s="20" t="s">
        <v>80</v>
      </c>
      <c r="G34" s="20" t="s">
        <v>80</v>
      </c>
      <c r="H34" s="20" t="s">
        <v>80</v>
      </c>
      <c r="I34" s="20" t="s">
        <v>80</v>
      </c>
      <c r="J34" s="20" t="s">
        <v>80</v>
      </c>
      <c r="K34" s="20" t="s">
        <v>80</v>
      </c>
      <c r="L34" s="20" t="s">
        <v>80</v>
      </c>
      <c r="M34" s="20" t="s">
        <v>80</v>
      </c>
      <c r="N34" s="20" t="s">
        <v>80</v>
      </c>
      <c r="O34" s="20" t="s">
        <v>80</v>
      </c>
      <c r="P34" s="20" t="s">
        <v>80</v>
      </c>
      <c r="Q34" s="20" t="s">
        <v>80</v>
      </c>
      <c r="R34" s="20" t="s">
        <v>80</v>
      </c>
      <c r="S34" s="20" t="s">
        <v>80</v>
      </c>
      <c r="T34" s="15">
        <v>6.9444444444444402</v>
      </c>
      <c r="U34" s="20" t="s">
        <v>80</v>
      </c>
      <c r="V34" s="20" t="s">
        <v>80</v>
      </c>
      <c r="W34" s="20" t="s">
        <v>80</v>
      </c>
      <c r="X34" s="15">
        <v>3.8043478260869601</v>
      </c>
      <c r="Y34" s="20" t="s">
        <v>80</v>
      </c>
      <c r="Z34" s="20" t="s">
        <v>80</v>
      </c>
      <c r="AA34" s="32">
        <v>1.7422869109861701</v>
      </c>
      <c r="AB34" s="20" t="s">
        <v>80</v>
      </c>
      <c r="AC34" s="15">
        <v>1.8927444794952699</v>
      </c>
      <c r="AD34" s="15">
        <v>2.1459227467811202</v>
      </c>
      <c r="AE34" s="20" t="s">
        <v>80</v>
      </c>
      <c r="AF34" s="15">
        <v>1.59786950732357</v>
      </c>
      <c r="AG34" s="15">
        <v>2.2801302931596101</v>
      </c>
      <c r="AH34" s="15">
        <v>1.77935943060498</v>
      </c>
      <c r="AI34" s="26" t="s">
        <v>80</v>
      </c>
      <c r="AJ34" s="38"/>
    </row>
    <row r="35" spans="1:36">
      <c r="A35" s="9" t="s">
        <v>184</v>
      </c>
      <c r="B35" s="36">
        <v>2.0413571216700799</v>
      </c>
      <c r="C35" s="32">
        <v>1.94985326147461</v>
      </c>
      <c r="D35" s="32">
        <v>1.6440682539949001</v>
      </c>
      <c r="E35" s="32">
        <v>2.0525651505729501</v>
      </c>
      <c r="F35" s="20" t="s">
        <v>80</v>
      </c>
      <c r="G35" s="20" t="s">
        <v>80</v>
      </c>
      <c r="H35" s="20" t="s">
        <v>80</v>
      </c>
      <c r="I35" s="20" t="s">
        <v>80</v>
      </c>
      <c r="J35" s="20" t="s">
        <v>80</v>
      </c>
      <c r="K35" s="20" t="s">
        <v>80</v>
      </c>
      <c r="L35" s="20" t="s">
        <v>80</v>
      </c>
      <c r="M35" s="20" t="s">
        <v>80</v>
      </c>
      <c r="N35" s="20" t="s">
        <v>80</v>
      </c>
      <c r="O35" s="20" t="s">
        <v>80</v>
      </c>
      <c r="P35" s="15">
        <v>6.0975609756097597</v>
      </c>
      <c r="Q35" s="20" t="s">
        <v>80</v>
      </c>
      <c r="R35" s="20" t="s">
        <v>80</v>
      </c>
      <c r="S35" s="20" t="s">
        <v>80</v>
      </c>
      <c r="T35" s="20" t="s">
        <v>80</v>
      </c>
      <c r="U35" s="20" t="s">
        <v>80</v>
      </c>
      <c r="V35" s="20" t="s">
        <v>80</v>
      </c>
      <c r="W35" s="20" t="s">
        <v>80</v>
      </c>
      <c r="X35" s="20" t="s">
        <v>80</v>
      </c>
      <c r="Y35" s="15">
        <v>3.87096774193548</v>
      </c>
      <c r="Z35" s="20" t="s">
        <v>80</v>
      </c>
      <c r="AA35" s="32">
        <v>1.3044423282485</v>
      </c>
      <c r="AB35" s="15">
        <v>3.2258064516128999</v>
      </c>
      <c r="AC35" s="20" t="s">
        <v>80</v>
      </c>
      <c r="AD35" s="15">
        <v>2.1459227467811202</v>
      </c>
      <c r="AE35" s="20" t="s">
        <v>80</v>
      </c>
      <c r="AF35" s="15">
        <v>1.19840213049268</v>
      </c>
      <c r="AG35" s="20" t="s">
        <v>80</v>
      </c>
      <c r="AH35" s="15">
        <v>4.2704626334519604</v>
      </c>
      <c r="AI35" s="26" t="s">
        <v>80</v>
      </c>
      <c r="AJ35" s="38"/>
    </row>
    <row r="36" spans="1:36">
      <c r="A36" s="9" t="s">
        <v>185</v>
      </c>
      <c r="B36" s="36">
        <v>6.3406467851349397</v>
      </c>
      <c r="C36" s="32">
        <v>7.8251222294372003</v>
      </c>
      <c r="D36" s="32">
        <v>6.1907762789080598</v>
      </c>
      <c r="E36" s="32">
        <v>4.5537639950718898</v>
      </c>
      <c r="F36" s="15">
        <v>10.655737704918</v>
      </c>
      <c r="G36" s="20" t="s">
        <v>80</v>
      </c>
      <c r="H36" s="20" t="s">
        <v>80</v>
      </c>
      <c r="I36" s="15">
        <v>6.6666666666666696</v>
      </c>
      <c r="J36" s="20" t="s">
        <v>80</v>
      </c>
      <c r="K36" s="20" t="s">
        <v>80</v>
      </c>
      <c r="L36" s="15">
        <v>4.8543689320388301</v>
      </c>
      <c r="M36" s="15">
        <v>13.580246913580201</v>
      </c>
      <c r="N36" s="20" t="s">
        <v>80</v>
      </c>
      <c r="O36" s="20" t="s">
        <v>80</v>
      </c>
      <c r="P36" s="15">
        <v>7.3170731707317103</v>
      </c>
      <c r="Q36" s="20" t="s">
        <v>80</v>
      </c>
      <c r="R36" s="15">
        <v>9.0909090909090899</v>
      </c>
      <c r="S36" s="20" t="s">
        <v>80</v>
      </c>
      <c r="T36" s="15">
        <v>11.1111111111111</v>
      </c>
      <c r="U36" s="20" t="s">
        <v>80</v>
      </c>
      <c r="V36" s="15">
        <v>8.1081081081081106</v>
      </c>
      <c r="W36" s="20" t="s">
        <v>80</v>
      </c>
      <c r="X36" s="15">
        <v>5.9782608695652204</v>
      </c>
      <c r="Y36" s="15">
        <v>5.1612903225806503</v>
      </c>
      <c r="Z36" s="15">
        <v>4.3859649122807003</v>
      </c>
      <c r="AA36" s="32">
        <v>7.5517947273060697</v>
      </c>
      <c r="AB36" s="15">
        <v>5.1612903225806503</v>
      </c>
      <c r="AC36" s="15">
        <v>22.397476340693999</v>
      </c>
      <c r="AD36" s="15">
        <v>3.8626609442060098</v>
      </c>
      <c r="AE36" s="15">
        <v>6.1488673139158596</v>
      </c>
      <c r="AF36" s="15">
        <v>10.7856191744341</v>
      </c>
      <c r="AG36" s="15">
        <v>3.5830618892508102</v>
      </c>
      <c r="AH36" s="15">
        <v>10.676156583629901</v>
      </c>
      <c r="AI36" s="26" t="s">
        <v>80</v>
      </c>
      <c r="AJ36" s="38"/>
    </row>
    <row r="37" spans="1:36">
      <c r="A37" s="9" t="s">
        <v>186</v>
      </c>
      <c r="B37" s="36">
        <v>1.9725799011287199</v>
      </c>
      <c r="C37" s="32">
        <v>2.4600902329626799</v>
      </c>
      <c r="D37" s="32">
        <v>1.9650897477152001</v>
      </c>
      <c r="E37" s="32">
        <v>1.69602393674765</v>
      </c>
      <c r="F37" s="20" t="s">
        <v>80</v>
      </c>
      <c r="G37" s="20" t="s">
        <v>80</v>
      </c>
      <c r="H37" s="20" t="s">
        <v>80</v>
      </c>
      <c r="I37" s="20" t="s">
        <v>80</v>
      </c>
      <c r="J37" s="20" t="s">
        <v>80</v>
      </c>
      <c r="K37" s="20" t="s">
        <v>80</v>
      </c>
      <c r="L37" s="20" t="s">
        <v>80</v>
      </c>
      <c r="M37" s="20" t="s">
        <v>80</v>
      </c>
      <c r="N37" s="20" t="s">
        <v>80</v>
      </c>
      <c r="O37" s="15">
        <v>8.7719298245614006</v>
      </c>
      <c r="P37" s="20" t="s">
        <v>80</v>
      </c>
      <c r="Q37" s="20" t="s">
        <v>80</v>
      </c>
      <c r="R37" s="20" t="s">
        <v>80</v>
      </c>
      <c r="S37" s="20" t="s">
        <v>80</v>
      </c>
      <c r="T37" s="20" t="s">
        <v>80</v>
      </c>
      <c r="U37" s="20" t="s">
        <v>80</v>
      </c>
      <c r="V37" s="20" t="s">
        <v>80</v>
      </c>
      <c r="W37" s="20" t="s">
        <v>80</v>
      </c>
      <c r="X37" s="15">
        <v>3.8043478260869601</v>
      </c>
      <c r="Y37" s="20" t="s">
        <v>80</v>
      </c>
      <c r="Z37" s="20" t="s">
        <v>80</v>
      </c>
      <c r="AA37" s="32">
        <v>2.18879212073701</v>
      </c>
      <c r="AB37" s="20" t="s">
        <v>80</v>
      </c>
      <c r="AC37" s="15">
        <v>1.8927444794952699</v>
      </c>
      <c r="AD37" s="20" t="s">
        <v>80</v>
      </c>
      <c r="AE37" s="15">
        <v>1.61812297734628</v>
      </c>
      <c r="AF37" s="15">
        <v>1.9973368841544601</v>
      </c>
      <c r="AG37" s="15">
        <v>1.95439739413681</v>
      </c>
      <c r="AH37" s="15">
        <v>5.6939501779359398</v>
      </c>
      <c r="AI37" s="26" t="s">
        <v>80</v>
      </c>
      <c r="AJ37" s="38"/>
    </row>
    <row r="38" spans="1:36">
      <c r="A38" s="9" t="s">
        <v>187</v>
      </c>
      <c r="B38" s="36">
        <v>3.0236775374030498</v>
      </c>
      <c r="C38" s="32">
        <v>2.93644987875166</v>
      </c>
      <c r="D38" s="32">
        <v>2.7822050126659899</v>
      </c>
      <c r="E38" s="32">
        <v>4.4576886671577096</v>
      </c>
      <c r="F38" s="15">
        <v>4.0983606557377001</v>
      </c>
      <c r="G38" s="20" t="s">
        <v>80</v>
      </c>
      <c r="H38" s="15">
        <v>6.0240963855421699</v>
      </c>
      <c r="I38" s="15">
        <v>5.5555555555555598</v>
      </c>
      <c r="J38" s="20" t="s">
        <v>80</v>
      </c>
      <c r="K38" s="20" t="s">
        <v>80</v>
      </c>
      <c r="L38" s="15">
        <v>7.7669902912621396</v>
      </c>
      <c r="M38" s="20" t="s">
        <v>80</v>
      </c>
      <c r="N38" s="15">
        <v>8.4745762711864394</v>
      </c>
      <c r="O38" s="20" t="s">
        <v>80</v>
      </c>
      <c r="P38" s="15">
        <v>6.0975609756097597</v>
      </c>
      <c r="Q38" s="15">
        <v>3.0674846625766898</v>
      </c>
      <c r="R38" s="20" t="s">
        <v>80</v>
      </c>
      <c r="S38" s="20" t="s">
        <v>80</v>
      </c>
      <c r="T38" s="15">
        <v>6.9444444444444402</v>
      </c>
      <c r="U38" s="15">
        <v>4.9180327868852496</v>
      </c>
      <c r="V38" s="20" t="s">
        <v>80</v>
      </c>
      <c r="W38" s="20" t="s">
        <v>80</v>
      </c>
      <c r="X38" s="15">
        <v>3.2608695652173898</v>
      </c>
      <c r="Y38" s="15">
        <v>5.1612903225806503</v>
      </c>
      <c r="Z38" s="20" t="s">
        <v>80</v>
      </c>
      <c r="AA38" s="32">
        <v>1.38920131546173</v>
      </c>
      <c r="AB38" s="20" t="s">
        <v>80</v>
      </c>
      <c r="AC38" s="20" t="s">
        <v>80</v>
      </c>
      <c r="AD38" s="15">
        <v>3.0042918454935599</v>
      </c>
      <c r="AE38" s="15">
        <v>2.2653721682847898</v>
      </c>
      <c r="AF38" s="15">
        <v>1.3315579227696399</v>
      </c>
      <c r="AG38" s="15">
        <v>2.2801302931596101</v>
      </c>
      <c r="AH38" s="20" t="s">
        <v>80</v>
      </c>
      <c r="AI38" s="26" t="s">
        <v>80</v>
      </c>
      <c r="AJ38" s="38"/>
    </row>
    <row r="39" spans="1:36">
      <c r="A39" s="9" t="s">
        <v>188</v>
      </c>
      <c r="B39" s="36">
        <v>3.2807781621161101</v>
      </c>
      <c r="C39" s="32">
        <v>3.20806120656583</v>
      </c>
      <c r="D39" s="32">
        <v>3.2737407742074001</v>
      </c>
      <c r="E39" s="32">
        <v>2.6558212716376701</v>
      </c>
      <c r="F39" s="20" t="s">
        <v>80</v>
      </c>
      <c r="G39" s="20" t="s">
        <v>80</v>
      </c>
      <c r="H39" s="20" t="s">
        <v>80</v>
      </c>
      <c r="I39" s="20" t="s">
        <v>80</v>
      </c>
      <c r="J39" s="20" t="s">
        <v>80</v>
      </c>
      <c r="K39" s="20" t="s">
        <v>80</v>
      </c>
      <c r="L39" s="20" t="s">
        <v>80</v>
      </c>
      <c r="M39" s="20" t="s">
        <v>80</v>
      </c>
      <c r="N39" s="20" t="s">
        <v>80</v>
      </c>
      <c r="O39" s="20" t="s">
        <v>80</v>
      </c>
      <c r="P39" s="20" t="s">
        <v>80</v>
      </c>
      <c r="Q39" s="20" t="s">
        <v>80</v>
      </c>
      <c r="R39" s="20" t="s">
        <v>80</v>
      </c>
      <c r="S39" s="20" t="s">
        <v>80</v>
      </c>
      <c r="T39" s="20" t="s">
        <v>80</v>
      </c>
      <c r="U39" s="15">
        <v>4.0983606557377001</v>
      </c>
      <c r="V39" s="20" t="s">
        <v>80</v>
      </c>
      <c r="W39" s="20" t="s">
        <v>80</v>
      </c>
      <c r="X39" s="15">
        <v>3.8043478260869601</v>
      </c>
      <c r="Y39" s="20" t="s">
        <v>80</v>
      </c>
      <c r="Z39" s="20" t="s">
        <v>80</v>
      </c>
      <c r="AA39" s="32">
        <v>3.7874814778822299</v>
      </c>
      <c r="AB39" s="15">
        <v>5.8064516129032304</v>
      </c>
      <c r="AC39" s="15">
        <v>1.8927444794952699</v>
      </c>
      <c r="AD39" s="15">
        <v>5.15021459227468</v>
      </c>
      <c r="AE39" s="15">
        <v>1.61812297734628</v>
      </c>
      <c r="AF39" s="15">
        <v>2.79627163781625</v>
      </c>
      <c r="AG39" s="15">
        <v>2.6058631921824098</v>
      </c>
      <c r="AH39" s="15">
        <v>2.8469750889679699</v>
      </c>
      <c r="AI39" s="26" t="s">
        <v>80</v>
      </c>
      <c r="AJ39" s="38"/>
    </row>
    <row r="40" spans="1:36">
      <c r="A40" s="9" t="s">
        <v>189</v>
      </c>
      <c r="B40" s="36">
        <v>1.2878032030773501</v>
      </c>
      <c r="C40" s="32">
        <v>1.1420933034185901</v>
      </c>
      <c r="D40" s="32">
        <v>1.22964506675651</v>
      </c>
      <c r="E40" s="32">
        <v>1.65122918271703</v>
      </c>
      <c r="F40" s="20" t="s">
        <v>80</v>
      </c>
      <c r="G40" s="20" t="s">
        <v>80</v>
      </c>
      <c r="H40" s="20" t="s">
        <v>80</v>
      </c>
      <c r="I40" s="20" t="s">
        <v>80</v>
      </c>
      <c r="J40" s="20" t="s">
        <v>80</v>
      </c>
      <c r="K40" s="20" t="s">
        <v>80</v>
      </c>
      <c r="L40" s="20" t="s">
        <v>80</v>
      </c>
      <c r="M40" s="20" t="s">
        <v>80</v>
      </c>
      <c r="N40" s="20" t="s">
        <v>80</v>
      </c>
      <c r="O40" s="20" t="s">
        <v>80</v>
      </c>
      <c r="P40" s="20" t="s">
        <v>80</v>
      </c>
      <c r="Q40" s="20" t="s">
        <v>80</v>
      </c>
      <c r="R40" s="20" t="s">
        <v>80</v>
      </c>
      <c r="S40" s="20" t="s">
        <v>80</v>
      </c>
      <c r="T40" s="20" t="s">
        <v>80</v>
      </c>
      <c r="U40" s="20" t="s">
        <v>80</v>
      </c>
      <c r="V40" s="20" t="s">
        <v>80</v>
      </c>
      <c r="W40" s="20" t="s">
        <v>80</v>
      </c>
      <c r="X40" s="20" t="s">
        <v>80</v>
      </c>
      <c r="Y40" s="15">
        <v>3.2258064516128999</v>
      </c>
      <c r="Z40" s="20" t="s">
        <v>80</v>
      </c>
      <c r="AA40" s="32">
        <v>0.87913837536550199</v>
      </c>
      <c r="AB40" s="20" t="s">
        <v>80</v>
      </c>
      <c r="AC40" s="20" t="s">
        <v>80</v>
      </c>
      <c r="AD40" s="20" t="s">
        <v>80</v>
      </c>
      <c r="AE40" s="15">
        <v>1.94174757281553</v>
      </c>
      <c r="AF40" s="15">
        <v>0.79893475366178401</v>
      </c>
      <c r="AG40" s="20" t="s">
        <v>80</v>
      </c>
      <c r="AH40" s="15">
        <v>2.4911032028469799</v>
      </c>
      <c r="AI40" s="26" t="s">
        <v>80</v>
      </c>
      <c r="AJ40" s="38"/>
    </row>
    <row r="41" spans="1:36">
      <c r="A41" s="9" t="s">
        <v>190</v>
      </c>
      <c r="B41" s="36">
        <v>3.03330481375529</v>
      </c>
      <c r="C41" s="32">
        <v>2.9900210093774802</v>
      </c>
      <c r="D41" s="32">
        <v>2.47839932238093</v>
      </c>
      <c r="E41" s="32">
        <v>3.0581283787418299</v>
      </c>
      <c r="F41" s="20" t="s">
        <v>80</v>
      </c>
      <c r="G41" s="20" t="s">
        <v>80</v>
      </c>
      <c r="H41" s="20" t="s">
        <v>80</v>
      </c>
      <c r="I41" s="20" t="s">
        <v>80</v>
      </c>
      <c r="J41" s="20" t="s">
        <v>80</v>
      </c>
      <c r="K41" s="20" t="s">
        <v>80</v>
      </c>
      <c r="L41" s="20" t="s">
        <v>80</v>
      </c>
      <c r="M41" s="20" t="s">
        <v>80</v>
      </c>
      <c r="N41" s="20" t="s">
        <v>80</v>
      </c>
      <c r="O41" s="20" t="s">
        <v>80</v>
      </c>
      <c r="P41" s="20" t="s">
        <v>80</v>
      </c>
      <c r="Q41" s="15">
        <v>7.3619631901840501</v>
      </c>
      <c r="R41" s="20" t="s">
        <v>80</v>
      </c>
      <c r="S41" s="20" t="s">
        <v>80</v>
      </c>
      <c r="T41" s="20" t="s">
        <v>80</v>
      </c>
      <c r="U41" s="20" t="s">
        <v>80</v>
      </c>
      <c r="V41" s="20" t="s">
        <v>80</v>
      </c>
      <c r="W41" s="20" t="s">
        <v>80</v>
      </c>
      <c r="X41" s="20" t="s">
        <v>80</v>
      </c>
      <c r="Y41" s="15">
        <v>6.4516129032258096</v>
      </c>
      <c r="Z41" s="20" t="s">
        <v>80</v>
      </c>
      <c r="AA41" s="32">
        <v>1.9964103058229301</v>
      </c>
      <c r="AB41" s="20" t="s">
        <v>80</v>
      </c>
      <c r="AC41" s="15">
        <v>2.5236593059936898</v>
      </c>
      <c r="AD41" s="15">
        <v>2.1459227467811202</v>
      </c>
      <c r="AE41" s="15">
        <v>1.94174757281553</v>
      </c>
      <c r="AF41" s="15">
        <v>2.5299600532623199</v>
      </c>
      <c r="AG41" s="15">
        <v>1.6286644951140099</v>
      </c>
      <c r="AH41" s="15">
        <v>1.77935943060498</v>
      </c>
      <c r="AI41" s="26" t="s">
        <v>80</v>
      </c>
      <c r="AJ41" s="38"/>
    </row>
    <row r="42" spans="1:36">
      <c r="A42" s="9" t="s">
        <v>191</v>
      </c>
      <c r="B42" s="36">
        <v>1.2276474341044501</v>
      </c>
      <c r="C42" s="32">
        <v>1.25508747554933</v>
      </c>
      <c r="D42" s="32">
        <v>0.79477497553863596</v>
      </c>
      <c r="E42" s="34" t="s">
        <v>80</v>
      </c>
      <c r="F42" s="20" t="s">
        <v>80</v>
      </c>
      <c r="G42" s="20" t="s">
        <v>80</v>
      </c>
      <c r="H42" s="20" t="s">
        <v>80</v>
      </c>
      <c r="I42" s="20" t="s">
        <v>80</v>
      </c>
      <c r="J42" s="20" t="s">
        <v>80</v>
      </c>
      <c r="K42" s="20" t="s">
        <v>80</v>
      </c>
      <c r="L42" s="20" t="s">
        <v>80</v>
      </c>
      <c r="M42" s="20" t="s">
        <v>80</v>
      </c>
      <c r="N42" s="20" t="s">
        <v>80</v>
      </c>
      <c r="O42" s="20" t="s">
        <v>80</v>
      </c>
      <c r="P42" s="20" t="s">
        <v>80</v>
      </c>
      <c r="Q42" s="20" t="s">
        <v>80</v>
      </c>
      <c r="R42" s="20" t="s">
        <v>80</v>
      </c>
      <c r="S42" s="20" t="s">
        <v>80</v>
      </c>
      <c r="T42" s="20" t="s">
        <v>80</v>
      </c>
      <c r="U42" s="20" t="s">
        <v>80</v>
      </c>
      <c r="V42" s="20" t="s">
        <v>80</v>
      </c>
      <c r="W42" s="20" t="s">
        <v>80</v>
      </c>
      <c r="X42" s="20" t="s">
        <v>80</v>
      </c>
      <c r="Y42" s="15">
        <v>3.2258064516128999</v>
      </c>
      <c r="Z42" s="20" t="s">
        <v>80</v>
      </c>
      <c r="AA42" s="34" t="s">
        <v>80</v>
      </c>
      <c r="AB42" s="20" t="s">
        <v>80</v>
      </c>
      <c r="AC42" s="20" t="s">
        <v>80</v>
      </c>
      <c r="AD42" s="20" t="s">
        <v>80</v>
      </c>
      <c r="AE42" s="20" t="s">
        <v>80</v>
      </c>
      <c r="AF42" s="15">
        <v>0.93209054593874796</v>
      </c>
      <c r="AG42" s="20" t="s">
        <v>80</v>
      </c>
      <c r="AH42" s="20" t="s">
        <v>80</v>
      </c>
      <c r="AI42" s="26" t="s">
        <v>80</v>
      </c>
      <c r="AJ42" s="38"/>
    </row>
    <row r="43" spans="1:36">
      <c r="A43" s="9" t="s">
        <v>192</v>
      </c>
      <c r="B43" s="36">
        <v>12.193386761295899</v>
      </c>
      <c r="C43" s="32">
        <v>16.894908401515401</v>
      </c>
      <c r="D43" s="32">
        <v>13.8332062806731</v>
      </c>
      <c r="E43" s="32">
        <v>15.232587609509499</v>
      </c>
      <c r="F43" s="15">
        <v>27.868852459016399</v>
      </c>
      <c r="G43" s="15">
        <v>22.033898305084701</v>
      </c>
      <c r="H43" s="15">
        <v>6.0240963855421699</v>
      </c>
      <c r="I43" s="15">
        <v>26.6666666666667</v>
      </c>
      <c r="J43" s="15">
        <v>16.071428571428601</v>
      </c>
      <c r="K43" s="15">
        <v>44.4444444444444</v>
      </c>
      <c r="L43" s="15">
        <v>27.184466019417499</v>
      </c>
      <c r="M43" s="15">
        <v>14.814814814814801</v>
      </c>
      <c r="N43" s="15">
        <v>20.338983050847499</v>
      </c>
      <c r="O43" s="20" t="s">
        <v>80</v>
      </c>
      <c r="P43" s="15">
        <v>21.951219512195099</v>
      </c>
      <c r="Q43" s="15">
        <v>16.564417177914098</v>
      </c>
      <c r="R43" s="15">
        <v>17.045454545454501</v>
      </c>
      <c r="S43" s="15">
        <v>8.1081081081081106</v>
      </c>
      <c r="T43" s="20" t="s">
        <v>80</v>
      </c>
      <c r="U43" s="15">
        <v>4.9180327868852496</v>
      </c>
      <c r="V43" s="15">
        <v>32.4324324324324</v>
      </c>
      <c r="W43" s="15">
        <v>6.8181818181818201</v>
      </c>
      <c r="X43" s="15">
        <v>28.260869565217401</v>
      </c>
      <c r="Y43" s="15">
        <v>19.354838709677399</v>
      </c>
      <c r="Z43" s="15">
        <v>17.543859649122801</v>
      </c>
      <c r="AA43" s="32">
        <v>12.669755142464799</v>
      </c>
      <c r="AB43" s="15">
        <v>15.4838709677419</v>
      </c>
      <c r="AC43" s="15">
        <v>22.712933753943201</v>
      </c>
      <c r="AD43" s="15">
        <v>5.15021459227468</v>
      </c>
      <c r="AE43" s="15">
        <v>14.5631067961165</v>
      </c>
      <c r="AF43" s="15">
        <v>11.051930758988</v>
      </c>
      <c r="AG43" s="15">
        <v>5.5374592833876202</v>
      </c>
      <c r="AH43" s="15">
        <v>21.708185053380799</v>
      </c>
      <c r="AI43" s="26" t="s">
        <v>80</v>
      </c>
      <c r="AJ43" s="38"/>
    </row>
    <row r="44" spans="1:36">
      <c r="A44" s="9" t="s">
        <v>193</v>
      </c>
      <c r="B44" s="36">
        <v>9.3784669420420101</v>
      </c>
      <c r="C44" s="32">
        <v>9.9293494597654295</v>
      </c>
      <c r="D44" s="32">
        <v>9.0210181897435806</v>
      </c>
      <c r="E44" s="32">
        <v>10.0155545193604</v>
      </c>
      <c r="F44" s="15">
        <v>11.4754098360656</v>
      </c>
      <c r="G44" s="20" t="s">
        <v>80</v>
      </c>
      <c r="H44" s="15">
        <v>14.4578313253012</v>
      </c>
      <c r="I44" s="20" t="s">
        <v>80</v>
      </c>
      <c r="J44" s="15">
        <v>8.9285714285714306</v>
      </c>
      <c r="K44" s="15">
        <v>19.4444444444444</v>
      </c>
      <c r="L44" s="15">
        <v>11.6504854368932</v>
      </c>
      <c r="M44" s="15">
        <v>11.1111111111111</v>
      </c>
      <c r="N44" s="15">
        <v>8.4745762711864394</v>
      </c>
      <c r="O44" s="20" t="s">
        <v>80</v>
      </c>
      <c r="P44" s="15">
        <v>9.7560975609756095</v>
      </c>
      <c r="Q44" s="15">
        <v>7.9754601226993902</v>
      </c>
      <c r="R44" s="15">
        <v>13.636363636363599</v>
      </c>
      <c r="S44" s="15">
        <v>14.8648648648649</v>
      </c>
      <c r="T44" s="15">
        <v>15.2777777777778</v>
      </c>
      <c r="U44" s="15">
        <v>9.8360655737704903</v>
      </c>
      <c r="V44" s="15">
        <v>8.1081081081081106</v>
      </c>
      <c r="W44" s="15">
        <v>5.6818181818181799</v>
      </c>
      <c r="X44" s="15">
        <v>11.413043478260899</v>
      </c>
      <c r="Y44" s="15">
        <v>11.6129032258065</v>
      </c>
      <c r="Z44" s="15">
        <v>11.403508771929801</v>
      </c>
      <c r="AA44" s="32">
        <v>8.1941567754611206</v>
      </c>
      <c r="AB44" s="15">
        <v>7.7419354838709697</v>
      </c>
      <c r="AC44" s="15">
        <v>10.0946372239748</v>
      </c>
      <c r="AD44" s="15">
        <v>8.1545064377682408</v>
      </c>
      <c r="AE44" s="15">
        <v>9.0614886731391593</v>
      </c>
      <c r="AF44" s="15">
        <v>9.5872170439414095</v>
      </c>
      <c r="AG44" s="15">
        <v>7.4918566775244297</v>
      </c>
      <c r="AH44" s="15">
        <v>15.302491103202801</v>
      </c>
      <c r="AI44" s="26" t="s">
        <v>80</v>
      </c>
      <c r="AJ44" s="38"/>
    </row>
    <row r="45" spans="1:36">
      <c r="A45" s="9" t="s">
        <v>194</v>
      </c>
      <c r="B45" s="36">
        <v>1.14425758213735</v>
      </c>
      <c r="C45" s="32">
        <v>1.18989321757543</v>
      </c>
      <c r="D45" s="32">
        <v>1.0957597049596199</v>
      </c>
      <c r="E45" s="34" t="s">
        <v>80</v>
      </c>
      <c r="F45" s="20" t="s">
        <v>80</v>
      </c>
      <c r="G45" s="20" t="s">
        <v>80</v>
      </c>
      <c r="H45" s="20" t="s">
        <v>80</v>
      </c>
      <c r="I45" s="20" t="s">
        <v>80</v>
      </c>
      <c r="J45" s="20" t="s">
        <v>80</v>
      </c>
      <c r="K45" s="20" t="s">
        <v>80</v>
      </c>
      <c r="L45" s="20" t="s">
        <v>80</v>
      </c>
      <c r="M45" s="15">
        <v>7.4074074074074101</v>
      </c>
      <c r="N45" s="20" t="s">
        <v>80</v>
      </c>
      <c r="O45" s="20" t="s">
        <v>80</v>
      </c>
      <c r="P45" s="20" t="s">
        <v>80</v>
      </c>
      <c r="Q45" s="20" t="s">
        <v>80</v>
      </c>
      <c r="R45" s="20" t="s">
        <v>80</v>
      </c>
      <c r="S45" s="20" t="s">
        <v>80</v>
      </c>
      <c r="T45" s="20" t="s">
        <v>80</v>
      </c>
      <c r="U45" s="20" t="s">
        <v>80</v>
      </c>
      <c r="V45" s="20" t="s">
        <v>80</v>
      </c>
      <c r="W45" s="20" t="s">
        <v>80</v>
      </c>
      <c r="X45" s="20" t="s">
        <v>80</v>
      </c>
      <c r="Y45" s="20" t="s">
        <v>80</v>
      </c>
      <c r="Z45" s="20" t="s">
        <v>80</v>
      </c>
      <c r="AA45" s="32">
        <v>1.1767803076160801</v>
      </c>
      <c r="AB45" s="20" t="s">
        <v>80</v>
      </c>
      <c r="AC45" s="15">
        <v>5.6782334384858002</v>
      </c>
      <c r="AD45" s="20" t="s">
        <v>80</v>
      </c>
      <c r="AE45" s="20" t="s">
        <v>80</v>
      </c>
      <c r="AF45" s="15">
        <v>1.4647137150466001</v>
      </c>
      <c r="AG45" s="20" t="s">
        <v>80</v>
      </c>
      <c r="AH45" s="15">
        <v>2.4911032028469799</v>
      </c>
      <c r="AI45" s="26" t="s">
        <v>80</v>
      </c>
      <c r="AJ45" s="38"/>
    </row>
    <row r="46" spans="1:36">
      <c r="A46" s="9" t="s">
        <v>195</v>
      </c>
      <c r="B46" s="36">
        <v>1.6461325806109699</v>
      </c>
      <c r="C46" s="32">
        <v>1.6818185781747099</v>
      </c>
      <c r="D46" s="32">
        <v>2.15897374314968</v>
      </c>
      <c r="E46" s="32">
        <v>3.2886048318312202</v>
      </c>
      <c r="F46" s="15">
        <v>4.9180327868852496</v>
      </c>
      <c r="G46" s="20" t="s">
        <v>80</v>
      </c>
      <c r="H46" s="15">
        <v>10.8433734939759</v>
      </c>
      <c r="I46" s="20" t="s">
        <v>80</v>
      </c>
      <c r="J46" s="20" t="s">
        <v>80</v>
      </c>
      <c r="K46" s="20" t="s">
        <v>80</v>
      </c>
      <c r="L46" s="15">
        <v>6.7961165048543704</v>
      </c>
      <c r="M46" s="15">
        <v>6.1728395061728403</v>
      </c>
      <c r="N46" s="20" t="s">
        <v>80</v>
      </c>
      <c r="O46" s="20" t="s">
        <v>80</v>
      </c>
      <c r="P46" s="20" t="s">
        <v>80</v>
      </c>
      <c r="Q46" s="20" t="s">
        <v>80</v>
      </c>
      <c r="R46" s="20" t="s">
        <v>80</v>
      </c>
      <c r="S46" s="20" t="s">
        <v>80</v>
      </c>
      <c r="T46" s="15">
        <v>12.5</v>
      </c>
      <c r="U46" s="20" t="s">
        <v>80</v>
      </c>
      <c r="V46" s="20" t="s">
        <v>80</v>
      </c>
      <c r="W46" s="20" t="s">
        <v>80</v>
      </c>
      <c r="X46" s="15">
        <v>3.2608695652173898</v>
      </c>
      <c r="Y46" s="20" t="s">
        <v>80</v>
      </c>
      <c r="Z46" s="20" t="s">
        <v>80</v>
      </c>
      <c r="AA46" s="32">
        <v>1.21979401508028</v>
      </c>
      <c r="AB46" s="20" t="s">
        <v>80</v>
      </c>
      <c r="AC46" s="15">
        <v>2.20820189274448</v>
      </c>
      <c r="AD46" s="20" t="s">
        <v>80</v>
      </c>
      <c r="AE46" s="15">
        <v>1.94174757281553</v>
      </c>
      <c r="AF46" s="15">
        <v>1.73102529960053</v>
      </c>
      <c r="AG46" s="20" t="s">
        <v>80</v>
      </c>
      <c r="AH46" s="15">
        <v>2.8469750889679699</v>
      </c>
      <c r="AI46" s="26" t="s">
        <v>80</v>
      </c>
      <c r="AJ46" s="38"/>
    </row>
    <row r="47" spans="1:36">
      <c r="A47" s="9" t="s">
        <v>196</v>
      </c>
      <c r="B47" s="36">
        <v>1.1547718029535099</v>
      </c>
      <c r="C47" s="32">
        <v>1.18623984423218</v>
      </c>
      <c r="D47" s="32">
        <v>1.19957187749632</v>
      </c>
      <c r="E47" s="32">
        <v>1.2568245535101801</v>
      </c>
      <c r="F47" s="20" t="s">
        <v>80</v>
      </c>
      <c r="G47" s="20" t="s">
        <v>80</v>
      </c>
      <c r="H47" s="20" t="s">
        <v>80</v>
      </c>
      <c r="I47" s="20" t="s">
        <v>80</v>
      </c>
      <c r="J47" s="20" t="s">
        <v>80</v>
      </c>
      <c r="K47" s="20" t="s">
        <v>80</v>
      </c>
      <c r="L47" s="15">
        <v>4.8543689320388301</v>
      </c>
      <c r="M47" s="20" t="s">
        <v>80</v>
      </c>
      <c r="N47" s="20" t="s">
        <v>80</v>
      </c>
      <c r="O47" s="20" t="s">
        <v>80</v>
      </c>
      <c r="P47" s="20" t="s">
        <v>80</v>
      </c>
      <c r="Q47" s="20" t="s">
        <v>80</v>
      </c>
      <c r="R47" s="20" t="s">
        <v>80</v>
      </c>
      <c r="S47" s="20" t="s">
        <v>80</v>
      </c>
      <c r="T47" s="20" t="s">
        <v>80</v>
      </c>
      <c r="U47" s="20" t="s">
        <v>80</v>
      </c>
      <c r="V47" s="20" t="s">
        <v>80</v>
      </c>
      <c r="W47" s="20" t="s">
        <v>80</v>
      </c>
      <c r="X47" s="20" t="s">
        <v>80</v>
      </c>
      <c r="Y47" s="20" t="s">
        <v>80</v>
      </c>
      <c r="Z47" s="20" t="s">
        <v>80</v>
      </c>
      <c r="AA47" s="32">
        <v>1.1519717775799001</v>
      </c>
      <c r="AB47" s="20" t="s">
        <v>80</v>
      </c>
      <c r="AC47" s="15">
        <v>3.47003154574133</v>
      </c>
      <c r="AD47" s="20" t="s">
        <v>80</v>
      </c>
      <c r="AE47" s="20" t="s">
        <v>80</v>
      </c>
      <c r="AF47" s="15">
        <v>1.06524633821571</v>
      </c>
      <c r="AG47" s="20" t="s">
        <v>80</v>
      </c>
      <c r="AH47" s="15">
        <v>2.4911032028469799</v>
      </c>
      <c r="AI47" s="26" t="s">
        <v>80</v>
      </c>
      <c r="AJ47" s="38"/>
    </row>
    <row r="48" spans="1:36">
      <c r="A48" s="9" t="s">
        <v>197</v>
      </c>
      <c r="B48" s="36">
        <v>1.3297298045799599</v>
      </c>
      <c r="C48" s="32">
        <v>1.32074886064129</v>
      </c>
      <c r="D48" s="32">
        <v>1.28332510094611</v>
      </c>
      <c r="E48" s="32">
        <v>1.57554998990533</v>
      </c>
      <c r="F48" s="20" t="s">
        <v>80</v>
      </c>
      <c r="G48" s="20" t="s">
        <v>80</v>
      </c>
      <c r="H48" s="20" t="s">
        <v>80</v>
      </c>
      <c r="I48" s="20" t="s">
        <v>80</v>
      </c>
      <c r="J48" s="20" t="s">
        <v>80</v>
      </c>
      <c r="K48" s="20" t="s">
        <v>80</v>
      </c>
      <c r="L48" s="20" t="s">
        <v>80</v>
      </c>
      <c r="M48" s="20" t="s">
        <v>80</v>
      </c>
      <c r="N48" s="20" t="s">
        <v>80</v>
      </c>
      <c r="O48" s="20" t="s">
        <v>80</v>
      </c>
      <c r="P48" s="20" t="s">
        <v>80</v>
      </c>
      <c r="Q48" s="20" t="s">
        <v>80</v>
      </c>
      <c r="R48" s="20" t="s">
        <v>80</v>
      </c>
      <c r="S48" s="20" t="s">
        <v>80</v>
      </c>
      <c r="T48" s="20" t="s">
        <v>80</v>
      </c>
      <c r="U48" s="20" t="s">
        <v>80</v>
      </c>
      <c r="V48" s="20" t="s">
        <v>80</v>
      </c>
      <c r="W48" s="20" t="s">
        <v>80</v>
      </c>
      <c r="X48" s="20" t="s">
        <v>80</v>
      </c>
      <c r="Y48" s="15">
        <v>5.8064516129032304</v>
      </c>
      <c r="Z48" s="20" t="s">
        <v>80</v>
      </c>
      <c r="AA48" s="32">
        <v>1.04036817943631</v>
      </c>
      <c r="AB48" s="20" t="s">
        <v>80</v>
      </c>
      <c r="AC48" s="15">
        <v>1.8927444794952699</v>
      </c>
      <c r="AD48" s="20" t="s">
        <v>80</v>
      </c>
      <c r="AE48" s="20" t="s">
        <v>80</v>
      </c>
      <c r="AF48" s="15">
        <v>3.3288948069241</v>
      </c>
      <c r="AG48" s="20" t="s">
        <v>80</v>
      </c>
      <c r="AH48" s="15">
        <v>2.1352313167259802</v>
      </c>
      <c r="AI48" s="26" t="s">
        <v>80</v>
      </c>
      <c r="AJ48" s="38"/>
    </row>
    <row r="49" spans="1:36">
      <c r="A49" s="9" t="s">
        <v>198</v>
      </c>
      <c r="B49" s="36">
        <v>2.0571930750704599</v>
      </c>
      <c r="C49" s="32">
        <v>3.7169524439339501</v>
      </c>
      <c r="D49" s="32">
        <v>3.7431011595613901</v>
      </c>
      <c r="E49" s="32">
        <v>4.2567100556914097</v>
      </c>
      <c r="F49" s="15">
        <v>16.393442622950801</v>
      </c>
      <c r="G49" s="20" t="s">
        <v>80</v>
      </c>
      <c r="H49" s="20" t="s">
        <v>80</v>
      </c>
      <c r="I49" s="20" t="s">
        <v>80</v>
      </c>
      <c r="J49" s="20" t="s">
        <v>80</v>
      </c>
      <c r="K49" s="20" t="s">
        <v>80</v>
      </c>
      <c r="L49" s="15">
        <v>18.446601941747598</v>
      </c>
      <c r="M49" s="15">
        <v>16.049382716049401</v>
      </c>
      <c r="N49" s="20" t="s">
        <v>80</v>
      </c>
      <c r="O49" s="20" t="s">
        <v>80</v>
      </c>
      <c r="P49" s="15">
        <v>12.1951219512195</v>
      </c>
      <c r="Q49" s="20" t="s">
        <v>80</v>
      </c>
      <c r="R49" s="20" t="s">
        <v>80</v>
      </c>
      <c r="S49" s="20" t="s">
        <v>80</v>
      </c>
      <c r="T49" s="20" t="s">
        <v>80</v>
      </c>
      <c r="U49" s="20" t="s">
        <v>80</v>
      </c>
      <c r="V49" s="20" t="s">
        <v>80</v>
      </c>
      <c r="W49" s="20" t="s">
        <v>80</v>
      </c>
      <c r="X49" s="15">
        <v>3.8043478260869601</v>
      </c>
      <c r="Y49" s="15">
        <v>3.87096774193548</v>
      </c>
      <c r="Z49" s="20" t="s">
        <v>80</v>
      </c>
      <c r="AA49" s="32">
        <v>3.3160847041587602</v>
      </c>
      <c r="AB49" s="20" t="s">
        <v>80</v>
      </c>
      <c r="AC49" s="15">
        <v>9.1482649842271293</v>
      </c>
      <c r="AD49" s="15">
        <v>2.1459227467811202</v>
      </c>
      <c r="AE49" s="15">
        <v>3.2362459546925599</v>
      </c>
      <c r="AF49" s="15">
        <v>5.05992010652463</v>
      </c>
      <c r="AG49" s="15">
        <v>2.6058631921824098</v>
      </c>
      <c r="AH49" s="15">
        <v>14.5907473309609</v>
      </c>
      <c r="AI49" s="26" t="s">
        <v>80</v>
      </c>
      <c r="AJ49" s="38"/>
    </row>
    <row r="50" spans="1:36">
      <c r="A50" s="9" t="s">
        <v>199</v>
      </c>
      <c r="B50" s="36">
        <v>19.057013844204398</v>
      </c>
      <c r="C50" s="32">
        <v>19.6136806211825</v>
      </c>
      <c r="D50" s="32">
        <v>18.847133040367002</v>
      </c>
      <c r="E50" s="32">
        <v>24.9264090032006</v>
      </c>
      <c r="F50" s="15">
        <v>40.163934426229503</v>
      </c>
      <c r="G50" s="15">
        <v>38.983050847457598</v>
      </c>
      <c r="H50" s="15">
        <v>22.891566265060199</v>
      </c>
      <c r="I50" s="15">
        <v>32.2222222222222</v>
      </c>
      <c r="J50" s="15">
        <v>19.6428571428571</v>
      </c>
      <c r="K50" s="15">
        <v>36.1111111111111</v>
      </c>
      <c r="L50" s="15">
        <v>40.776699029126199</v>
      </c>
      <c r="M50" s="15">
        <v>51.851851851851798</v>
      </c>
      <c r="N50" s="15">
        <v>18.644067796610202</v>
      </c>
      <c r="O50" s="15">
        <v>28.0701754385965</v>
      </c>
      <c r="P50" s="15">
        <v>32.9268292682927</v>
      </c>
      <c r="Q50" s="15">
        <v>21.472392638036801</v>
      </c>
      <c r="R50" s="15">
        <v>34.090909090909101</v>
      </c>
      <c r="S50" s="15">
        <v>18.918918918918902</v>
      </c>
      <c r="T50" s="15">
        <v>9.7222222222222197</v>
      </c>
      <c r="U50" s="15">
        <v>9.0163934426229506</v>
      </c>
      <c r="V50" s="15">
        <v>37.837837837837803</v>
      </c>
      <c r="W50" s="15">
        <v>22.727272727272702</v>
      </c>
      <c r="X50" s="15">
        <v>36.956521739130402</v>
      </c>
      <c r="Y50" s="15">
        <v>30.322580645161299</v>
      </c>
      <c r="Z50" s="15">
        <v>28.0701754385965</v>
      </c>
      <c r="AA50" s="32">
        <v>13.7927991052973</v>
      </c>
      <c r="AB50" s="15">
        <v>12.258064516129</v>
      </c>
      <c r="AC50" s="15">
        <v>27.760252365930601</v>
      </c>
      <c r="AD50" s="15">
        <v>8.1545064377682408</v>
      </c>
      <c r="AE50" s="15">
        <v>11.326860841423899</v>
      </c>
      <c r="AF50" s="15">
        <v>20.3728362183755</v>
      </c>
      <c r="AG50" s="15">
        <v>7.4918566775244297</v>
      </c>
      <c r="AH50" s="15">
        <v>24.911032028469801</v>
      </c>
      <c r="AI50" s="26" t="s">
        <v>80</v>
      </c>
      <c r="AJ50" s="38"/>
    </row>
    <row r="51" spans="1:36">
      <c r="A51" s="9" t="s">
        <v>200</v>
      </c>
      <c r="B51" s="36">
        <v>3.2453803719383001</v>
      </c>
      <c r="C51" s="32">
        <v>2.9749820012858499</v>
      </c>
      <c r="D51" s="32">
        <v>3.63453434345181</v>
      </c>
      <c r="E51" s="32">
        <v>2.67372253302063</v>
      </c>
      <c r="F51" s="20" t="s">
        <v>80</v>
      </c>
      <c r="G51" s="20" t="s">
        <v>80</v>
      </c>
      <c r="H51" s="20" t="s">
        <v>80</v>
      </c>
      <c r="I51" s="20" t="s">
        <v>80</v>
      </c>
      <c r="J51" s="20" t="s">
        <v>80</v>
      </c>
      <c r="K51" s="20" t="s">
        <v>80</v>
      </c>
      <c r="L51" s="15">
        <v>4.8543689320388301</v>
      </c>
      <c r="M51" s="15">
        <v>6.1728395061728403</v>
      </c>
      <c r="N51" s="20" t="s">
        <v>80</v>
      </c>
      <c r="O51" s="20" t="s">
        <v>80</v>
      </c>
      <c r="P51" s="20" t="s">
        <v>80</v>
      </c>
      <c r="Q51" s="20" t="s">
        <v>80</v>
      </c>
      <c r="R51" s="20" t="s">
        <v>80</v>
      </c>
      <c r="S51" s="20" t="s">
        <v>80</v>
      </c>
      <c r="T51" s="15">
        <v>6.9444444444444402</v>
      </c>
      <c r="U51" s="20" t="s">
        <v>80</v>
      </c>
      <c r="V51" s="20" t="s">
        <v>80</v>
      </c>
      <c r="W51" s="20" t="s">
        <v>80</v>
      </c>
      <c r="X51" s="20" t="s">
        <v>80</v>
      </c>
      <c r="Y51" s="15">
        <v>3.2258064516128999</v>
      </c>
      <c r="Z51" s="20" t="s">
        <v>80</v>
      </c>
      <c r="AA51" s="32">
        <v>4.4333570599015104</v>
      </c>
      <c r="AB51" s="15">
        <v>3.87096774193548</v>
      </c>
      <c r="AC51" s="15">
        <v>2.20820189274448</v>
      </c>
      <c r="AD51" s="15">
        <v>2.57510729613734</v>
      </c>
      <c r="AE51" s="15">
        <v>4.2071197411003203</v>
      </c>
      <c r="AF51" s="15">
        <v>4.92676431424767</v>
      </c>
      <c r="AG51" s="15">
        <v>2.6058631921824098</v>
      </c>
      <c r="AH51" s="20" t="s">
        <v>80</v>
      </c>
      <c r="AI51" s="26" t="s">
        <v>80</v>
      </c>
      <c r="AJ51" s="38"/>
    </row>
    <row r="52" spans="1:36">
      <c r="A52" s="9" t="s">
        <v>201</v>
      </c>
      <c r="B52" s="36">
        <v>2.1709497229103798</v>
      </c>
      <c r="C52" s="32">
        <v>2.2056477513734198</v>
      </c>
      <c r="D52" s="32">
        <v>2.19065356903169</v>
      </c>
      <c r="E52" s="32">
        <v>2.0871365688942398</v>
      </c>
      <c r="F52" s="20" t="s">
        <v>80</v>
      </c>
      <c r="G52" s="20" t="s">
        <v>80</v>
      </c>
      <c r="H52" s="20" t="s">
        <v>80</v>
      </c>
      <c r="I52" s="20" t="s">
        <v>80</v>
      </c>
      <c r="J52" s="20" t="s">
        <v>80</v>
      </c>
      <c r="K52" s="20" t="s">
        <v>80</v>
      </c>
      <c r="L52" s="20" t="s">
        <v>80</v>
      </c>
      <c r="M52" s="20" t="s">
        <v>80</v>
      </c>
      <c r="N52" s="20" t="s">
        <v>80</v>
      </c>
      <c r="O52" s="20" t="s">
        <v>80</v>
      </c>
      <c r="P52" s="20" t="s">
        <v>80</v>
      </c>
      <c r="Q52" s="20" t="s">
        <v>80</v>
      </c>
      <c r="R52" s="20" t="s">
        <v>80</v>
      </c>
      <c r="S52" s="20" t="s">
        <v>80</v>
      </c>
      <c r="T52" s="20" t="s">
        <v>80</v>
      </c>
      <c r="U52" s="20" t="s">
        <v>80</v>
      </c>
      <c r="V52" s="20" t="s">
        <v>80</v>
      </c>
      <c r="W52" s="20" t="s">
        <v>80</v>
      </c>
      <c r="X52" s="20" t="s">
        <v>80</v>
      </c>
      <c r="Y52" s="15">
        <v>3.87096774193548</v>
      </c>
      <c r="Z52" s="20" t="s">
        <v>80</v>
      </c>
      <c r="AA52" s="32">
        <v>2.2767180099042599</v>
      </c>
      <c r="AB52" s="15">
        <v>5.8064516129032304</v>
      </c>
      <c r="AC52" s="20" t="s">
        <v>80</v>
      </c>
      <c r="AD52" s="20" t="s">
        <v>80</v>
      </c>
      <c r="AE52" s="15">
        <v>1.94174757281553</v>
      </c>
      <c r="AF52" s="15">
        <v>1.9973368841544601</v>
      </c>
      <c r="AG52" s="20" t="s">
        <v>80</v>
      </c>
      <c r="AH52" s="15">
        <v>4.2704626334519604</v>
      </c>
      <c r="AI52" s="26" t="s">
        <v>80</v>
      </c>
      <c r="AJ52" s="38"/>
    </row>
    <row r="53" spans="1:36">
      <c r="A53" s="9" t="s">
        <v>202</v>
      </c>
      <c r="B53" s="36">
        <v>5.6523380700152401</v>
      </c>
      <c r="C53" s="32">
        <v>5.1969807139321196</v>
      </c>
      <c r="D53" s="32">
        <v>5.4373510865503301</v>
      </c>
      <c r="E53" s="32">
        <v>6.1165907347495301</v>
      </c>
      <c r="F53" s="15">
        <v>14.7540983606557</v>
      </c>
      <c r="G53" s="15">
        <v>8.4745762711864394</v>
      </c>
      <c r="H53" s="20" t="s">
        <v>80</v>
      </c>
      <c r="I53" s="15">
        <v>5.5555555555555598</v>
      </c>
      <c r="J53" s="20" t="s">
        <v>80</v>
      </c>
      <c r="K53" s="20" t="s">
        <v>80</v>
      </c>
      <c r="L53" s="15">
        <v>20.3883495145631</v>
      </c>
      <c r="M53" s="15">
        <v>14.814814814814801</v>
      </c>
      <c r="N53" s="20" t="s">
        <v>80</v>
      </c>
      <c r="O53" s="20" t="s">
        <v>80</v>
      </c>
      <c r="P53" s="15">
        <v>10.975609756097599</v>
      </c>
      <c r="Q53" s="20" t="s">
        <v>80</v>
      </c>
      <c r="R53" s="15">
        <v>10.2272727272727</v>
      </c>
      <c r="S53" s="15">
        <v>6.7567567567567597</v>
      </c>
      <c r="T53" s="20" t="s">
        <v>80</v>
      </c>
      <c r="U53" s="20" t="s">
        <v>80</v>
      </c>
      <c r="V53" s="15">
        <v>6.7567567567567597</v>
      </c>
      <c r="W53" s="15">
        <v>7.9545454545454497</v>
      </c>
      <c r="X53" s="15">
        <v>5.4347826086956497</v>
      </c>
      <c r="Y53" s="15">
        <v>12.258064516129</v>
      </c>
      <c r="Z53" s="20" t="s">
        <v>80</v>
      </c>
      <c r="AA53" s="32">
        <v>4.8726285727301404</v>
      </c>
      <c r="AB53" s="20" t="s">
        <v>80</v>
      </c>
      <c r="AC53" s="15">
        <v>8.8328075709779199</v>
      </c>
      <c r="AD53" s="15">
        <v>3.0042918454935599</v>
      </c>
      <c r="AE53" s="15">
        <v>3.8834951456310698</v>
      </c>
      <c r="AF53" s="15">
        <v>9.0545938748335608</v>
      </c>
      <c r="AG53" s="15">
        <v>2.9315960912052099</v>
      </c>
      <c r="AH53" s="15">
        <v>7.8291814946619196</v>
      </c>
      <c r="AI53" s="26" t="s">
        <v>80</v>
      </c>
      <c r="AJ53" s="38"/>
    </row>
    <row r="54" spans="1:36">
      <c r="A54" s="9" t="s">
        <v>203</v>
      </c>
      <c r="B54" s="36">
        <v>3.5753889155289502</v>
      </c>
      <c r="C54" s="32">
        <v>3.3707402013005501</v>
      </c>
      <c r="D54" s="32">
        <v>2.8641299218256999</v>
      </c>
      <c r="E54" s="32">
        <v>3.80792654819076</v>
      </c>
      <c r="F54" s="15">
        <v>8.1967213114754092</v>
      </c>
      <c r="G54" s="20" t="s">
        <v>80</v>
      </c>
      <c r="H54" s="15">
        <v>9.6385542168674707</v>
      </c>
      <c r="I54" s="20" t="s">
        <v>80</v>
      </c>
      <c r="J54" s="20" t="s">
        <v>80</v>
      </c>
      <c r="K54" s="20" t="s">
        <v>80</v>
      </c>
      <c r="L54" s="20" t="s">
        <v>80</v>
      </c>
      <c r="M54" s="15">
        <v>6.1728395061728403</v>
      </c>
      <c r="N54" s="20" t="s">
        <v>80</v>
      </c>
      <c r="O54" s="15">
        <v>8.7719298245614006</v>
      </c>
      <c r="P54" s="15">
        <v>8.5365853658536608</v>
      </c>
      <c r="Q54" s="20" t="s">
        <v>80</v>
      </c>
      <c r="R54" s="20" t="s">
        <v>80</v>
      </c>
      <c r="S54" s="20" t="s">
        <v>80</v>
      </c>
      <c r="T54" s="20" t="s">
        <v>80</v>
      </c>
      <c r="U54" s="20" t="s">
        <v>80</v>
      </c>
      <c r="V54" s="20" t="s">
        <v>80</v>
      </c>
      <c r="W54" s="20" t="s">
        <v>80</v>
      </c>
      <c r="X54" s="15">
        <v>5.4347826086956497</v>
      </c>
      <c r="Y54" s="20" t="s">
        <v>80</v>
      </c>
      <c r="Z54" s="20" t="s">
        <v>80</v>
      </c>
      <c r="AA54" s="32">
        <v>2.0794536963006802</v>
      </c>
      <c r="AB54" s="15">
        <v>3.2258064516128999</v>
      </c>
      <c r="AC54" s="15">
        <v>2.8391167192429001</v>
      </c>
      <c r="AD54" s="20" t="s">
        <v>80</v>
      </c>
      <c r="AE54" s="15">
        <v>2.5889967637540501</v>
      </c>
      <c r="AF54" s="15">
        <v>1.9973368841544601</v>
      </c>
      <c r="AG54" s="20" t="s">
        <v>80</v>
      </c>
      <c r="AH54" s="15">
        <v>3.2028469750889701</v>
      </c>
      <c r="AI54" s="26" t="s">
        <v>80</v>
      </c>
      <c r="AJ54" s="38"/>
    </row>
    <row r="55" spans="1:36">
      <c r="A55" s="9" t="s">
        <v>204</v>
      </c>
      <c r="B55" s="36">
        <v>1.2495533652047699</v>
      </c>
      <c r="C55" s="32">
        <v>1.4526856853819301</v>
      </c>
      <c r="D55" s="32">
        <v>1.3521840330252799</v>
      </c>
      <c r="E55" s="32">
        <v>1.6103130954943401</v>
      </c>
      <c r="F55" s="20" t="s">
        <v>80</v>
      </c>
      <c r="G55" s="20" t="s">
        <v>80</v>
      </c>
      <c r="H55" s="20" t="s">
        <v>80</v>
      </c>
      <c r="I55" s="20" t="s">
        <v>80</v>
      </c>
      <c r="J55" s="20" t="s">
        <v>80</v>
      </c>
      <c r="K55" s="20" t="s">
        <v>80</v>
      </c>
      <c r="L55" s="20" t="s">
        <v>80</v>
      </c>
      <c r="M55" s="20" t="s">
        <v>80</v>
      </c>
      <c r="N55" s="20" t="s">
        <v>80</v>
      </c>
      <c r="O55" s="20" t="s">
        <v>80</v>
      </c>
      <c r="P55" s="20" t="s">
        <v>80</v>
      </c>
      <c r="Q55" s="20" t="s">
        <v>80</v>
      </c>
      <c r="R55" s="20" t="s">
        <v>80</v>
      </c>
      <c r="S55" s="20" t="s">
        <v>80</v>
      </c>
      <c r="T55" s="20" t="s">
        <v>80</v>
      </c>
      <c r="U55" s="20" t="s">
        <v>80</v>
      </c>
      <c r="V55" s="20" t="s">
        <v>80</v>
      </c>
      <c r="W55" s="15">
        <v>11.363636363636401</v>
      </c>
      <c r="X55" s="15">
        <v>3.8043478260869601</v>
      </c>
      <c r="Y55" s="20" t="s">
        <v>80</v>
      </c>
      <c r="Z55" s="20" t="s">
        <v>80</v>
      </c>
      <c r="AA55" s="32">
        <v>1.13757451570095</v>
      </c>
      <c r="AB55" s="20" t="s">
        <v>80</v>
      </c>
      <c r="AC55" s="15">
        <v>3.7854889589905398</v>
      </c>
      <c r="AD55" s="20" t="s">
        <v>80</v>
      </c>
      <c r="AE55" s="15">
        <v>1.61812297734628</v>
      </c>
      <c r="AF55" s="15">
        <v>1.4647137150466001</v>
      </c>
      <c r="AG55" s="20" t="s">
        <v>80</v>
      </c>
      <c r="AH55" s="15">
        <v>2.8469750889679699</v>
      </c>
      <c r="AI55" s="26" t="s">
        <v>80</v>
      </c>
      <c r="AJ55" s="38"/>
    </row>
    <row r="56" spans="1:36">
      <c r="A56" s="9" t="s">
        <v>205</v>
      </c>
      <c r="B56" s="36">
        <v>1.4857600982311501</v>
      </c>
      <c r="C56" s="32">
        <v>1.3351085047777</v>
      </c>
      <c r="D56" s="32">
        <v>1.2474898021474099</v>
      </c>
      <c r="E56" s="32">
        <v>1.33031418015613</v>
      </c>
      <c r="F56" s="20" t="s">
        <v>80</v>
      </c>
      <c r="G56" s="20" t="s">
        <v>80</v>
      </c>
      <c r="H56" s="20" t="s">
        <v>80</v>
      </c>
      <c r="I56" s="20" t="s">
        <v>80</v>
      </c>
      <c r="J56" s="20" t="s">
        <v>80</v>
      </c>
      <c r="K56" s="20" t="s">
        <v>80</v>
      </c>
      <c r="L56" s="20" t="s">
        <v>80</v>
      </c>
      <c r="M56" s="20" t="s">
        <v>80</v>
      </c>
      <c r="N56" s="20" t="s">
        <v>80</v>
      </c>
      <c r="O56" s="20" t="s">
        <v>80</v>
      </c>
      <c r="P56" s="20" t="s">
        <v>80</v>
      </c>
      <c r="Q56" s="20" t="s">
        <v>80</v>
      </c>
      <c r="R56" s="20" t="s">
        <v>80</v>
      </c>
      <c r="S56" s="20" t="s">
        <v>80</v>
      </c>
      <c r="T56" s="15">
        <v>6.9444444444444402</v>
      </c>
      <c r="U56" s="20" t="s">
        <v>80</v>
      </c>
      <c r="V56" s="20" t="s">
        <v>80</v>
      </c>
      <c r="W56" s="20" t="s">
        <v>80</v>
      </c>
      <c r="X56" s="20" t="s">
        <v>80</v>
      </c>
      <c r="Y56" s="20" t="s">
        <v>80</v>
      </c>
      <c r="Z56" s="20" t="s">
        <v>80</v>
      </c>
      <c r="AA56" s="32">
        <v>1.17862928866195</v>
      </c>
      <c r="AB56" s="20" t="s">
        <v>80</v>
      </c>
      <c r="AC56" s="15">
        <v>1.5772870662460601</v>
      </c>
      <c r="AD56" s="15">
        <v>2.57510729613734</v>
      </c>
      <c r="AE56" s="20" t="s">
        <v>80</v>
      </c>
      <c r="AF56" s="15">
        <v>1.3315579227696399</v>
      </c>
      <c r="AG56" s="20" t="s">
        <v>80</v>
      </c>
      <c r="AH56" s="20" t="s">
        <v>80</v>
      </c>
      <c r="AI56" s="26" t="s">
        <v>80</v>
      </c>
      <c r="AJ56" s="38"/>
    </row>
    <row r="57" spans="1:36">
      <c r="A57" s="9" t="s">
        <v>206</v>
      </c>
      <c r="B57" s="36">
        <v>1.93464618753541</v>
      </c>
      <c r="C57" s="32">
        <v>1.8981811633529799</v>
      </c>
      <c r="D57" s="32">
        <v>1.85854492095695</v>
      </c>
      <c r="E57" s="32">
        <v>2.1891303484388098</v>
      </c>
      <c r="F57" s="20" t="s">
        <v>80</v>
      </c>
      <c r="G57" s="20" t="s">
        <v>80</v>
      </c>
      <c r="H57" s="20" t="s">
        <v>80</v>
      </c>
      <c r="I57" s="20" t="s">
        <v>80</v>
      </c>
      <c r="J57" s="20" t="s">
        <v>80</v>
      </c>
      <c r="K57" s="20" t="s">
        <v>80</v>
      </c>
      <c r="L57" s="20" t="s">
        <v>80</v>
      </c>
      <c r="M57" s="20" t="s">
        <v>80</v>
      </c>
      <c r="N57" s="20" t="s">
        <v>80</v>
      </c>
      <c r="O57" s="20" t="s">
        <v>80</v>
      </c>
      <c r="P57" s="20" t="s">
        <v>80</v>
      </c>
      <c r="Q57" s="20" t="s">
        <v>80</v>
      </c>
      <c r="R57" s="20" t="s">
        <v>80</v>
      </c>
      <c r="S57" s="20" t="s">
        <v>80</v>
      </c>
      <c r="T57" s="20" t="s">
        <v>80</v>
      </c>
      <c r="U57" s="20" t="s">
        <v>80</v>
      </c>
      <c r="V57" s="20" t="s">
        <v>80</v>
      </c>
      <c r="W57" s="20" t="s">
        <v>80</v>
      </c>
      <c r="X57" s="15">
        <v>3.2608695652173898</v>
      </c>
      <c r="Y57" s="15">
        <v>4.5161290322580596</v>
      </c>
      <c r="Z57" s="20" t="s">
        <v>80</v>
      </c>
      <c r="AA57" s="32">
        <v>1.58369489691193</v>
      </c>
      <c r="AB57" s="20" t="s">
        <v>80</v>
      </c>
      <c r="AC57" s="15">
        <v>3.1545741324921099</v>
      </c>
      <c r="AD57" s="20" t="s">
        <v>80</v>
      </c>
      <c r="AE57" s="15">
        <v>1.94174757281553</v>
      </c>
      <c r="AF57" s="15">
        <v>2.2636484687083902</v>
      </c>
      <c r="AG57" s="15">
        <v>1.95439739413681</v>
      </c>
      <c r="AH57" s="15">
        <v>3.5587188612099601</v>
      </c>
      <c r="AI57" s="26" t="s">
        <v>80</v>
      </c>
      <c r="AJ57" s="38"/>
    </row>
    <row r="58" spans="1:36">
      <c r="A58" s="9" t="s">
        <v>207</v>
      </c>
      <c r="B58" s="36">
        <v>3.40924805856416</v>
      </c>
      <c r="C58" s="32">
        <v>3.70540195502404</v>
      </c>
      <c r="D58" s="32">
        <v>3.18397842701029</v>
      </c>
      <c r="E58" s="32">
        <v>2.4224362099391699</v>
      </c>
      <c r="F58" s="20" t="s">
        <v>80</v>
      </c>
      <c r="G58" s="20" t="s">
        <v>80</v>
      </c>
      <c r="H58" s="20" t="s">
        <v>80</v>
      </c>
      <c r="I58" s="20" t="s">
        <v>80</v>
      </c>
      <c r="J58" s="20" t="s">
        <v>80</v>
      </c>
      <c r="K58" s="20" t="s">
        <v>80</v>
      </c>
      <c r="L58" s="15">
        <v>5.8252427184466002</v>
      </c>
      <c r="M58" s="20" t="s">
        <v>80</v>
      </c>
      <c r="N58" s="20" t="s">
        <v>80</v>
      </c>
      <c r="O58" s="20" t="s">
        <v>80</v>
      </c>
      <c r="P58" s="20" t="s">
        <v>80</v>
      </c>
      <c r="Q58" s="20" t="s">
        <v>80</v>
      </c>
      <c r="R58" s="15">
        <v>5.6818181818181799</v>
      </c>
      <c r="S58" s="20" t="s">
        <v>80</v>
      </c>
      <c r="T58" s="20" t="s">
        <v>80</v>
      </c>
      <c r="U58" s="20" t="s">
        <v>80</v>
      </c>
      <c r="V58" s="20" t="s">
        <v>80</v>
      </c>
      <c r="W58" s="20" t="s">
        <v>80</v>
      </c>
      <c r="X58" s="15">
        <v>5.9782608695652204</v>
      </c>
      <c r="Y58" s="15">
        <v>3.2258064516128999</v>
      </c>
      <c r="Z58" s="20" t="s">
        <v>80</v>
      </c>
      <c r="AA58" s="32">
        <v>3.8171276201482098</v>
      </c>
      <c r="AB58" s="15">
        <v>3.2258064516128999</v>
      </c>
      <c r="AC58" s="15">
        <v>4.41640378548896</v>
      </c>
      <c r="AD58" s="15">
        <v>4.72103004291845</v>
      </c>
      <c r="AE58" s="15">
        <v>1.94174757281553</v>
      </c>
      <c r="AF58" s="15">
        <v>3.9946737683089202</v>
      </c>
      <c r="AG58" s="15">
        <v>2.2801302931596101</v>
      </c>
      <c r="AH58" s="15">
        <v>6.7615658362989297</v>
      </c>
      <c r="AI58" s="26" t="s">
        <v>80</v>
      </c>
      <c r="AJ58" s="38"/>
    </row>
    <row r="59" spans="1:36">
      <c r="A59" s="9" t="s">
        <v>208</v>
      </c>
      <c r="B59" s="36">
        <v>0.33741277691758897</v>
      </c>
      <c r="C59" s="32">
        <v>0.25973849335280202</v>
      </c>
      <c r="D59" s="34" t="s">
        <v>80</v>
      </c>
      <c r="E59" s="34" t="s">
        <v>80</v>
      </c>
      <c r="F59" s="20" t="s">
        <v>80</v>
      </c>
      <c r="G59" s="20" t="s">
        <v>80</v>
      </c>
      <c r="H59" s="20" t="s">
        <v>80</v>
      </c>
      <c r="I59" s="20" t="s">
        <v>80</v>
      </c>
      <c r="J59" s="20" t="s">
        <v>80</v>
      </c>
      <c r="K59" s="20" t="s">
        <v>80</v>
      </c>
      <c r="L59" s="20" t="s">
        <v>80</v>
      </c>
      <c r="M59" s="20" t="s">
        <v>80</v>
      </c>
      <c r="N59" s="20" t="s">
        <v>80</v>
      </c>
      <c r="O59" s="20" t="s">
        <v>80</v>
      </c>
      <c r="P59" s="20" t="s">
        <v>80</v>
      </c>
      <c r="Q59" s="20" t="s">
        <v>80</v>
      </c>
      <c r="R59" s="20" t="s">
        <v>80</v>
      </c>
      <c r="S59" s="20" t="s">
        <v>80</v>
      </c>
      <c r="T59" s="20" t="s">
        <v>80</v>
      </c>
      <c r="U59" s="20" t="s">
        <v>80</v>
      </c>
      <c r="V59" s="20" t="s">
        <v>80</v>
      </c>
      <c r="W59" s="20" t="s">
        <v>80</v>
      </c>
      <c r="X59" s="20" t="s">
        <v>80</v>
      </c>
      <c r="Y59" s="20" t="s">
        <v>80</v>
      </c>
      <c r="Z59" s="20" t="s">
        <v>80</v>
      </c>
      <c r="AA59" s="34" t="s">
        <v>80</v>
      </c>
      <c r="AB59" s="20" t="s">
        <v>80</v>
      </c>
      <c r="AC59" s="20" t="s">
        <v>80</v>
      </c>
      <c r="AD59" s="20" t="s">
        <v>80</v>
      </c>
      <c r="AE59" s="20" t="s">
        <v>80</v>
      </c>
      <c r="AF59" s="20" t="s">
        <v>80</v>
      </c>
      <c r="AG59" s="20" t="s">
        <v>80</v>
      </c>
      <c r="AH59" s="20" t="s">
        <v>80</v>
      </c>
      <c r="AI59" s="26" t="s">
        <v>80</v>
      </c>
      <c r="AJ59" s="38"/>
    </row>
    <row r="60" spans="1:36">
      <c r="A60" s="9" t="s">
        <v>209</v>
      </c>
      <c r="B60" s="36">
        <v>0.26052818060632599</v>
      </c>
      <c r="C60" s="32">
        <v>0.201817745528929</v>
      </c>
      <c r="D60" s="34" t="s">
        <v>80</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34" t="s">
        <v>80</v>
      </c>
      <c r="AB60" s="20" t="s">
        <v>80</v>
      </c>
      <c r="AC60" s="20" t="s">
        <v>80</v>
      </c>
      <c r="AD60" s="20" t="s">
        <v>80</v>
      </c>
      <c r="AE60" s="20" t="s">
        <v>80</v>
      </c>
      <c r="AF60" s="20" t="s">
        <v>80</v>
      </c>
      <c r="AG60" s="20" t="s">
        <v>80</v>
      </c>
      <c r="AH60" s="20" t="s">
        <v>80</v>
      </c>
      <c r="AI60" s="26" t="s">
        <v>80</v>
      </c>
      <c r="AJ60" s="38"/>
    </row>
    <row r="61" spans="1:36">
      <c r="A61" s="9" t="s">
        <v>210</v>
      </c>
      <c r="B61" s="36">
        <v>0.25084235537058402</v>
      </c>
      <c r="C61" s="32">
        <v>0.234580420505072</v>
      </c>
      <c r="D61" s="34" t="s">
        <v>80</v>
      </c>
      <c r="E61" s="34" t="s">
        <v>80</v>
      </c>
      <c r="F61" s="20" t="s">
        <v>80</v>
      </c>
      <c r="G61" s="20" t="s">
        <v>80</v>
      </c>
      <c r="H61" s="20" t="s">
        <v>80</v>
      </c>
      <c r="I61" s="20" t="s">
        <v>80</v>
      </c>
      <c r="J61" s="20" t="s">
        <v>80</v>
      </c>
      <c r="K61" s="20" t="s">
        <v>80</v>
      </c>
      <c r="L61" s="20" t="s">
        <v>80</v>
      </c>
      <c r="M61" s="20" t="s">
        <v>80</v>
      </c>
      <c r="N61" s="20" t="s">
        <v>80</v>
      </c>
      <c r="O61" s="20" t="s">
        <v>80</v>
      </c>
      <c r="P61" s="20" t="s">
        <v>80</v>
      </c>
      <c r="Q61" s="20" t="s">
        <v>80</v>
      </c>
      <c r="R61" s="20" t="s">
        <v>80</v>
      </c>
      <c r="S61" s="20" t="s">
        <v>80</v>
      </c>
      <c r="T61" s="20" t="s">
        <v>80</v>
      </c>
      <c r="U61" s="20" t="s">
        <v>80</v>
      </c>
      <c r="V61" s="20" t="s">
        <v>80</v>
      </c>
      <c r="W61" s="20" t="s">
        <v>80</v>
      </c>
      <c r="X61" s="20" t="s">
        <v>80</v>
      </c>
      <c r="Y61" s="20" t="s">
        <v>80</v>
      </c>
      <c r="Z61" s="20" t="s">
        <v>80</v>
      </c>
      <c r="AA61" s="34" t="s">
        <v>80</v>
      </c>
      <c r="AB61" s="20" t="s">
        <v>80</v>
      </c>
      <c r="AC61" s="20" t="s">
        <v>80</v>
      </c>
      <c r="AD61" s="20" t="s">
        <v>80</v>
      </c>
      <c r="AE61" s="20" t="s">
        <v>80</v>
      </c>
      <c r="AF61" s="15">
        <v>0.66577896138481996</v>
      </c>
      <c r="AG61" s="20" t="s">
        <v>80</v>
      </c>
      <c r="AH61" s="20" t="s">
        <v>80</v>
      </c>
      <c r="AI61" s="26" t="s">
        <v>80</v>
      </c>
      <c r="AJ61" s="38"/>
    </row>
    <row r="62" spans="1:36">
      <c r="A62" s="9" t="s">
        <v>211</v>
      </c>
      <c r="B62" s="36">
        <v>0.50204599585685095</v>
      </c>
      <c r="C62" s="32">
        <v>0.60903491496210704</v>
      </c>
      <c r="D62" s="32">
        <v>0.57288820818351405</v>
      </c>
      <c r="E62" s="34" t="s">
        <v>80</v>
      </c>
      <c r="F62" s="20" t="s">
        <v>80</v>
      </c>
      <c r="G62" s="20" t="s">
        <v>80</v>
      </c>
      <c r="H62" s="20" t="s">
        <v>80</v>
      </c>
      <c r="I62" s="20" t="s">
        <v>80</v>
      </c>
      <c r="J62" s="20" t="s">
        <v>80</v>
      </c>
      <c r="K62" s="20" t="s">
        <v>80</v>
      </c>
      <c r="L62" s="20" t="s">
        <v>80</v>
      </c>
      <c r="M62" s="20" t="s">
        <v>80</v>
      </c>
      <c r="N62" s="20" t="s">
        <v>80</v>
      </c>
      <c r="O62" s="20" t="s">
        <v>80</v>
      </c>
      <c r="P62" s="20" t="s">
        <v>80</v>
      </c>
      <c r="Q62" s="20" t="s">
        <v>80</v>
      </c>
      <c r="R62" s="20" t="s">
        <v>80</v>
      </c>
      <c r="S62" s="20" t="s">
        <v>80</v>
      </c>
      <c r="T62" s="20" t="s">
        <v>80</v>
      </c>
      <c r="U62" s="20" t="s">
        <v>80</v>
      </c>
      <c r="V62" s="20" t="s">
        <v>80</v>
      </c>
      <c r="W62" s="20" t="s">
        <v>80</v>
      </c>
      <c r="X62" s="20" t="s">
        <v>80</v>
      </c>
      <c r="Y62" s="20" t="s">
        <v>80</v>
      </c>
      <c r="Z62" s="20" t="s">
        <v>80</v>
      </c>
      <c r="AA62" s="34" t="s">
        <v>80</v>
      </c>
      <c r="AB62" s="20" t="s">
        <v>80</v>
      </c>
      <c r="AC62" s="15">
        <v>1.5772870662460601</v>
      </c>
      <c r="AD62" s="20" t="s">
        <v>80</v>
      </c>
      <c r="AE62" s="20" t="s">
        <v>80</v>
      </c>
      <c r="AF62" s="20" t="s">
        <v>80</v>
      </c>
      <c r="AG62" s="20" t="s">
        <v>80</v>
      </c>
      <c r="AH62" s="20" t="s">
        <v>80</v>
      </c>
      <c r="AI62" s="26" t="s">
        <v>80</v>
      </c>
      <c r="AJ62" s="38"/>
    </row>
    <row r="63" spans="1:36">
      <c r="A63" s="9" t="s">
        <v>212</v>
      </c>
      <c r="B63" s="36">
        <v>1.9283527759491299</v>
      </c>
      <c r="C63" s="32">
        <v>1.80299030862903</v>
      </c>
      <c r="D63" s="32">
        <v>1.9198864761638099</v>
      </c>
      <c r="E63" s="32">
        <v>2.29859554713468</v>
      </c>
      <c r="F63" s="20" t="s">
        <v>80</v>
      </c>
      <c r="G63" s="20" t="s">
        <v>80</v>
      </c>
      <c r="H63" s="20" t="s">
        <v>80</v>
      </c>
      <c r="I63" s="20" t="s">
        <v>80</v>
      </c>
      <c r="J63" s="20" t="s">
        <v>80</v>
      </c>
      <c r="K63" s="20" t="s">
        <v>80</v>
      </c>
      <c r="L63" s="20" t="s">
        <v>80</v>
      </c>
      <c r="M63" s="20" t="s">
        <v>80</v>
      </c>
      <c r="N63" s="20" t="s">
        <v>80</v>
      </c>
      <c r="O63" s="20" t="s">
        <v>80</v>
      </c>
      <c r="P63" s="20" t="s">
        <v>80</v>
      </c>
      <c r="Q63" s="20" t="s">
        <v>80</v>
      </c>
      <c r="R63" s="20" t="s">
        <v>80</v>
      </c>
      <c r="S63" s="20" t="s">
        <v>80</v>
      </c>
      <c r="T63" s="20" t="s">
        <v>80</v>
      </c>
      <c r="U63" s="20" t="s">
        <v>80</v>
      </c>
      <c r="V63" s="20" t="s">
        <v>80</v>
      </c>
      <c r="W63" s="20" t="s">
        <v>80</v>
      </c>
      <c r="X63" s="15">
        <v>4.3478260869565197</v>
      </c>
      <c r="Y63" s="15">
        <v>3.2258064516128999</v>
      </c>
      <c r="Z63" s="20" t="s">
        <v>80</v>
      </c>
      <c r="AA63" s="32">
        <v>1.6050262657326699</v>
      </c>
      <c r="AB63" s="20" t="s">
        <v>80</v>
      </c>
      <c r="AC63" s="15">
        <v>1.5772870662460601</v>
      </c>
      <c r="AD63" s="20" t="s">
        <v>80</v>
      </c>
      <c r="AE63" s="15">
        <v>2.2653721682847898</v>
      </c>
      <c r="AF63" s="15">
        <v>1.9973368841544601</v>
      </c>
      <c r="AG63" s="15">
        <v>2.9315960912052099</v>
      </c>
      <c r="AH63" s="15">
        <v>2.1352313167259802</v>
      </c>
      <c r="AI63" s="26" t="s">
        <v>80</v>
      </c>
      <c r="AJ63" s="38"/>
    </row>
    <row r="64" spans="1:36">
      <c r="A64" s="11" t="s">
        <v>213</v>
      </c>
      <c r="B64" s="37">
        <v>3.71292305971033</v>
      </c>
      <c r="C64" s="33">
        <v>3.5395523870619199</v>
      </c>
      <c r="D64" s="33">
        <v>3.65962900134434</v>
      </c>
      <c r="E64" s="33">
        <v>4.3515499656389203</v>
      </c>
      <c r="F64" s="16">
        <v>5.7377049180327901</v>
      </c>
      <c r="G64" s="16">
        <v>11.864406779661</v>
      </c>
      <c r="H64" s="28" t="s">
        <v>80</v>
      </c>
      <c r="I64" s="16">
        <v>8.8888888888888893</v>
      </c>
      <c r="J64" s="28" t="s">
        <v>80</v>
      </c>
      <c r="K64" s="28" t="s">
        <v>80</v>
      </c>
      <c r="L64" s="28" t="s">
        <v>80</v>
      </c>
      <c r="M64" s="16">
        <v>6.1728395061728403</v>
      </c>
      <c r="N64" s="28" t="s">
        <v>80</v>
      </c>
      <c r="O64" s="28" t="s">
        <v>80</v>
      </c>
      <c r="P64" s="16">
        <v>9.7560975609756095</v>
      </c>
      <c r="Q64" s="16">
        <v>3.0674846625766898</v>
      </c>
      <c r="R64" s="28" t="s">
        <v>80</v>
      </c>
      <c r="S64" s="28" t="s">
        <v>80</v>
      </c>
      <c r="T64" s="16">
        <v>6.9444444444444402</v>
      </c>
      <c r="U64" s="16">
        <v>4.0983606557377001</v>
      </c>
      <c r="V64" s="28" t="s">
        <v>80</v>
      </c>
      <c r="W64" s="28" t="s">
        <v>80</v>
      </c>
      <c r="X64" s="16">
        <v>8.6956521739130395</v>
      </c>
      <c r="Y64" s="16">
        <v>5.1612903225806503</v>
      </c>
      <c r="Z64" s="28" t="s">
        <v>80</v>
      </c>
      <c r="AA64" s="33">
        <v>3.08436319146815</v>
      </c>
      <c r="AB64" s="16">
        <v>3.2258064516128999</v>
      </c>
      <c r="AC64" s="16">
        <v>5.0473186119873796</v>
      </c>
      <c r="AD64" s="16">
        <v>2.57510729613734</v>
      </c>
      <c r="AE64" s="16">
        <v>2.2653721682847898</v>
      </c>
      <c r="AF64" s="16">
        <v>5.05992010652463</v>
      </c>
      <c r="AG64" s="16">
        <v>1.95439739413681</v>
      </c>
      <c r="AH64" s="16">
        <v>4.6263345195729499</v>
      </c>
      <c r="AI64" s="29" t="s">
        <v>80</v>
      </c>
      <c r="AJ64" s="38"/>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221</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21.9" customHeight="1">
      <c r="A3" s="22" t="s">
        <v>18</v>
      </c>
      <c r="B3" s="15">
        <v>91.627918335512007</v>
      </c>
      <c r="C3" s="15">
        <v>92.097867309582099</v>
      </c>
      <c r="D3" s="24">
        <v>91.239552661238406</v>
      </c>
      <c r="E3" s="15">
        <v>92.354023963369201</v>
      </c>
      <c r="F3" s="15">
        <v>92.847689737310006</v>
      </c>
      <c r="G3" s="24">
        <v>91.939919007607898</v>
      </c>
      <c r="H3" s="15">
        <v>90.8437538669981</v>
      </c>
      <c r="I3" s="15">
        <v>91.220872219963198</v>
      </c>
      <c r="J3" s="24">
        <v>90.526764490806002</v>
      </c>
      <c r="K3" s="15">
        <v>92.970081310319898</v>
      </c>
      <c r="L3" s="15">
        <v>94.352570139990704</v>
      </c>
      <c r="M3" s="24">
        <v>92.621489513742702</v>
      </c>
      <c r="N3" s="15">
        <v>91.315851762401607</v>
      </c>
      <c r="O3" s="15">
        <v>93.708022198470402</v>
      </c>
      <c r="P3" s="24">
        <v>89.585764145598603</v>
      </c>
    </row>
    <row r="4" spans="1:16" ht="21.9" customHeight="1">
      <c r="A4" s="22" t="s">
        <v>19</v>
      </c>
      <c r="B4" s="15">
        <v>92.237062822459706</v>
      </c>
      <c r="C4" s="15">
        <v>91.765336566181702</v>
      </c>
      <c r="D4" s="24">
        <v>92.623970206853102</v>
      </c>
      <c r="E4" s="15">
        <v>92.971555828060303</v>
      </c>
      <c r="F4" s="15">
        <v>92.7581172152005</v>
      </c>
      <c r="G4" s="24">
        <v>93.1499588310257</v>
      </c>
      <c r="H4" s="15">
        <v>91.501660971005606</v>
      </c>
      <c r="I4" s="15">
        <v>90.682023476161703</v>
      </c>
      <c r="J4" s="24">
        <v>92.175429509148202</v>
      </c>
      <c r="K4" s="15">
        <v>93.189667388292605</v>
      </c>
      <c r="L4" s="15">
        <v>96.254783673310698</v>
      </c>
      <c r="M4" s="24">
        <v>92.246323073234905</v>
      </c>
      <c r="N4" s="15">
        <v>90.866262497222905</v>
      </c>
      <c r="O4" s="15">
        <v>91.225034724996306</v>
      </c>
      <c r="P4" s="24">
        <v>90.585253989232001</v>
      </c>
    </row>
    <row r="5" spans="1:16" ht="21.9" customHeight="1">
      <c r="A5" s="22" t="s">
        <v>20</v>
      </c>
      <c r="B5" s="15">
        <v>92.995506142592305</v>
      </c>
      <c r="C5" s="15">
        <v>92.302592105529399</v>
      </c>
      <c r="D5" s="24">
        <v>93.571597597072099</v>
      </c>
      <c r="E5" s="15">
        <v>93.892769594672203</v>
      </c>
      <c r="F5" s="15">
        <v>93.479080462361495</v>
      </c>
      <c r="G5" s="24">
        <v>94.244480565842906</v>
      </c>
      <c r="H5" s="15">
        <v>92.147882400022695</v>
      </c>
      <c r="I5" s="15">
        <v>91.143103883897396</v>
      </c>
      <c r="J5" s="24">
        <v>92.971325920099204</v>
      </c>
      <c r="K5" s="15">
        <v>94.805615462077</v>
      </c>
      <c r="L5" s="20" t="s">
        <v>80</v>
      </c>
      <c r="M5" s="24">
        <v>95.143787929092994</v>
      </c>
      <c r="N5" s="15">
        <v>89.541614621964499</v>
      </c>
      <c r="O5" s="15">
        <v>89.531850528155204</v>
      </c>
      <c r="P5" s="24">
        <v>89.552122399161703</v>
      </c>
    </row>
    <row r="6" spans="1:16" ht="21.9" customHeight="1">
      <c r="A6" s="22" t="s">
        <v>115</v>
      </c>
      <c r="B6" s="15">
        <v>92.302592105529399</v>
      </c>
      <c r="C6" s="15">
        <v>92.302592105529399</v>
      </c>
      <c r="D6" s="26" t="s">
        <v>80</v>
      </c>
      <c r="E6" s="15">
        <v>93.479080462361495</v>
      </c>
      <c r="F6" s="15">
        <v>93.479080462361495</v>
      </c>
      <c r="G6" s="26" t="s">
        <v>80</v>
      </c>
      <c r="H6" s="15">
        <v>91.143103883897396</v>
      </c>
      <c r="I6" s="15">
        <v>91.143103883897396</v>
      </c>
      <c r="J6" s="26" t="s">
        <v>80</v>
      </c>
      <c r="K6" s="20" t="s">
        <v>80</v>
      </c>
      <c r="L6" s="20" t="s">
        <v>80</v>
      </c>
      <c r="M6" s="26" t="s">
        <v>80</v>
      </c>
      <c r="N6" s="15">
        <v>89.531850528155204</v>
      </c>
      <c r="O6" s="15">
        <v>89.531850528155204</v>
      </c>
      <c r="P6" s="26" t="s">
        <v>80</v>
      </c>
    </row>
    <row r="7" spans="1:16">
      <c r="A7" s="9" t="s">
        <v>116</v>
      </c>
      <c r="B7" s="15">
        <v>87.704918032786907</v>
      </c>
      <c r="C7" s="15">
        <v>87.704918032786907</v>
      </c>
      <c r="D7" s="26" t="s">
        <v>80</v>
      </c>
      <c r="E7" s="15">
        <v>91.228070175438603</v>
      </c>
      <c r="F7" s="15">
        <v>91.228070175438603</v>
      </c>
      <c r="G7" s="26" t="s">
        <v>80</v>
      </c>
      <c r="H7" s="15">
        <v>84.615384615384599</v>
      </c>
      <c r="I7" s="15">
        <v>84.615384615384599</v>
      </c>
      <c r="J7" s="26" t="s">
        <v>80</v>
      </c>
      <c r="K7" s="20" t="s">
        <v>80</v>
      </c>
      <c r="L7" s="20" t="s">
        <v>80</v>
      </c>
      <c r="M7" s="26" t="s">
        <v>80</v>
      </c>
      <c r="N7" s="20" t="s">
        <v>80</v>
      </c>
      <c r="O7" s="20" t="s">
        <v>80</v>
      </c>
      <c r="P7" s="26" t="s">
        <v>80</v>
      </c>
    </row>
    <row r="8" spans="1:16">
      <c r="A8" s="9" t="s">
        <v>117</v>
      </c>
      <c r="B8" s="15">
        <v>88.135593220339004</v>
      </c>
      <c r="C8" s="15">
        <v>88.135593220339004</v>
      </c>
      <c r="D8" s="26" t="s">
        <v>80</v>
      </c>
      <c r="E8" s="15">
        <v>85.294117647058798</v>
      </c>
      <c r="F8" s="15">
        <v>85.294117647058798</v>
      </c>
      <c r="G8" s="26" t="s">
        <v>80</v>
      </c>
      <c r="H8" s="15">
        <v>92</v>
      </c>
      <c r="I8" s="15">
        <v>92</v>
      </c>
      <c r="J8" s="26" t="s">
        <v>80</v>
      </c>
      <c r="K8" s="20" t="s">
        <v>80</v>
      </c>
      <c r="L8" s="20" t="s">
        <v>80</v>
      </c>
      <c r="M8" s="26" t="s">
        <v>80</v>
      </c>
      <c r="N8" s="20" t="s">
        <v>80</v>
      </c>
      <c r="O8" s="20" t="s">
        <v>80</v>
      </c>
      <c r="P8" s="26" t="s">
        <v>80</v>
      </c>
    </row>
    <row r="9" spans="1:16">
      <c r="A9" s="9" t="s">
        <v>118</v>
      </c>
      <c r="B9" s="15">
        <v>75.903614457831296</v>
      </c>
      <c r="C9" s="15">
        <v>75.903614457831296</v>
      </c>
      <c r="D9" s="26" t="s">
        <v>80</v>
      </c>
      <c r="E9" s="15">
        <v>80</v>
      </c>
      <c r="F9" s="15">
        <v>80</v>
      </c>
      <c r="G9" s="26" t="s">
        <v>80</v>
      </c>
      <c r="H9" s="15">
        <v>70.270270270270302</v>
      </c>
      <c r="I9" s="15">
        <v>70.270270270270302</v>
      </c>
      <c r="J9" s="26" t="s">
        <v>80</v>
      </c>
      <c r="K9" s="20" t="s">
        <v>80</v>
      </c>
      <c r="L9" s="20" t="s">
        <v>80</v>
      </c>
      <c r="M9" s="26" t="s">
        <v>80</v>
      </c>
      <c r="N9" s="20" t="s">
        <v>80</v>
      </c>
      <c r="O9" s="20" t="s">
        <v>80</v>
      </c>
      <c r="P9" s="26" t="s">
        <v>80</v>
      </c>
    </row>
    <row r="10" spans="1:16">
      <c r="A10" s="9" t="s">
        <v>119</v>
      </c>
      <c r="B10" s="15">
        <v>95.5555555555556</v>
      </c>
      <c r="C10" s="15">
        <v>95.5555555555556</v>
      </c>
      <c r="D10" s="26" t="s">
        <v>80</v>
      </c>
      <c r="E10" s="15">
        <v>95.8333333333333</v>
      </c>
      <c r="F10" s="15">
        <v>95.8333333333333</v>
      </c>
      <c r="G10" s="26" t="s">
        <v>80</v>
      </c>
      <c r="H10" s="15">
        <v>95.121951219512198</v>
      </c>
      <c r="I10" s="15">
        <v>95.121951219512198</v>
      </c>
      <c r="J10" s="26" t="s">
        <v>80</v>
      </c>
      <c r="K10" s="20" t="s">
        <v>80</v>
      </c>
      <c r="L10" s="20" t="s">
        <v>80</v>
      </c>
      <c r="M10" s="26" t="s">
        <v>80</v>
      </c>
      <c r="N10" s="20" t="s">
        <v>80</v>
      </c>
      <c r="O10" s="20" t="s">
        <v>80</v>
      </c>
      <c r="P10" s="26" t="s">
        <v>80</v>
      </c>
    </row>
    <row r="11" spans="1:16">
      <c r="A11" s="9" t="s">
        <v>120</v>
      </c>
      <c r="B11" s="15">
        <v>96.428571428571402</v>
      </c>
      <c r="C11" s="15">
        <v>96.428571428571402</v>
      </c>
      <c r="D11" s="26" t="s">
        <v>80</v>
      </c>
      <c r="E11" s="15">
        <v>93.75</v>
      </c>
      <c r="F11" s="15">
        <v>93.75</v>
      </c>
      <c r="G11" s="26" t="s">
        <v>80</v>
      </c>
      <c r="H11" s="15">
        <v>100</v>
      </c>
      <c r="I11" s="15">
        <v>100</v>
      </c>
      <c r="J11" s="26" t="s">
        <v>80</v>
      </c>
      <c r="K11" s="20" t="s">
        <v>80</v>
      </c>
      <c r="L11" s="20" t="s">
        <v>80</v>
      </c>
      <c r="M11" s="26" t="s">
        <v>80</v>
      </c>
      <c r="N11" s="20" t="s">
        <v>80</v>
      </c>
      <c r="O11" s="20" t="s">
        <v>80</v>
      </c>
      <c r="P11" s="26" t="s">
        <v>80</v>
      </c>
    </row>
    <row r="12" spans="1:16">
      <c r="A12" s="9" t="s">
        <v>121</v>
      </c>
      <c r="B12" s="15">
        <v>100</v>
      </c>
      <c r="C12" s="15">
        <v>100</v>
      </c>
      <c r="D12" s="26" t="s">
        <v>80</v>
      </c>
      <c r="E12" s="15">
        <v>100</v>
      </c>
      <c r="F12" s="15">
        <v>100</v>
      </c>
      <c r="G12" s="26" t="s">
        <v>80</v>
      </c>
      <c r="H12" s="15">
        <v>100</v>
      </c>
      <c r="I12" s="15">
        <v>100</v>
      </c>
      <c r="J12" s="26" t="s">
        <v>80</v>
      </c>
      <c r="K12" s="20" t="s">
        <v>80</v>
      </c>
      <c r="L12" s="20" t="s">
        <v>80</v>
      </c>
      <c r="M12" s="26" t="s">
        <v>80</v>
      </c>
      <c r="N12" s="20" t="s">
        <v>80</v>
      </c>
      <c r="O12" s="20" t="s">
        <v>80</v>
      </c>
      <c r="P12" s="26" t="s">
        <v>80</v>
      </c>
    </row>
    <row r="13" spans="1:16">
      <c r="A13" s="9" t="s">
        <v>122</v>
      </c>
      <c r="B13" s="15">
        <v>99.029126213592207</v>
      </c>
      <c r="C13" s="15">
        <v>99.029126213592207</v>
      </c>
      <c r="D13" s="26" t="s">
        <v>80</v>
      </c>
      <c r="E13" s="15">
        <v>100</v>
      </c>
      <c r="F13" s="15">
        <v>100</v>
      </c>
      <c r="G13" s="26" t="s">
        <v>80</v>
      </c>
      <c r="H13" s="15">
        <v>97.872340425531902</v>
      </c>
      <c r="I13" s="15">
        <v>97.872340425531902</v>
      </c>
      <c r="J13" s="26" t="s">
        <v>80</v>
      </c>
      <c r="K13" s="20" t="s">
        <v>80</v>
      </c>
      <c r="L13" s="20" t="s">
        <v>80</v>
      </c>
      <c r="M13" s="26" t="s">
        <v>80</v>
      </c>
      <c r="N13" s="20" t="s">
        <v>80</v>
      </c>
      <c r="O13" s="20" t="s">
        <v>80</v>
      </c>
      <c r="P13" s="26" t="s">
        <v>80</v>
      </c>
    </row>
    <row r="14" spans="1:16">
      <c r="A14" s="9" t="s">
        <v>123</v>
      </c>
      <c r="B14" s="15">
        <v>92.592592592592595</v>
      </c>
      <c r="C14" s="15">
        <v>92.592592592592595</v>
      </c>
      <c r="D14" s="26" t="s">
        <v>80</v>
      </c>
      <c r="E14" s="15">
        <v>92.105263157894697</v>
      </c>
      <c r="F14" s="15">
        <v>92.105263157894697</v>
      </c>
      <c r="G14" s="26" t="s">
        <v>80</v>
      </c>
      <c r="H14" s="15">
        <v>92.682926829268297</v>
      </c>
      <c r="I14" s="15">
        <v>92.682926829268297</v>
      </c>
      <c r="J14" s="26" t="s">
        <v>80</v>
      </c>
      <c r="K14" s="20" t="s">
        <v>80</v>
      </c>
      <c r="L14" s="20" t="s">
        <v>80</v>
      </c>
      <c r="M14" s="26" t="s">
        <v>80</v>
      </c>
      <c r="N14" s="20" t="s">
        <v>80</v>
      </c>
      <c r="O14" s="20" t="s">
        <v>80</v>
      </c>
      <c r="P14" s="26" t="s">
        <v>80</v>
      </c>
    </row>
    <row r="15" spans="1:16">
      <c r="A15" s="9" t="s">
        <v>124</v>
      </c>
      <c r="B15" s="15">
        <v>88.135593220339004</v>
      </c>
      <c r="C15" s="15">
        <v>88.135593220339004</v>
      </c>
      <c r="D15" s="26" t="s">
        <v>80</v>
      </c>
      <c r="E15" s="15">
        <v>84.375</v>
      </c>
      <c r="F15" s="15">
        <v>84.375</v>
      </c>
      <c r="G15" s="26" t="s">
        <v>80</v>
      </c>
      <c r="H15" s="15">
        <v>92.307692307692307</v>
      </c>
      <c r="I15" s="15">
        <v>92.307692307692307</v>
      </c>
      <c r="J15" s="26" t="s">
        <v>80</v>
      </c>
      <c r="K15" s="20" t="s">
        <v>80</v>
      </c>
      <c r="L15" s="20" t="s">
        <v>80</v>
      </c>
      <c r="M15" s="26" t="s">
        <v>80</v>
      </c>
      <c r="N15" s="20" t="s">
        <v>80</v>
      </c>
      <c r="O15" s="20" t="s">
        <v>80</v>
      </c>
      <c r="P15" s="26" t="s">
        <v>80</v>
      </c>
    </row>
    <row r="16" spans="1:16">
      <c r="A16" s="9" t="s">
        <v>125</v>
      </c>
      <c r="B16" s="15">
        <v>87.719298245613999</v>
      </c>
      <c r="C16" s="15">
        <v>87.719298245613999</v>
      </c>
      <c r="D16" s="26" t="s">
        <v>80</v>
      </c>
      <c r="E16" s="15">
        <v>96.153846153846104</v>
      </c>
      <c r="F16" s="15">
        <v>96.153846153846104</v>
      </c>
      <c r="G16" s="26" t="s">
        <v>80</v>
      </c>
      <c r="H16" s="15">
        <v>88.8888888888889</v>
      </c>
      <c r="I16" s="15">
        <v>88.8888888888889</v>
      </c>
      <c r="J16" s="26" t="s">
        <v>80</v>
      </c>
      <c r="K16" s="20" t="s">
        <v>80</v>
      </c>
      <c r="L16" s="20" t="s">
        <v>80</v>
      </c>
      <c r="M16" s="26" t="s">
        <v>80</v>
      </c>
      <c r="N16" s="20" t="s">
        <v>80</v>
      </c>
      <c r="O16" s="20" t="s">
        <v>80</v>
      </c>
      <c r="P16" s="26" t="s">
        <v>80</v>
      </c>
    </row>
    <row r="17" spans="1:16">
      <c r="A17" s="9" t="s">
        <v>126</v>
      </c>
      <c r="B17" s="15">
        <v>97.560975609756099</v>
      </c>
      <c r="C17" s="15">
        <v>97.560975609756099</v>
      </c>
      <c r="D17" s="26" t="s">
        <v>80</v>
      </c>
      <c r="E17" s="15">
        <v>97.368421052631604</v>
      </c>
      <c r="F17" s="15">
        <v>97.368421052631604</v>
      </c>
      <c r="G17" s="26" t="s">
        <v>80</v>
      </c>
      <c r="H17" s="15">
        <v>97.368421052631604</v>
      </c>
      <c r="I17" s="15">
        <v>97.368421052631604</v>
      </c>
      <c r="J17" s="26" t="s">
        <v>80</v>
      </c>
      <c r="K17" s="20" t="s">
        <v>80</v>
      </c>
      <c r="L17" s="20" t="s">
        <v>80</v>
      </c>
      <c r="M17" s="26" t="s">
        <v>80</v>
      </c>
      <c r="N17" s="15">
        <v>100</v>
      </c>
      <c r="O17" s="15">
        <v>100</v>
      </c>
      <c r="P17" s="26" t="s">
        <v>80</v>
      </c>
    </row>
    <row r="18" spans="1:16">
      <c r="A18" s="9" t="s">
        <v>127</v>
      </c>
      <c r="B18" s="15">
        <v>90.184049079754601</v>
      </c>
      <c r="C18" s="15">
        <v>90.184049079754601</v>
      </c>
      <c r="D18" s="26" t="s">
        <v>80</v>
      </c>
      <c r="E18" s="15">
        <v>92.5</v>
      </c>
      <c r="F18" s="15">
        <v>92.5</v>
      </c>
      <c r="G18" s="26" t="s">
        <v>80</v>
      </c>
      <c r="H18" s="15">
        <v>86.842105263157904</v>
      </c>
      <c r="I18" s="15">
        <v>86.842105263157904</v>
      </c>
      <c r="J18" s="26" t="s">
        <v>80</v>
      </c>
      <c r="K18" s="20" t="s">
        <v>80</v>
      </c>
      <c r="L18" s="20" t="s">
        <v>80</v>
      </c>
      <c r="M18" s="26" t="s">
        <v>80</v>
      </c>
      <c r="N18" s="20" t="s">
        <v>80</v>
      </c>
      <c r="O18" s="20" t="s">
        <v>80</v>
      </c>
      <c r="P18" s="26" t="s">
        <v>80</v>
      </c>
    </row>
    <row r="19" spans="1:16">
      <c r="A19" s="9" t="s">
        <v>128</v>
      </c>
      <c r="B19" s="15">
        <v>94.318181818181799</v>
      </c>
      <c r="C19" s="15">
        <v>94.318181818181799</v>
      </c>
      <c r="D19" s="26" t="s">
        <v>80</v>
      </c>
      <c r="E19" s="15">
        <v>95.5555555555556</v>
      </c>
      <c r="F19" s="15">
        <v>95.5555555555556</v>
      </c>
      <c r="G19" s="26" t="s">
        <v>80</v>
      </c>
      <c r="H19" s="15">
        <v>93.023255813953497</v>
      </c>
      <c r="I19" s="15">
        <v>93.023255813953497</v>
      </c>
      <c r="J19" s="26" t="s">
        <v>80</v>
      </c>
      <c r="K19" s="20" t="s">
        <v>80</v>
      </c>
      <c r="L19" s="20" t="s">
        <v>80</v>
      </c>
      <c r="M19" s="26" t="s">
        <v>80</v>
      </c>
      <c r="N19" s="20" t="s">
        <v>80</v>
      </c>
      <c r="O19" s="20" t="s">
        <v>80</v>
      </c>
      <c r="P19" s="26" t="s">
        <v>80</v>
      </c>
    </row>
    <row r="20" spans="1:16">
      <c r="A20" s="9" t="s">
        <v>129</v>
      </c>
      <c r="B20" s="15">
        <v>93.243243243243199</v>
      </c>
      <c r="C20" s="15">
        <v>93.243243243243199</v>
      </c>
      <c r="D20" s="26" t="s">
        <v>80</v>
      </c>
      <c r="E20" s="15">
        <v>92.682926829268297</v>
      </c>
      <c r="F20" s="15">
        <v>92.682926829268297</v>
      </c>
      <c r="G20" s="26" t="s">
        <v>80</v>
      </c>
      <c r="H20" s="15">
        <v>93.548387096774206</v>
      </c>
      <c r="I20" s="15">
        <v>93.548387096774206</v>
      </c>
      <c r="J20" s="26" t="s">
        <v>80</v>
      </c>
      <c r="K20" s="20" t="s">
        <v>80</v>
      </c>
      <c r="L20" s="20" t="s">
        <v>80</v>
      </c>
      <c r="M20" s="26" t="s">
        <v>80</v>
      </c>
      <c r="N20" s="20" t="s">
        <v>80</v>
      </c>
      <c r="O20" s="20" t="s">
        <v>80</v>
      </c>
      <c r="P20" s="26" t="s">
        <v>80</v>
      </c>
    </row>
    <row r="21" spans="1:16">
      <c r="A21" s="9" t="s">
        <v>130</v>
      </c>
      <c r="B21" s="15">
        <v>95.8333333333333</v>
      </c>
      <c r="C21" s="15">
        <v>95.8333333333333</v>
      </c>
      <c r="D21" s="26" t="s">
        <v>80</v>
      </c>
      <c r="E21" s="15">
        <v>92.592592592592595</v>
      </c>
      <c r="F21" s="15">
        <v>92.592592592592595</v>
      </c>
      <c r="G21" s="26" t="s">
        <v>80</v>
      </c>
      <c r="H21" s="15">
        <v>97.560975609756099</v>
      </c>
      <c r="I21" s="15">
        <v>97.560975609756099</v>
      </c>
      <c r="J21" s="26" t="s">
        <v>80</v>
      </c>
      <c r="K21" s="20" t="s">
        <v>80</v>
      </c>
      <c r="L21" s="20" t="s">
        <v>80</v>
      </c>
      <c r="M21" s="26" t="s">
        <v>80</v>
      </c>
      <c r="N21" s="20" t="s">
        <v>80</v>
      </c>
      <c r="O21" s="20" t="s">
        <v>80</v>
      </c>
      <c r="P21" s="26" t="s">
        <v>80</v>
      </c>
    </row>
    <row r="22" spans="1:16">
      <c r="A22" s="9" t="s">
        <v>131</v>
      </c>
      <c r="B22" s="15">
        <v>95.081967213114794</v>
      </c>
      <c r="C22" s="15">
        <v>95.081967213114794</v>
      </c>
      <c r="D22" s="26" t="s">
        <v>80</v>
      </c>
      <c r="E22" s="15">
        <v>96.153846153846104</v>
      </c>
      <c r="F22" s="15">
        <v>96.153846153846104</v>
      </c>
      <c r="G22" s="26" t="s">
        <v>80</v>
      </c>
      <c r="H22" s="15">
        <v>95.3125</v>
      </c>
      <c r="I22" s="15">
        <v>95.3125</v>
      </c>
      <c r="J22" s="26" t="s">
        <v>80</v>
      </c>
      <c r="K22" s="20" t="s">
        <v>80</v>
      </c>
      <c r="L22" s="20" t="s">
        <v>80</v>
      </c>
      <c r="M22" s="26" t="s">
        <v>80</v>
      </c>
      <c r="N22" s="20" t="s">
        <v>80</v>
      </c>
      <c r="O22" s="20" t="s">
        <v>80</v>
      </c>
      <c r="P22" s="26" t="s">
        <v>80</v>
      </c>
    </row>
    <row r="23" spans="1:16">
      <c r="A23" s="9" t="s">
        <v>132</v>
      </c>
      <c r="B23" s="15">
        <v>90.540540540540505</v>
      </c>
      <c r="C23" s="15">
        <v>90.540540540540505</v>
      </c>
      <c r="D23" s="26" t="s">
        <v>80</v>
      </c>
      <c r="E23" s="15">
        <v>94.594594594594597</v>
      </c>
      <c r="F23" s="15">
        <v>94.594594594594597</v>
      </c>
      <c r="G23" s="26" t="s">
        <v>80</v>
      </c>
      <c r="H23" s="15">
        <v>85.714285714285694</v>
      </c>
      <c r="I23" s="15">
        <v>85.714285714285694</v>
      </c>
      <c r="J23" s="26" t="s">
        <v>80</v>
      </c>
      <c r="K23" s="20" t="s">
        <v>80</v>
      </c>
      <c r="L23" s="20" t="s">
        <v>80</v>
      </c>
      <c r="M23" s="26" t="s">
        <v>80</v>
      </c>
      <c r="N23" s="20" t="s">
        <v>80</v>
      </c>
      <c r="O23" s="20" t="s">
        <v>80</v>
      </c>
      <c r="P23" s="26" t="s">
        <v>80</v>
      </c>
    </row>
    <row r="24" spans="1:16">
      <c r="A24" s="9" t="s">
        <v>133</v>
      </c>
      <c r="B24" s="15">
        <v>88.636363636363598</v>
      </c>
      <c r="C24" s="15">
        <v>88.636363636363598</v>
      </c>
      <c r="D24" s="26" t="s">
        <v>80</v>
      </c>
      <c r="E24" s="15">
        <v>92.5</v>
      </c>
      <c r="F24" s="15">
        <v>92.5</v>
      </c>
      <c r="G24" s="26" t="s">
        <v>80</v>
      </c>
      <c r="H24" s="15">
        <v>84.7826086956522</v>
      </c>
      <c r="I24" s="15">
        <v>84.7826086956522</v>
      </c>
      <c r="J24" s="26" t="s">
        <v>80</v>
      </c>
      <c r="K24" s="20" t="s">
        <v>80</v>
      </c>
      <c r="L24" s="20" t="s">
        <v>80</v>
      </c>
      <c r="M24" s="26" t="s">
        <v>80</v>
      </c>
      <c r="N24" s="20" t="s">
        <v>80</v>
      </c>
      <c r="O24" s="20" t="s">
        <v>80</v>
      </c>
      <c r="P24" s="26" t="s">
        <v>80</v>
      </c>
    </row>
    <row r="25" spans="1:16">
      <c r="A25" s="9" t="s">
        <v>134</v>
      </c>
      <c r="B25" s="15">
        <v>96.195652173913004</v>
      </c>
      <c r="C25" s="15">
        <v>96.195652173913004</v>
      </c>
      <c r="D25" s="26" t="s">
        <v>80</v>
      </c>
      <c r="E25" s="15">
        <v>96.551724137931004</v>
      </c>
      <c r="F25" s="15">
        <v>96.551724137931004</v>
      </c>
      <c r="G25" s="26" t="s">
        <v>80</v>
      </c>
      <c r="H25" s="15">
        <v>96.739130434782595</v>
      </c>
      <c r="I25" s="15">
        <v>96.739130434782595</v>
      </c>
      <c r="J25" s="26" t="s">
        <v>80</v>
      </c>
      <c r="K25" s="20" t="s">
        <v>80</v>
      </c>
      <c r="L25" s="20" t="s">
        <v>80</v>
      </c>
      <c r="M25" s="26" t="s">
        <v>80</v>
      </c>
      <c r="N25" s="20" t="s">
        <v>80</v>
      </c>
      <c r="O25" s="20" t="s">
        <v>80</v>
      </c>
      <c r="P25" s="26" t="s">
        <v>80</v>
      </c>
    </row>
    <row r="26" spans="1:16">
      <c r="A26" s="9" t="s">
        <v>135</v>
      </c>
      <c r="B26" s="15">
        <v>96.129032258064498</v>
      </c>
      <c r="C26" s="15">
        <v>96.129032258064498</v>
      </c>
      <c r="D26" s="26" t="s">
        <v>80</v>
      </c>
      <c r="E26" s="15">
        <v>97.5</v>
      </c>
      <c r="F26" s="15">
        <v>97.5</v>
      </c>
      <c r="G26" s="26" t="s">
        <v>80</v>
      </c>
      <c r="H26" s="15">
        <v>94.029850746268707</v>
      </c>
      <c r="I26" s="15">
        <v>94.029850746268707</v>
      </c>
      <c r="J26" s="26" t="s">
        <v>80</v>
      </c>
      <c r="K26" s="20" t="s">
        <v>80</v>
      </c>
      <c r="L26" s="20" t="s">
        <v>80</v>
      </c>
      <c r="M26" s="26" t="s">
        <v>80</v>
      </c>
      <c r="N26" s="15">
        <v>100</v>
      </c>
      <c r="O26" s="15">
        <v>100</v>
      </c>
      <c r="P26" s="26" t="s">
        <v>80</v>
      </c>
    </row>
    <row r="27" spans="1:16">
      <c r="A27" s="9" t="s">
        <v>136</v>
      </c>
      <c r="B27" s="15">
        <v>88.596491228070207</v>
      </c>
      <c r="C27" s="15">
        <v>88.596491228070207</v>
      </c>
      <c r="D27" s="26" t="s">
        <v>80</v>
      </c>
      <c r="E27" s="15">
        <v>93.877551020408205</v>
      </c>
      <c r="F27" s="15">
        <v>93.877551020408205</v>
      </c>
      <c r="G27" s="26" t="s">
        <v>80</v>
      </c>
      <c r="H27" s="15">
        <v>82.456140350877206</v>
      </c>
      <c r="I27" s="15">
        <v>82.456140350877206</v>
      </c>
      <c r="J27" s="26" t="s">
        <v>80</v>
      </c>
      <c r="K27" s="20" t="s">
        <v>80</v>
      </c>
      <c r="L27" s="20" t="s">
        <v>80</v>
      </c>
      <c r="M27" s="26" t="s">
        <v>80</v>
      </c>
      <c r="N27" s="15">
        <v>100</v>
      </c>
      <c r="O27" s="15">
        <v>100</v>
      </c>
      <c r="P27" s="26" t="s">
        <v>80</v>
      </c>
    </row>
    <row r="28" spans="1:16" ht="21.9" customHeight="1">
      <c r="A28" s="22" t="s">
        <v>137</v>
      </c>
      <c r="B28" s="15">
        <v>93.571597597072099</v>
      </c>
      <c r="C28" s="20" t="s">
        <v>80</v>
      </c>
      <c r="D28" s="24">
        <v>93.571597597072099</v>
      </c>
      <c r="E28" s="15">
        <v>94.244480565842906</v>
      </c>
      <c r="F28" s="20" t="s">
        <v>80</v>
      </c>
      <c r="G28" s="24">
        <v>94.244480565842906</v>
      </c>
      <c r="H28" s="15">
        <v>92.971325920099204</v>
      </c>
      <c r="I28" s="20" t="s">
        <v>80</v>
      </c>
      <c r="J28" s="24">
        <v>92.971325920099204</v>
      </c>
      <c r="K28" s="15">
        <v>95.143787929092994</v>
      </c>
      <c r="L28" s="20" t="s">
        <v>80</v>
      </c>
      <c r="M28" s="24">
        <v>95.143787929092994</v>
      </c>
      <c r="N28" s="15">
        <v>89.552122399161703</v>
      </c>
      <c r="O28" s="20" t="s">
        <v>80</v>
      </c>
      <c r="P28" s="24">
        <v>89.552122399161703</v>
      </c>
    </row>
    <row r="29" spans="1:16">
      <c r="A29" s="9" t="s">
        <v>138</v>
      </c>
      <c r="B29" s="15">
        <v>91.612903225806406</v>
      </c>
      <c r="C29" s="20" t="s">
        <v>80</v>
      </c>
      <c r="D29" s="24">
        <v>91.612903225806406</v>
      </c>
      <c r="E29" s="15">
        <v>94.029850746268707</v>
      </c>
      <c r="F29" s="20" t="s">
        <v>80</v>
      </c>
      <c r="G29" s="24">
        <v>94.029850746268707</v>
      </c>
      <c r="H29" s="15">
        <v>89.610389610389603</v>
      </c>
      <c r="I29" s="20" t="s">
        <v>80</v>
      </c>
      <c r="J29" s="24">
        <v>89.610389610389603</v>
      </c>
      <c r="K29" s="20" t="s">
        <v>80</v>
      </c>
      <c r="L29" s="20" t="s">
        <v>80</v>
      </c>
      <c r="M29" s="26" t="s">
        <v>80</v>
      </c>
      <c r="N29" s="15">
        <v>88.8888888888889</v>
      </c>
      <c r="O29" s="20" t="s">
        <v>80</v>
      </c>
      <c r="P29" s="24">
        <v>88.8888888888889</v>
      </c>
    </row>
    <row r="30" spans="1:16">
      <c r="A30" s="9" t="s">
        <v>139</v>
      </c>
      <c r="B30" s="15">
        <v>98.107255520504694</v>
      </c>
      <c r="C30" s="20" t="s">
        <v>80</v>
      </c>
      <c r="D30" s="24">
        <v>98.107255520504694</v>
      </c>
      <c r="E30" s="15">
        <v>99.212598425196802</v>
      </c>
      <c r="F30" s="20" t="s">
        <v>80</v>
      </c>
      <c r="G30" s="24">
        <v>99.212598425196802</v>
      </c>
      <c r="H30" s="15">
        <v>97.740112994350298</v>
      </c>
      <c r="I30" s="20" t="s">
        <v>80</v>
      </c>
      <c r="J30" s="24">
        <v>97.740112994350298</v>
      </c>
      <c r="K30" s="15">
        <v>100</v>
      </c>
      <c r="L30" s="20" t="s">
        <v>80</v>
      </c>
      <c r="M30" s="24">
        <v>100</v>
      </c>
      <c r="N30" s="15">
        <v>83.3333333333333</v>
      </c>
      <c r="O30" s="20" t="s">
        <v>80</v>
      </c>
      <c r="P30" s="24">
        <v>83.3333333333333</v>
      </c>
    </row>
    <row r="31" spans="1:16">
      <c r="A31" s="9" t="s">
        <v>140</v>
      </c>
      <c r="B31" s="15">
        <v>90.987124463519294</v>
      </c>
      <c r="C31" s="20" t="s">
        <v>80</v>
      </c>
      <c r="D31" s="24">
        <v>90.987124463519294</v>
      </c>
      <c r="E31" s="15">
        <v>93.220338983050894</v>
      </c>
      <c r="F31" s="20" t="s">
        <v>80</v>
      </c>
      <c r="G31" s="24">
        <v>93.220338983050894</v>
      </c>
      <c r="H31" s="15">
        <v>88.349514563106794</v>
      </c>
      <c r="I31" s="20" t="s">
        <v>80</v>
      </c>
      <c r="J31" s="24">
        <v>88.349514563106794</v>
      </c>
      <c r="K31" s="20" t="s">
        <v>80</v>
      </c>
      <c r="L31" s="20" t="s">
        <v>80</v>
      </c>
      <c r="M31" s="26" t="s">
        <v>80</v>
      </c>
      <c r="N31" s="15">
        <v>100</v>
      </c>
      <c r="O31" s="20" t="s">
        <v>80</v>
      </c>
      <c r="P31" s="24">
        <v>100</v>
      </c>
    </row>
    <row r="32" spans="1:16">
      <c r="A32" s="9" t="s">
        <v>141</v>
      </c>
      <c r="B32" s="15">
        <v>92.880258899676406</v>
      </c>
      <c r="C32" s="20" t="s">
        <v>80</v>
      </c>
      <c r="D32" s="24">
        <v>92.880258899676406</v>
      </c>
      <c r="E32" s="15">
        <v>93.125</v>
      </c>
      <c r="F32" s="20" t="s">
        <v>80</v>
      </c>
      <c r="G32" s="24">
        <v>93.125</v>
      </c>
      <c r="H32" s="15">
        <v>93.617021276595807</v>
      </c>
      <c r="I32" s="20" t="s">
        <v>80</v>
      </c>
      <c r="J32" s="24">
        <v>93.617021276595807</v>
      </c>
      <c r="K32" s="20" t="s">
        <v>80</v>
      </c>
      <c r="L32" s="20" t="s">
        <v>80</v>
      </c>
      <c r="M32" s="26" t="s">
        <v>80</v>
      </c>
      <c r="N32" s="20" t="s">
        <v>80</v>
      </c>
      <c r="O32" s="20" t="s">
        <v>80</v>
      </c>
      <c r="P32" s="26" t="s">
        <v>80</v>
      </c>
    </row>
    <row r="33" spans="1:16">
      <c r="A33" s="9" t="s">
        <v>142</v>
      </c>
      <c r="B33" s="15">
        <v>94.806924101198405</v>
      </c>
      <c r="C33" s="20" t="s">
        <v>80</v>
      </c>
      <c r="D33" s="24">
        <v>94.806924101198405</v>
      </c>
      <c r="E33" s="15">
        <v>93.3333333333333</v>
      </c>
      <c r="F33" s="20" t="s">
        <v>80</v>
      </c>
      <c r="G33" s="24">
        <v>93.3333333333333</v>
      </c>
      <c r="H33" s="15">
        <v>95.675675675675706</v>
      </c>
      <c r="I33" s="20" t="s">
        <v>80</v>
      </c>
      <c r="J33" s="24">
        <v>95.675675675675706</v>
      </c>
      <c r="K33" s="15">
        <v>100</v>
      </c>
      <c r="L33" s="20" t="s">
        <v>80</v>
      </c>
      <c r="M33" s="24">
        <v>100</v>
      </c>
      <c r="N33" s="15">
        <v>100</v>
      </c>
      <c r="O33" s="20" t="s">
        <v>80</v>
      </c>
      <c r="P33" s="24">
        <v>100</v>
      </c>
    </row>
    <row r="34" spans="1:16">
      <c r="A34" s="9" t="s">
        <v>143</v>
      </c>
      <c r="B34" s="15">
        <v>90.879478827361595</v>
      </c>
      <c r="C34" s="20" t="s">
        <v>80</v>
      </c>
      <c r="D34" s="24">
        <v>90.879478827361595</v>
      </c>
      <c r="E34" s="15">
        <v>92.261904761904802</v>
      </c>
      <c r="F34" s="20" t="s">
        <v>80</v>
      </c>
      <c r="G34" s="24">
        <v>92.261904761904802</v>
      </c>
      <c r="H34" s="15">
        <v>89.393939393939405</v>
      </c>
      <c r="I34" s="20" t="s">
        <v>80</v>
      </c>
      <c r="J34" s="24">
        <v>89.393939393939405</v>
      </c>
      <c r="K34" s="20" t="s">
        <v>80</v>
      </c>
      <c r="L34" s="20" t="s">
        <v>80</v>
      </c>
      <c r="M34" s="26" t="s">
        <v>80</v>
      </c>
      <c r="N34" s="20" t="s">
        <v>80</v>
      </c>
      <c r="O34" s="20" t="s">
        <v>80</v>
      </c>
      <c r="P34" s="26" t="s">
        <v>80</v>
      </c>
    </row>
    <row r="35" spans="1:16">
      <c r="A35" s="9" t="s">
        <v>144</v>
      </c>
      <c r="B35" s="15">
        <v>96.085409252668995</v>
      </c>
      <c r="C35" s="20" t="s">
        <v>80</v>
      </c>
      <c r="D35" s="24">
        <v>96.085409252668995</v>
      </c>
      <c r="E35" s="15">
        <v>94.202898550724598</v>
      </c>
      <c r="F35" s="20" t="s">
        <v>80</v>
      </c>
      <c r="G35" s="24">
        <v>94.202898550724598</v>
      </c>
      <c r="H35" s="15">
        <v>97.810218978102199</v>
      </c>
      <c r="I35" s="20" t="s">
        <v>80</v>
      </c>
      <c r="J35" s="24">
        <v>97.810218978102199</v>
      </c>
      <c r="K35" s="20" t="s">
        <v>80</v>
      </c>
      <c r="L35" s="20" t="s">
        <v>80</v>
      </c>
      <c r="M35" s="26" t="s">
        <v>80</v>
      </c>
      <c r="N35" s="20" t="s">
        <v>80</v>
      </c>
      <c r="O35" s="20" t="s">
        <v>80</v>
      </c>
      <c r="P35" s="26" t="s">
        <v>80</v>
      </c>
    </row>
    <row r="36" spans="1:16">
      <c r="A36" s="11" t="s">
        <v>145</v>
      </c>
      <c r="B36" s="16">
        <v>83.3333333333333</v>
      </c>
      <c r="C36" s="28" t="s">
        <v>80</v>
      </c>
      <c r="D36" s="25">
        <v>83.3333333333333</v>
      </c>
      <c r="E36" s="16">
        <v>70</v>
      </c>
      <c r="F36" s="28" t="s">
        <v>80</v>
      </c>
      <c r="G36" s="25">
        <v>70</v>
      </c>
      <c r="H36" s="16">
        <v>100</v>
      </c>
      <c r="I36" s="28" t="s">
        <v>80</v>
      </c>
      <c r="J36" s="25">
        <v>100</v>
      </c>
      <c r="K36" s="28" t="s">
        <v>80</v>
      </c>
      <c r="L36" s="28" t="s">
        <v>80</v>
      </c>
      <c r="M36" s="29" t="s">
        <v>80</v>
      </c>
      <c r="N36" s="28" t="s">
        <v>80</v>
      </c>
      <c r="O36" s="28" t="s">
        <v>80</v>
      </c>
      <c r="P36" s="29" t="s">
        <v>80</v>
      </c>
    </row>
    <row r="37" spans="1:16" ht="30" customHeight="1">
      <c r="A37" t="s">
        <v>146</v>
      </c>
    </row>
    <row r="38" spans="1:16">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222</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152</v>
      </c>
      <c r="B3" s="15">
        <v>18.7270256677417</v>
      </c>
      <c r="C3" s="15">
        <v>21.1504356399663</v>
      </c>
      <c r="D3" s="24">
        <v>16.7121930896378</v>
      </c>
      <c r="E3" s="15">
        <v>20.378515575249299</v>
      </c>
      <c r="F3" s="15">
        <v>23.802067409536502</v>
      </c>
      <c r="G3" s="24">
        <v>17.467874114196999</v>
      </c>
      <c r="H3" s="15">
        <v>16.421649294012401</v>
      </c>
      <c r="I3" s="15">
        <v>17.627730511316901</v>
      </c>
      <c r="J3" s="24">
        <v>15.433232695591199</v>
      </c>
      <c r="K3" s="20" t="s">
        <v>80</v>
      </c>
      <c r="L3" s="20" t="s">
        <v>80</v>
      </c>
      <c r="M3" s="26" t="s">
        <v>80</v>
      </c>
      <c r="N3" s="15">
        <v>24.988210578772598</v>
      </c>
      <c r="O3" s="20" t="s">
        <v>80</v>
      </c>
      <c r="P3" s="26" t="s">
        <v>80</v>
      </c>
    </row>
    <row r="4" spans="1:16">
      <c r="A4" s="9" t="s">
        <v>153</v>
      </c>
      <c r="B4" s="15">
        <v>15.5939977964166</v>
      </c>
      <c r="C4" s="15">
        <v>17.4403314147849</v>
      </c>
      <c r="D4" s="24">
        <v>14.0589487675797</v>
      </c>
      <c r="E4" s="15">
        <v>16.3503867641531</v>
      </c>
      <c r="F4" s="15">
        <v>17.418483462915098</v>
      </c>
      <c r="G4" s="24">
        <v>15.442310390168</v>
      </c>
      <c r="H4" s="15">
        <v>14.6180441168925</v>
      </c>
      <c r="I4" s="15">
        <v>17.337894889647799</v>
      </c>
      <c r="J4" s="24">
        <v>12.3890518977545</v>
      </c>
      <c r="K4" s="20" t="s">
        <v>80</v>
      </c>
      <c r="L4" s="20" t="s">
        <v>80</v>
      </c>
      <c r="M4" s="26" t="s">
        <v>80</v>
      </c>
      <c r="N4" s="20" t="s">
        <v>80</v>
      </c>
      <c r="O4" s="20" t="s">
        <v>80</v>
      </c>
      <c r="P4" s="26" t="s">
        <v>80</v>
      </c>
    </row>
    <row r="5" spans="1:16">
      <c r="A5" s="9" t="s">
        <v>154</v>
      </c>
      <c r="B5" s="15">
        <v>22.857237986382302</v>
      </c>
      <c r="C5" s="15">
        <v>17.774632658453999</v>
      </c>
      <c r="D5" s="24">
        <v>27.082936037362</v>
      </c>
      <c r="E5" s="15">
        <v>23.840917429504302</v>
      </c>
      <c r="F5" s="15">
        <v>19.2125612552754</v>
      </c>
      <c r="G5" s="24">
        <v>27.775861613000998</v>
      </c>
      <c r="H5" s="15">
        <v>21.639873429087999</v>
      </c>
      <c r="I5" s="15">
        <v>16.0480924492011</v>
      </c>
      <c r="J5" s="24">
        <v>26.222491130082499</v>
      </c>
      <c r="K5" s="20" t="s">
        <v>80</v>
      </c>
      <c r="L5" s="20" t="s">
        <v>80</v>
      </c>
      <c r="M5" s="26" t="s">
        <v>80</v>
      </c>
      <c r="N5" s="15">
        <v>23.2425429586681</v>
      </c>
      <c r="O5" s="20" t="s">
        <v>80</v>
      </c>
      <c r="P5" s="26" t="s">
        <v>80</v>
      </c>
    </row>
    <row r="6" spans="1:16">
      <c r="A6" s="9" t="s">
        <v>155</v>
      </c>
      <c r="B6" s="15">
        <v>38.112849514179999</v>
      </c>
      <c r="C6" s="15">
        <v>39.369186692779401</v>
      </c>
      <c r="D6" s="24">
        <v>37.068325844830902</v>
      </c>
      <c r="E6" s="15">
        <v>43.7946189270235</v>
      </c>
      <c r="F6" s="15">
        <v>44.022804606171</v>
      </c>
      <c r="G6" s="24">
        <v>43.600619615579397</v>
      </c>
      <c r="H6" s="15">
        <v>32.027085074909401</v>
      </c>
      <c r="I6" s="15">
        <v>34.171162107064703</v>
      </c>
      <c r="J6" s="24">
        <v>30.2699552096317</v>
      </c>
      <c r="K6" s="15">
        <v>37.868343604876003</v>
      </c>
      <c r="L6" s="20" t="s">
        <v>80</v>
      </c>
      <c r="M6" s="26" t="s">
        <v>80</v>
      </c>
      <c r="N6" s="15">
        <v>38.039405554152196</v>
      </c>
      <c r="O6" s="20" t="s">
        <v>80</v>
      </c>
      <c r="P6" s="26" t="s">
        <v>80</v>
      </c>
    </row>
    <row r="7" spans="1:16">
      <c r="A7" s="9" t="s">
        <v>156</v>
      </c>
      <c r="B7" s="15">
        <v>21.449811390863001</v>
      </c>
      <c r="C7" s="15">
        <v>25.265822253832098</v>
      </c>
      <c r="D7" s="24">
        <v>18.277164957436401</v>
      </c>
      <c r="E7" s="15">
        <v>27.575241607101599</v>
      </c>
      <c r="F7" s="15">
        <v>30.473688378048799</v>
      </c>
      <c r="G7" s="24">
        <v>25.111034914017299</v>
      </c>
      <c r="H7" s="15">
        <v>15.1428473041448</v>
      </c>
      <c r="I7" s="15">
        <v>19.757230662104199</v>
      </c>
      <c r="J7" s="24">
        <v>11.3612337303266</v>
      </c>
      <c r="K7" s="20" t="s">
        <v>80</v>
      </c>
      <c r="L7" s="20" t="s">
        <v>80</v>
      </c>
      <c r="M7" s="26" t="s">
        <v>80</v>
      </c>
      <c r="N7" s="20" t="s">
        <v>80</v>
      </c>
      <c r="O7" s="20" t="s">
        <v>80</v>
      </c>
      <c r="P7" s="26" t="s">
        <v>80</v>
      </c>
    </row>
    <row r="8" spans="1:16">
      <c r="A8" s="9" t="s">
        <v>157</v>
      </c>
      <c r="B8" s="15">
        <v>1.0703020539221699</v>
      </c>
      <c r="C8" s="15">
        <v>1.2289388218433901</v>
      </c>
      <c r="D8" s="26" t="s">
        <v>80</v>
      </c>
      <c r="E8" s="15">
        <v>1.22868614096476</v>
      </c>
      <c r="F8" s="20" t="s">
        <v>80</v>
      </c>
      <c r="G8" s="26" t="s">
        <v>80</v>
      </c>
      <c r="H8" s="20" t="s">
        <v>80</v>
      </c>
      <c r="I8" s="20" t="s">
        <v>80</v>
      </c>
      <c r="J8" s="26" t="s">
        <v>80</v>
      </c>
      <c r="K8" s="20" t="s">
        <v>80</v>
      </c>
      <c r="L8" s="20" t="s">
        <v>80</v>
      </c>
      <c r="M8" s="26" t="s">
        <v>80</v>
      </c>
      <c r="N8" s="20" t="s">
        <v>80</v>
      </c>
      <c r="O8" s="20" t="s">
        <v>80</v>
      </c>
      <c r="P8" s="26" t="s">
        <v>80</v>
      </c>
    </row>
    <row r="9" spans="1:16">
      <c r="A9" s="9" t="s">
        <v>158</v>
      </c>
      <c r="B9" s="15">
        <v>12.9028355888766</v>
      </c>
      <c r="C9" s="15">
        <v>14.6985531445501</v>
      </c>
      <c r="D9" s="24">
        <v>11.409868953552101</v>
      </c>
      <c r="E9" s="15">
        <v>13.666882043169499</v>
      </c>
      <c r="F9" s="15">
        <v>16.969675618932001</v>
      </c>
      <c r="G9" s="24">
        <v>10.8589070557212</v>
      </c>
      <c r="H9" s="15">
        <v>12.1279693059838</v>
      </c>
      <c r="I9" s="15">
        <v>12.4908058822835</v>
      </c>
      <c r="J9" s="24">
        <v>11.8306147917245</v>
      </c>
      <c r="K9" s="20" t="s">
        <v>80</v>
      </c>
      <c r="L9" s="20" t="s">
        <v>80</v>
      </c>
      <c r="M9" s="26" t="s">
        <v>80</v>
      </c>
      <c r="N9" s="20" t="s">
        <v>80</v>
      </c>
      <c r="O9" s="20" t="s">
        <v>80</v>
      </c>
      <c r="P9" s="26" t="s">
        <v>80</v>
      </c>
    </row>
    <row r="10" spans="1:16">
      <c r="A10" s="9" t="s">
        <v>159</v>
      </c>
      <c r="B10" s="15">
        <v>10.3868259780554</v>
      </c>
      <c r="C10" s="15">
        <v>10.847240481358901</v>
      </c>
      <c r="D10" s="24">
        <v>10.0040355499728</v>
      </c>
      <c r="E10" s="15">
        <v>13.581388780877599</v>
      </c>
      <c r="F10" s="15">
        <v>14.337858473797899</v>
      </c>
      <c r="G10" s="24">
        <v>12.938252015664499</v>
      </c>
      <c r="H10" s="15">
        <v>6.7234940730999302</v>
      </c>
      <c r="I10" s="15">
        <v>6.7678225287606804</v>
      </c>
      <c r="J10" s="24">
        <v>6.6871656892989</v>
      </c>
      <c r="K10" s="20" t="s">
        <v>80</v>
      </c>
      <c r="L10" s="20" t="s">
        <v>80</v>
      </c>
      <c r="M10" s="26" t="s">
        <v>80</v>
      </c>
      <c r="N10" s="20" t="s">
        <v>80</v>
      </c>
      <c r="O10" s="20" t="s">
        <v>80</v>
      </c>
      <c r="P10" s="26" t="s">
        <v>80</v>
      </c>
    </row>
    <row r="11" spans="1:16">
      <c r="A11" s="9" t="s">
        <v>160</v>
      </c>
      <c r="B11" s="15">
        <v>15.146997183362</v>
      </c>
      <c r="C11" s="15">
        <v>15.1839364434549</v>
      </c>
      <c r="D11" s="24">
        <v>15.116285737300799</v>
      </c>
      <c r="E11" s="15">
        <v>14.865840974034199</v>
      </c>
      <c r="F11" s="15">
        <v>15.7880978483186</v>
      </c>
      <c r="G11" s="24">
        <v>14.081754964542901</v>
      </c>
      <c r="H11" s="15">
        <v>15.3153026083708</v>
      </c>
      <c r="I11" s="15">
        <v>14.3384478151139</v>
      </c>
      <c r="J11" s="24">
        <v>16.115861872580499</v>
      </c>
      <c r="K11" s="20" t="s">
        <v>80</v>
      </c>
      <c r="L11" s="20" t="s">
        <v>80</v>
      </c>
      <c r="M11" s="26" t="s">
        <v>80</v>
      </c>
      <c r="N11" s="20" t="s">
        <v>80</v>
      </c>
      <c r="O11" s="20" t="s">
        <v>80</v>
      </c>
      <c r="P11" s="26" t="s">
        <v>80</v>
      </c>
    </row>
    <row r="12" spans="1:16">
      <c r="A12" s="9" t="s">
        <v>161</v>
      </c>
      <c r="B12" s="15">
        <v>6.0472738171425098</v>
      </c>
      <c r="C12" s="15">
        <v>8.1784030927759197</v>
      </c>
      <c r="D12" s="24">
        <v>4.2754445592330104</v>
      </c>
      <c r="E12" s="15">
        <v>7.0730095659531003</v>
      </c>
      <c r="F12" s="15">
        <v>9.46463175036107</v>
      </c>
      <c r="G12" s="24">
        <v>5.0396959121642402</v>
      </c>
      <c r="H12" s="15">
        <v>4.9377565757867803</v>
      </c>
      <c r="I12" s="15">
        <v>6.89910012628442</v>
      </c>
      <c r="J12" s="24">
        <v>3.3303818047485398</v>
      </c>
      <c r="K12" s="20" t="s">
        <v>80</v>
      </c>
      <c r="L12" s="20" t="s">
        <v>80</v>
      </c>
      <c r="M12" s="26" t="s">
        <v>80</v>
      </c>
      <c r="N12" s="20" t="s">
        <v>80</v>
      </c>
      <c r="O12" s="20" t="s">
        <v>80</v>
      </c>
      <c r="P12" s="26" t="s">
        <v>80</v>
      </c>
    </row>
    <row r="13" spans="1:16">
      <c r="A13" s="9" t="s">
        <v>162</v>
      </c>
      <c r="B13" s="15">
        <v>3.2473820739147001</v>
      </c>
      <c r="C13" s="15">
        <v>4.65147779943449</v>
      </c>
      <c r="D13" s="24">
        <v>2.0800113677700902</v>
      </c>
      <c r="E13" s="15">
        <v>1.6654785959487599</v>
      </c>
      <c r="F13" s="20" t="s">
        <v>80</v>
      </c>
      <c r="G13" s="26" t="s">
        <v>80</v>
      </c>
      <c r="H13" s="15">
        <v>4.83328163157978</v>
      </c>
      <c r="I13" s="15">
        <v>7.5296775945308996</v>
      </c>
      <c r="J13" s="24">
        <v>2.6235112716255902</v>
      </c>
      <c r="K13" s="20" t="s">
        <v>80</v>
      </c>
      <c r="L13" s="20" t="s">
        <v>80</v>
      </c>
      <c r="M13" s="26" t="s">
        <v>80</v>
      </c>
      <c r="N13" s="20" t="s">
        <v>80</v>
      </c>
      <c r="O13" s="20" t="s">
        <v>80</v>
      </c>
      <c r="P13" s="26" t="s">
        <v>80</v>
      </c>
    </row>
    <row r="14" spans="1:16">
      <c r="A14" s="9" t="s">
        <v>163</v>
      </c>
      <c r="B14" s="15">
        <v>27.1200890148152</v>
      </c>
      <c r="C14" s="15">
        <v>30.4878441850393</v>
      </c>
      <c r="D14" s="24">
        <v>24.3201241265728</v>
      </c>
      <c r="E14" s="15">
        <v>28.3213367328235</v>
      </c>
      <c r="F14" s="15">
        <v>32.680037873881503</v>
      </c>
      <c r="G14" s="24">
        <v>24.6156483508218</v>
      </c>
      <c r="H14" s="15">
        <v>25.921439218582901</v>
      </c>
      <c r="I14" s="15">
        <v>28.615990102077902</v>
      </c>
      <c r="J14" s="24">
        <v>23.713180951789401</v>
      </c>
      <c r="K14" s="20" t="s">
        <v>80</v>
      </c>
      <c r="L14" s="20" t="s">
        <v>80</v>
      </c>
      <c r="M14" s="26" t="s">
        <v>80</v>
      </c>
      <c r="N14" s="15">
        <v>23.5301325054029</v>
      </c>
      <c r="O14" s="20" t="s">
        <v>80</v>
      </c>
      <c r="P14" s="26" t="s">
        <v>80</v>
      </c>
    </row>
    <row r="15" spans="1:16">
      <c r="A15" s="9" t="s">
        <v>164</v>
      </c>
      <c r="B15" s="15">
        <v>19.346900357042699</v>
      </c>
      <c r="C15" s="15">
        <v>20.2099773502716</v>
      </c>
      <c r="D15" s="24">
        <v>18.629334751841601</v>
      </c>
      <c r="E15" s="15">
        <v>23.3002020335678</v>
      </c>
      <c r="F15" s="15">
        <v>23.612643761381399</v>
      </c>
      <c r="G15" s="24">
        <v>23.034569763003301</v>
      </c>
      <c r="H15" s="15">
        <v>15.031522015885701</v>
      </c>
      <c r="I15" s="15">
        <v>16.206057161207099</v>
      </c>
      <c r="J15" s="24">
        <v>14.0689582876656</v>
      </c>
      <c r="K15" s="20" t="s">
        <v>80</v>
      </c>
      <c r="L15" s="20" t="s">
        <v>80</v>
      </c>
      <c r="M15" s="26" t="s">
        <v>80</v>
      </c>
      <c r="N15" s="15">
        <v>21.804562129846499</v>
      </c>
      <c r="O15" s="20" t="s">
        <v>80</v>
      </c>
      <c r="P15" s="26" t="s">
        <v>80</v>
      </c>
    </row>
    <row r="16" spans="1:16">
      <c r="A16" s="9" t="s">
        <v>165</v>
      </c>
      <c r="B16" s="15">
        <v>2.3310530096831301</v>
      </c>
      <c r="C16" s="15">
        <v>3.7654851320679601</v>
      </c>
      <c r="D16" s="24">
        <v>1.1384605039228799</v>
      </c>
      <c r="E16" s="15">
        <v>2.6257858426709801</v>
      </c>
      <c r="F16" s="15">
        <v>4.7371863148427904</v>
      </c>
      <c r="G16" s="26" t="s">
        <v>80</v>
      </c>
      <c r="H16" s="15">
        <v>1.6935741768328001</v>
      </c>
      <c r="I16" s="20" t="s">
        <v>80</v>
      </c>
      <c r="J16" s="26" t="s">
        <v>80</v>
      </c>
      <c r="K16" s="20" t="s">
        <v>80</v>
      </c>
      <c r="L16" s="20" t="s">
        <v>80</v>
      </c>
      <c r="M16" s="26" t="s">
        <v>80</v>
      </c>
      <c r="N16" s="20" t="s">
        <v>80</v>
      </c>
      <c r="O16" s="20" t="s">
        <v>80</v>
      </c>
      <c r="P16" s="26" t="s">
        <v>80</v>
      </c>
    </row>
    <row r="17" spans="1:16">
      <c r="A17" s="9" t="s">
        <v>166</v>
      </c>
      <c r="B17" s="15">
        <v>54.567773954245702</v>
      </c>
      <c r="C17" s="15">
        <v>51.880174864432099</v>
      </c>
      <c r="D17" s="24">
        <v>56.802254403324604</v>
      </c>
      <c r="E17" s="15">
        <v>56.9384147345584</v>
      </c>
      <c r="F17" s="15">
        <v>55.406366261254497</v>
      </c>
      <c r="G17" s="24">
        <v>58.240934463361803</v>
      </c>
      <c r="H17" s="15">
        <v>52.400019338232902</v>
      </c>
      <c r="I17" s="15">
        <v>48.673760118986799</v>
      </c>
      <c r="J17" s="24">
        <v>55.453790850034103</v>
      </c>
      <c r="K17" s="15">
        <v>48.040881631730102</v>
      </c>
      <c r="L17" s="20" t="s">
        <v>80</v>
      </c>
      <c r="M17" s="24">
        <v>51.179224898579903</v>
      </c>
      <c r="N17" s="15">
        <v>50.5923358873304</v>
      </c>
      <c r="O17" s="15">
        <v>43.844466624763498</v>
      </c>
      <c r="P17" s="24">
        <v>57.854157429793801</v>
      </c>
    </row>
    <row r="18" spans="1:16">
      <c r="A18" s="9" t="s">
        <v>167</v>
      </c>
      <c r="B18" s="15">
        <v>21.697574119971598</v>
      </c>
      <c r="C18" s="15">
        <v>27.301406907291199</v>
      </c>
      <c r="D18" s="24">
        <v>17.038525510142701</v>
      </c>
      <c r="E18" s="15">
        <v>14.534517227456201</v>
      </c>
      <c r="F18" s="15">
        <v>23.3674218370356</v>
      </c>
      <c r="G18" s="24">
        <v>7.0249424867794898</v>
      </c>
      <c r="H18" s="15">
        <v>28.902738469260701</v>
      </c>
      <c r="I18" s="15">
        <v>31.5735498796159</v>
      </c>
      <c r="J18" s="24">
        <v>26.7139353510529</v>
      </c>
      <c r="K18" s="20" t="s">
        <v>80</v>
      </c>
      <c r="L18" s="20" t="s">
        <v>80</v>
      </c>
      <c r="M18" s="26" t="s">
        <v>80</v>
      </c>
      <c r="N18" s="15">
        <v>31.694715847656202</v>
      </c>
      <c r="O18" s="20" t="s">
        <v>80</v>
      </c>
      <c r="P18" s="26" t="s">
        <v>80</v>
      </c>
    </row>
    <row r="19" spans="1:16">
      <c r="A19" s="9" t="s">
        <v>168</v>
      </c>
      <c r="B19" s="15">
        <v>25.704224618633202</v>
      </c>
      <c r="C19" s="15">
        <v>28.872307165842301</v>
      </c>
      <c r="D19" s="24">
        <v>23.070268334142099</v>
      </c>
      <c r="E19" s="15">
        <v>26.960271061052499</v>
      </c>
      <c r="F19" s="15">
        <v>31.515545590197402</v>
      </c>
      <c r="G19" s="24">
        <v>23.087459562124302</v>
      </c>
      <c r="H19" s="15">
        <v>24.2541155990994</v>
      </c>
      <c r="I19" s="15">
        <v>26.125728439861199</v>
      </c>
      <c r="J19" s="24">
        <v>22.720277602880699</v>
      </c>
      <c r="K19" s="20" t="s">
        <v>80</v>
      </c>
      <c r="L19" s="20" t="s">
        <v>80</v>
      </c>
      <c r="M19" s="26" t="s">
        <v>80</v>
      </c>
      <c r="N19" s="15">
        <v>25.955934659117499</v>
      </c>
      <c r="O19" s="20" t="s">
        <v>80</v>
      </c>
      <c r="P19" s="26" t="s">
        <v>80</v>
      </c>
    </row>
    <row r="20" spans="1:16">
      <c r="A20" s="9" t="s">
        <v>169</v>
      </c>
      <c r="B20" s="15">
        <v>3.0485252171166501</v>
      </c>
      <c r="C20" s="15">
        <v>4.6231287076849297</v>
      </c>
      <c r="D20" s="24">
        <v>1.7393936847903999</v>
      </c>
      <c r="E20" s="15">
        <v>3.6198786327424801</v>
      </c>
      <c r="F20" s="15">
        <v>5.8789039094411404</v>
      </c>
      <c r="G20" s="26" t="s">
        <v>80</v>
      </c>
      <c r="H20" s="15">
        <v>2.13004089832397</v>
      </c>
      <c r="I20" s="15">
        <v>3.1576555789242202</v>
      </c>
      <c r="J20" s="26" t="s">
        <v>80</v>
      </c>
      <c r="K20" s="20" t="s">
        <v>80</v>
      </c>
      <c r="L20" s="20" t="s">
        <v>80</v>
      </c>
      <c r="M20" s="26" t="s">
        <v>80</v>
      </c>
      <c r="N20" s="20" t="s">
        <v>80</v>
      </c>
      <c r="O20" s="20" t="s">
        <v>80</v>
      </c>
      <c r="P20" s="26" t="s">
        <v>80</v>
      </c>
    </row>
    <row r="21" spans="1:16">
      <c r="A21" s="9" t="s">
        <v>170</v>
      </c>
      <c r="B21" s="15">
        <v>5.2802500446840801</v>
      </c>
      <c r="C21" s="15">
        <v>6.3383926990505497</v>
      </c>
      <c r="D21" s="24">
        <v>4.4005060819480297</v>
      </c>
      <c r="E21" s="15">
        <v>4.8054468581318002</v>
      </c>
      <c r="F21" s="15">
        <v>6.9963664353870003</v>
      </c>
      <c r="G21" s="24">
        <v>2.9427669081675898</v>
      </c>
      <c r="H21" s="15">
        <v>5.5324854825511496</v>
      </c>
      <c r="I21" s="15">
        <v>5.6033046776167801</v>
      </c>
      <c r="J21" s="24">
        <v>5.4744472120886103</v>
      </c>
      <c r="K21" s="20" t="s">
        <v>80</v>
      </c>
      <c r="L21" s="20" t="s">
        <v>80</v>
      </c>
      <c r="M21" s="26" t="s">
        <v>80</v>
      </c>
      <c r="N21" s="20" t="s">
        <v>80</v>
      </c>
      <c r="O21" s="20" t="s">
        <v>80</v>
      </c>
      <c r="P21" s="26" t="s">
        <v>80</v>
      </c>
    </row>
    <row r="22" spans="1:16">
      <c r="A22" s="9" t="s">
        <v>171</v>
      </c>
      <c r="B22" s="15">
        <v>12.875683094247201</v>
      </c>
      <c r="C22" s="15">
        <v>12.292520156671699</v>
      </c>
      <c r="D22" s="24">
        <v>13.3605270531468</v>
      </c>
      <c r="E22" s="15">
        <v>18.154042407432499</v>
      </c>
      <c r="F22" s="15">
        <v>16.6741893896574</v>
      </c>
      <c r="G22" s="24">
        <v>19.412186509899801</v>
      </c>
      <c r="H22" s="15">
        <v>7.1775368056911901</v>
      </c>
      <c r="I22" s="15">
        <v>7.41595929409511</v>
      </c>
      <c r="J22" s="24">
        <v>6.9821430448116297</v>
      </c>
      <c r="K22" s="20" t="s">
        <v>80</v>
      </c>
      <c r="L22" s="20" t="s">
        <v>80</v>
      </c>
      <c r="M22" s="26" t="s">
        <v>80</v>
      </c>
      <c r="N22" s="20" t="s">
        <v>80</v>
      </c>
      <c r="O22" s="20" t="s">
        <v>80</v>
      </c>
      <c r="P22" s="26" t="s">
        <v>80</v>
      </c>
    </row>
    <row r="23" spans="1:16">
      <c r="A23" s="9" t="s">
        <v>172</v>
      </c>
      <c r="B23" s="15">
        <v>15.7413105275281</v>
      </c>
      <c r="C23" s="15">
        <v>15.040010872117801</v>
      </c>
      <c r="D23" s="24">
        <v>16.324373818068398</v>
      </c>
      <c r="E23" s="15">
        <v>11.401986977444</v>
      </c>
      <c r="F23" s="15">
        <v>12.5281684201173</v>
      </c>
      <c r="G23" s="24">
        <v>10.444528011324801</v>
      </c>
      <c r="H23" s="15">
        <v>20.2243953050498</v>
      </c>
      <c r="I23" s="15">
        <v>17.884846019607899</v>
      </c>
      <c r="J23" s="24">
        <v>22.141720036897901</v>
      </c>
      <c r="K23" s="20" t="s">
        <v>80</v>
      </c>
      <c r="L23" s="20" t="s">
        <v>80</v>
      </c>
      <c r="M23" s="26" t="s">
        <v>80</v>
      </c>
      <c r="N23" s="20" t="s">
        <v>80</v>
      </c>
      <c r="O23" s="20" t="s">
        <v>80</v>
      </c>
      <c r="P23" s="26" t="s">
        <v>80</v>
      </c>
    </row>
    <row r="24" spans="1:16">
      <c r="A24" s="9" t="s">
        <v>173</v>
      </c>
      <c r="B24" s="15">
        <v>38.249616298589203</v>
      </c>
      <c r="C24" s="15">
        <v>38.483280294503103</v>
      </c>
      <c r="D24" s="24">
        <v>38.055347133778902</v>
      </c>
      <c r="E24" s="15">
        <v>43.608087652823798</v>
      </c>
      <c r="F24" s="15">
        <v>42.676528291740702</v>
      </c>
      <c r="G24" s="24">
        <v>44.400082467286502</v>
      </c>
      <c r="H24" s="15">
        <v>32.8558809553274</v>
      </c>
      <c r="I24" s="15">
        <v>33.740971878261099</v>
      </c>
      <c r="J24" s="24">
        <v>32.130524696737403</v>
      </c>
      <c r="K24" s="20" t="s">
        <v>80</v>
      </c>
      <c r="L24" s="20" t="s">
        <v>80</v>
      </c>
      <c r="M24" s="26" t="s">
        <v>80</v>
      </c>
      <c r="N24" s="15">
        <v>34.940816821479103</v>
      </c>
      <c r="O24" s="20" t="s">
        <v>80</v>
      </c>
      <c r="P24" s="26" t="s">
        <v>80</v>
      </c>
    </row>
    <row r="25" spans="1:16">
      <c r="A25" s="9" t="s">
        <v>174</v>
      </c>
      <c r="B25" s="15">
        <v>1.71451200149493</v>
      </c>
      <c r="C25" s="15">
        <v>2.2446197541911501</v>
      </c>
      <c r="D25" s="24">
        <v>1.2737783318808999</v>
      </c>
      <c r="E25" s="15">
        <v>2.0124812839265802</v>
      </c>
      <c r="F25" s="15">
        <v>3.03100022181642</v>
      </c>
      <c r="G25" s="26" t="s">
        <v>80</v>
      </c>
      <c r="H25" s="15">
        <v>1.1749855687424799</v>
      </c>
      <c r="I25" s="20" t="s">
        <v>80</v>
      </c>
      <c r="J25" s="26" t="s">
        <v>80</v>
      </c>
      <c r="K25" s="20" t="s">
        <v>80</v>
      </c>
      <c r="L25" s="20" t="s">
        <v>80</v>
      </c>
      <c r="M25" s="26" t="s">
        <v>80</v>
      </c>
      <c r="N25" s="20" t="s">
        <v>80</v>
      </c>
      <c r="O25" s="20" t="s">
        <v>80</v>
      </c>
      <c r="P25" s="26" t="s">
        <v>80</v>
      </c>
    </row>
    <row r="26" spans="1:16">
      <c r="A26" s="9" t="s">
        <v>175</v>
      </c>
      <c r="B26" s="15">
        <v>26.028548318636201</v>
      </c>
      <c r="C26" s="15">
        <v>25.396501601421399</v>
      </c>
      <c r="D26" s="24">
        <v>26.554034444105501</v>
      </c>
      <c r="E26" s="15">
        <v>29.9498865939178</v>
      </c>
      <c r="F26" s="15">
        <v>29.552262009585899</v>
      </c>
      <c r="G26" s="24">
        <v>30.287939778770799</v>
      </c>
      <c r="H26" s="15">
        <v>21.754697995646801</v>
      </c>
      <c r="I26" s="15">
        <v>20.900961868363201</v>
      </c>
      <c r="J26" s="24">
        <v>22.4543581402306</v>
      </c>
      <c r="K26" s="20" t="s">
        <v>80</v>
      </c>
      <c r="L26" s="20" t="s">
        <v>80</v>
      </c>
      <c r="M26" s="26" t="s">
        <v>80</v>
      </c>
      <c r="N26" s="15">
        <v>24.673909136780601</v>
      </c>
      <c r="O26" s="20" t="s">
        <v>80</v>
      </c>
      <c r="P26" s="26" t="s">
        <v>80</v>
      </c>
    </row>
    <row r="27" spans="1:16">
      <c r="A27" s="9" t="s">
        <v>176</v>
      </c>
      <c r="B27" s="15">
        <v>9.65627323382685</v>
      </c>
      <c r="C27" s="15">
        <v>13.447456158264</v>
      </c>
      <c r="D27" s="24">
        <v>6.5042688461023896</v>
      </c>
      <c r="E27" s="15">
        <v>5.01439603959727</v>
      </c>
      <c r="F27" s="15">
        <v>6.8654845585376796</v>
      </c>
      <c r="G27" s="24">
        <v>3.4406342705053699</v>
      </c>
      <c r="H27" s="15">
        <v>14.657066058428899</v>
      </c>
      <c r="I27" s="15">
        <v>21.169002007444899</v>
      </c>
      <c r="J27" s="24">
        <v>9.3203561524006293</v>
      </c>
      <c r="K27" s="20" t="s">
        <v>80</v>
      </c>
      <c r="L27" s="20" t="s">
        <v>80</v>
      </c>
      <c r="M27" s="26" t="s">
        <v>80</v>
      </c>
      <c r="N27" s="20" t="s">
        <v>80</v>
      </c>
      <c r="O27" s="20" t="s">
        <v>80</v>
      </c>
      <c r="P27" s="26" t="s">
        <v>80</v>
      </c>
    </row>
    <row r="28" spans="1:16">
      <c r="A28" s="9" t="s">
        <v>177</v>
      </c>
      <c r="B28" s="15">
        <v>11.3509160279949</v>
      </c>
      <c r="C28" s="15">
        <v>12.6403972254256</v>
      </c>
      <c r="D28" s="24">
        <v>10.2788362910897</v>
      </c>
      <c r="E28" s="15">
        <v>8.2325426418963303</v>
      </c>
      <c r="F28" s="15">
        <v>9.7783977198359509</v>
      </c>
      <c r="G28" s="24">
        <v>6.9182847891111301</v>
      </c>
      <c r="H28" s="15">
        <v>14.7181771287686</v>
      </c>
      <c r="I28" s="15">
        <v>16.089312055122502</v>
      </c>
      <c r="J28" s="24">
        <v>13.594494494101401</v>
      </c>
      <c r="K28" s="20" t="s">
        <v>80</v>
      </c>
      <c r="L28" s="20" t="s">
        <v>80</v>
      </c>
      <c r="M28" s="26" t="s">
        <v>80</v>
      </c>
      <c r="N28" s="20" t="s">
        <v>80</v>
      </c>
      <c r="O28" s="20" t="s">
        <v>80</v>
      </c>
      <c r="P28" s="26" t="s">
        <v>80</v>
      </c>
    </row>
    <row r="29" spans="1:16">
      <c r="A29" s="9" t="s">
        <v>178</v>
      </c>
      <c r="B29" s="15">
        <v>1.95108582821229</v>
      </c>
      <c r="C29" s="15">
        <v>2.51431974257827</v>
      </c>
      <c r="D29" s="24">
        <v>1.4828109375565299</v>
      </c>
      <c r="E29" s="15">
        <v>2.43598539151392</v>
      </c>
      <c r="F29" s="15">
        <v>3.5255886277883501</v>
      </c>
      <c r="G29" s="26" t="s">
        <v>80</v>
      </c>
      <c r="H29" s="15">
        <v>1.0780970457471699</v>
      </c>
      <c r="I29" s="20" t="s">
        <v>80</v>
      </c>
      <c r="J29" s="26" t="s">
        <v>80</v>
      </c>
      <c r="K29" s="20" t="s">
        <v>80</v>
      </c>
      <c r="L29" s="20" t="s">
        <v>80</v>
      </c>
      <c r="M29" s="26" t="s">
        <v>80</v>
      </c>
      <c r="N29" s="20" t="s">
        <v>80</v>
      </c>
      <c r="O29" s="20" t="s">
        <v>80</v>
      </c>
      <c r="P29" s="26" t="s">
        <v>80</v>
      </c>
    </row>
    <row r="30" spans="1:16">
      <c r="A30" s="9" t="s">
        <v>179</v>
      </c>
      <c r="B30" s="15">
        <v>3.8081161143932301</v>
      </c>
      <c r="C30" s="15">
        <v>5.3317388376441004</v>
      </c>
      <c r="D30" s="24">
        <v>2.5413701924363101</v>
      </c>
      <c r="E30" s="15">
        <v>4.6612468465036203</v>
      </c>
      <c r="F30" s="15">
        <v>6.3973360026122998</v>
      </c>
      <c r="G30" s="24">
        <v>3.18525544270905</v>
      </c>
      <c r="H30" s="15">
        <v>2.5417220694963301</v>
      </c>
      <c r="I30" s="15">
        <v>3.9398505200085698</v>
      </c>
      <c r="J30" s="26" t="s">
        <v>80</v>
      </c>
      <c r="K30" s="20" t="s">
        <v>80</v>
      </c>
      <c r="L30" s="20" t="s">
        <v>80</v>
      </c>
      <c r="M30" s="26" t="s">
        <v>80</v>
      </c>
      <c r="N30" s="20" t="s">
        <v>80</v>
      </c>
      <c r="O30" s="20" t="s">
        <v>80</v>
      </c>
      <c r="P30" s="26" t="s">
        <v>80</v>
      </c>
    </row>
    <row r="31" spans="1:16">
      <c r="A31" s="9" t="s">
        <v>180</v>
      </c>
      <c r="B31" s="15">
        <v>5.52652947893095</v>
      </c>
      <c r="C31" s="15">
        <v>7.4053959408146399</v>
      </c>
      <c r="D31" s="24">
        <v>3.96443251609842</v>
      </c>
      <c r="E31" s="15">
        <v>6.8745902329421398</v>
      </c>
      <c r="F31" s="15">
        <v>9.9560061156272006</v>
      </c>
      <c r="G31" s="24">
        <v>4.2548265310862101</v>
      </c>
      <c r="H31" s="15">
        <v>3.69633754396797</v>
      </c>
      <c r="I31" s="15">
        <v>4.5404607602447902</v>
      </c>
      <c r="J31" s="24">
        <v>3.0045554433019301</v>
      </c>
      <c r="K31" s="20" t="s">
        <v>80</v>
      </c>
      <c r="L31" s="20" t="s">
        <v>80</v>
      </c>
      <c r="M31" s="26" t="s">
        <v>80</v>
      </c>
      <c r="N31" s="20" t="s">
        <v>80</v>
      </c>
      <c r="O31" s="20" t="s">
        <v>80</v>
      </c>
      <c r="P31" s="26" t="s">
        <v>80</v>
      </c>
    </row>
    <row r="32" spans="1:16">
      <c r="A32" s="9" t="s">
        <v>181</v>
      </c>
      <c r="B32" s="15">
        <v>1.2293802020902</v>
      </c>
      <c r="C32" s="15">
        <v>1.36656455170028</v>
      </c>
      <c r="D32" s="24">
        <v>1.115324594509</v>
      </c>
      <c r="E32" s="15">
        <v>1.28247228595081</v>
      </c>
      <c r="F32" s="20" t="s">
        <v>80</v>
      </c>
      <c r="G32" s="26" t="s">
        <v>80</v>
      </c>
      <c r="H32" s="20" t="s">
        <v>80</v>
      </c>
      <c r="I32" s="20" t="s">
        <v>80</v>
      </c>
      <c r="J32" s="26" t="s">
        <v>80</v>
      </c>
      <c r="K32" s="20" t="s">
        <v>80</v>
      </c>
      <c r="L32" s="20" t="s">
        <v>80</v>
      </c>
      <c r="M32" s="26" t="s">
        <v>80</v>
      </c>
      <c r="N32" s="20" t="s">
        <v>80</v>
      </c>
      <c r="O32" s="20" t="s">
        <v>80</v>
      </c>
      <c r="P32" s="26" t="s">
        <v>80</v>
      </c>
    </row>
    <row r="33" spans="1:16">
      <c r="A33" s="9" t="s">
        <v>182</v>
      </c>
      <c r="B33" s="15">
        <v>4.8291897260420598</v>
      </c>
      <c r="C33" s="15">
        <v>6.11446784802878</v>
      </c>
      <c r="D33" s="24">
        <v>3.7606044425846799</v>
      </c>
      <c r="E33" s="15">
        <v>4.9463060732300699</v>
      </c>
      <c r="F33" s="15">
        <v>6.1483057492975304</v>
      </c>
      <c r="G33" s="24">
        <v>3.9243878249668098</v>
      </c>
      <c r="H33" s="15">
        <v>4.6180933192030604</v>
      </c>
      <c r="I33" s="15">
        <v>6.0340193345224398</v>
      </c>
      <c r="J33" s="24">
        <v>3.4577031600676902</v>
      </c>
      <c r="K33" s="20" t="s">
        <v>80</v>
      </c>
      <c r="L33" s="20" t="s">
        <v>80</v>
      </c>
      <c r="M33" s="26" t="s">
        <v>80</v>
      </c>
      <c r="N33" s="20" t="s">
        <v>80</v>
      </c>
      <c r="O33" s="20" t="s">
        <v>80</v>
      </c>
      <c r="P33" s="26" t="s">
        <v>80</v>
      </c>
    </row>
    <row r="34" spans="1:16">
      <c r="A34" s="9" t="s">
        <v>183</v>
      </c>
      <c r="B34" s="15">
        <v>17.1711753990345</v>
      </c>
      <c r="C34" s="15">
        <v>14.822179498997899</v>
      </c>
      <c r="D34" s="24">
        <v>19.124139824976002</v>
      </c>
      <c r="E34" s="15">
        <v>23.661997252444198</v>
      </c>
      <c r="F34" s="15">
        <v>20.8248646954669</v>
      </c>
      <c r="G34" s="24">
        <v>26.0740757167267</v>
      </c>
      <c r="H34" s="15">
        <v>10.490934947207</v>
      </c>
      <c r="I34" s="15">
        <v>8.4519472141659495</v>
      </c>
      <c r="J34" s="24">
        <v>12.1619412529177</v>
      </c>
      <c r="K34" s="20" t="s">
        <v>80</v>
      </c>
      <c r="L34" s="20" t="s">
        <v>80</v>
      </c>
      <c r="M34" s="26" t="s">
        <v>80</v>
      </c>
      <c r="N34" s="20" t="s">
        <v>80</v>
      </c>
      <c r="O34" s="20" t="s">
        <v>80</v>
      </c>
      <c r="P34" s="26" t="s">
        <v>80</v>
      </c>
    </row>
    <row r="35" spans="1:16">
      <c r="A35" s="9" t="s">
        <v>184</v>
      </c>
      <c r="B35" s="15">
        <v>19.794693965236899</v>
      </c>
      <c r="C35" s="15">
        <v>17.474882900470401</v>
      </c>
      <c r="D35" s="24">
        <v>21.7233940043999</v>
      </c>
      <c r="E35" s="15">
        <v>26.813624303334201</v>
      </c>
      <c r="F35" s="15">
        <v>22.223442205262302</v>
      </c>
      <c r="G35" s="24">
        <v>30.716113582048202</v>
      </c>
      <c r="H35" s="15">
        <v>12.5464212142529</v>
      </c>
      <c r="I35" s="15">
        <v>12.604753586206799</v>
      </c>
      <c r="J35" s="24">
        <v>12.498616237409401</v>
      </c>
      <c r="K35" s="20" t="s">
        <v>80</v>
      </c>
      <c r="L35" s="20" t="s">
        <v>80</v>
      </c>
      <c r="M35" s="26" t="s">
        <v>80</v>
      </c>
      <c r="N35" s="20" t="s">
        <v>80</v>
      </c>
      <c r="O35" s="20" t="s">
        <v>80</v>
      </c>
      <c r="P35" s="26" t="s">
        <v>80</v>
      </c>
    </row>
    <row r="36" spans="1:16">
      <c r="A36" s="9" t="s">
        <v>185</v>
      </c>
      <c r="B36" s="15">
        <v>13.7900574110813</v>
      </c>
      <c r="C36" s="15">
        <v>15.171912492924299</v>
      </c>
      <c r="D36" s="24">
        <v>12.641177663524701</v>
      </c>
      <c r="E36" s="15">
        <v>9.1901609387122907</v>
      </c>
      <c r="F36" s="15">
        <v>13.630499555559201</v>
      </c>
      <c r="G36" s="24">
        <v>5.4150658605924402</v>
      </c>
      <c r="H36" s="15">
        <v>17.919848511112601</v>
      </c>
      <c r="I36" s="15">
        <v>16.0551841334598</v>
      </c>
      <c r="J36" s="24">
        <v>19.4479920514589</v>
      </c>
      <c r="K36" s="20" t="s">
        <v>80</v>
      </c>
      <c r="L36" s="20" t="s">
        <v>80</v>
      </c>
      <c r="M36" s="26" t="s">
        <v>80</v>
      </c>
      <c r="N36" s="15">
        <v>26.1560305610104</v>
      </c>
      <c r="O36" s="20" t="s">
        <v>80</v>
      </c>
      <c r="P36" s="26" t="s">
        <v>80</v>
      </c>
    </row>
    <row r="37" spans="1:16">
      <c r="A37" s="9" t="s">
        <v>186</v>
      </c>
      <c r="B37" s="15">
        <v>20.338760214084999</v>
      </c>
      <c r="C37" s="15">
        <v>18.5832677624654</v>
      </c>
      <c r="D37" s="24">
        <v>21.7982835397614</v>
      </c>
      <c r="E37" s="15">
        <v>17.965820484449701</v>
      </c>
      <c r="F37" s="15">
        <v>18.0616012059605</v>
      </c>
      <c r="G37" s="24">
        <v>17.884389458225201</v>
      </c>
      <c r="H37" s="15">
        <v>23.1718315594918</v>
      </c>
      <c r="I37" s="15">
        <v>19.714629369500301</v>
      </c>
      <c r="J37" s="24">
        <v>26.005103464946899</v>
      </c>
      <c r="K37" s="20" t="s">
        <v>80</v>
      </c>
      <c r="L37" s="20" t="s">
        <v>80</v>
      </c>
      <c r="M37" s="26" t="s">
        <v>80</v>
      </c>
      <c r="N37" s="20" t="s">
        <v>80</v>
      </c>
      <c r="O37" s="20" t="s">
        <v>80</v>
      </c>
      <c r="P37" s="26" t="s">
        <v>80</v>
      </c>
    </row>
    <row r="38" spans="1:16">
      <c r="A38" s="9" t="s">
        <v>187</v>
      </c>
      <c r="B38" s="15">
        <v>21.5241983165295</v>
      </c>
      <c r="C38" s="15">
        <v>28.476656097446899</v>
      </c>
      <c r="D38" s="24">
        <v>15.743897585149099</v>
      </c>
      <c r="E38" s="15">
        <v>27.749621790667899</v>
      </c>
      <c r="F38" s="15">
        <v>34.782577449384</v>
      </c>
      <c r="G38" s="24">
        <v>21.770330889041201</v>
      </c>
      <c r="H38" s="15">
        <v>14.528366057217401</v>
      </c>
      <c r="I38" s="15">
        <v>21.342276617511398</v>
      </c>
      <c r="J38" s="24">
        <v>8.9441796845909902</v>
      </c>
      <c r="K38" s="20" t="s">
        <v>80</v>
      </c>
      <c r="L38" s="20" t="s">
        <v>80</v>
      </c>
      <c r="M38" s="26" t="s">
        <v>80</v>
      </c>
      <c r="N38" s="15">
        <v>24.490929293854101</v>
      </c>
      <c r="O38" s="20" t="s">
        <v>80</v>
      </c>
      <c r="P38" s="26" t="s">
        <v>80</v>
      </c>
    </row>
    <row r="39" spans="1:16">
      <c r="A39" s="9" t="s">
        <v>188</v>
      </c>
      <c r="B39" s="15">
        <v>36.5389825724152</v>
      </c>
      <c r="C39" s="15">
        <v>28.117421225128901</v>
      </c>
      <c r="D39" s="24">
        <v>43.540701784388801</v>
      </c>
      <c r="E39" s="15">
        <v>43.637780162993501</v>
      </c>
      <c r="F39" s="15">
        <v>36.604969922775901</v>
      </c>
      <c r="G39" s="24">
        <v>49.616947432459398</v>
      </c>
      <c r="H39" s="15">
        <v>29.475523929341701</v>
      </c>
      <c r="I39" s="15">
        <v>19.2338292782316</v>
      </c>
      <c r="J39" s="24">
        <v>37.8688732692342</v>
      </c>
      <c r="K39" s="20" t="s">
        <v>80</v>
      </c>
      <c r="L39" s="20" t="s">
        <v>80</v>
      </c>
      <c r="M39" s="26" t="s">
        <v>80</v>
      </c>
      <c r="N39" s="15">
        <v>28.731759504205598</v>
      </c>
      <c r="O39" s="20" t="s">
        <v>80</v>
      </c>
      <c r="P39" s="26" t="s">
        <v>80</v>
      </c>
    </row>
    <row r="40" spans="1:16">
      <c r="A40" s="9" t="s">
        <v>189</v>
      </c>
      <c r="B40" s="15">
        <v>13.4072775342353</v>
      </c>
      <c r="C40" s="15">
        <v>15.8681725040011</v>
      </c>
      <c r="D40" s="24">
        <v>11.3612797818102</v>
      </c>
      <c r="E40" s="15">
        <v>7.62040301621479</v>
      </c>
      <c r="F40" s="15">
        <v>10.087386331425799</v>
      </c>
      <c r="G40" s="24">
        <v>5.5230187005856699</v>
      </c>
      <c r="H40" s="15">
        <v>19.0695502367507</v>
      </c>
      <c r="I40" s="15">
        <v>22.232707795386201</v>
      </c>
      <c r="J40" s="24">
        <v>16.477255962104302</v>
      </c>
      <c r="K40" s="20" t="s">
        <v>80</v>
      </c>
      <c r="L40" s="20" t="s">
        <v>80</v>
      </c>
      <c r="M40" s="26" t="s">
        <v>80</v>
      </c>
      <c r="N40" s="20" t="s">
        <v>80</v>
      </c>
      <c r="O40" s="20" t="s">
        <v>80</v>
      </c>
      <c r="P40" s="26" t="s">
        <v>80</v>
      </c>
    </row>
    <row r="41" spans="1:16">
      <c r="A41" s="9" t="s">
        <v>190</v>
      </c>
      <c r="B41" s="15">
        <v>21.264396075073101</v>
      </c>
      <c r="C41" s="15">
        <v>19.348796908745101</v>
      </c>
      <c r="D41" s="24">
        <v>22.857032752788498</v>
      </c>
      <c r="E41" s="15">
        <v>22.389393195476998</v>
      </c>
      <c r="F41" s="15">
        <v>21.370979775832598</v>
      </c>
      <c r="G41" s="24">
        <v>23.2552297497894</v>
      </c>
      <c r="H41" s="15">
        <v>19.883280795568599</v>
      </c>
      <c r="I41" s="15">
        <v>17.2290082947952</v>
      </c>
      <c r="J41" s="24">
        <v>22.058529824287302</v>
      </c>
      <c r="K41" s="20" t="s">
        <v>80</v>
      </c>
      <c r="L41" s="20" t="s">
        <v>80</v>
      </c>
      <c r="M41" s="26" t="s">
        <v>80</v>
      </c>
      <c r="N41" s="20" t="s">
        <v>80</v>
      </c>
      <c r="O41" s="20" t="s">
        <v>80</v>
      </c>
      <c r="P41" s="26" t="s">
        <v>80</v>
      </c>
    </row>
    <row r="42" spans="1:16">
      <c r="A42" s="9" t="s">
        <v>191</v>
      </c>
      <c r="B42" s="15">
        <v>5.1866056513621404</v>
      </c>
      <c r="C42" s="15">
        <v>6.4238772178426702</v>
      </c>
      <c r="D42" s="24">
        <v>4.1579332068816797</v>
      </c>
      <c r="E42" s="15">
        <v>5.6912570362624297</v>
      </c>
      <c r="F42" s="15">
        <v>7.4286424762477701</v>
      </c>
      <c r="G42" s="24">
        <v>4.21416355550822</v>
      </c>
      <c r="H42" s="15">
        <v>4.35653866662709</v>
      </c>
      <c r="I42" s="15">
        <v>5.1165609137573203</v>
      </c>
      <c r="J42" s="24">
        <v>3.7336796141398501</v>
      </c>
      <c r="K42" s="20" t="s">
        <v>80</v>
      </c>
      <c r="L42" s="20" t="s">
        <v>80</v>
      </c>
      <c r="M42" s="26" t="s">
        <v>80</v>
      </c>
      <c r="N42" s="20" t="s">
        <v>80</v>
      </c>
      <c r="O42" s="20" t="s">
        <v>80</v>
      </c>
      <c r="P42" s="26" t="s">
        <v>80</v>
      </c>
    </row>
    <row r="43" spans="1:16">
      <c r="A43" s="9" t="s">
        <v>192</v>
      </c>
      <c r="B43" s="15">
        <v>20.1034665483458</v>
      </c>
      <c r="C43" s="15">
        <v>21.611180064755199</v>
      </c>
      <c r="D43" s="24">
        <v>18.849947603501001</v>
      </c>
      <c r="E43" s="15">
        <v>26.018637112863701</v>
      </c>
      <c r="F43" s="15">
        <v>27.5421165394065</v>
      </c>
      <c r="G43" s="24">
        <v>24.723402631660399</v>
      </c>
      <c r="H43" s="15">
        <v>13.576023847779201</v>
      </c>
      <c r="I43" s="15">
        <v>14.7659327643373</v>
      </c>
      <c r="J43" s="24">
        <v>12.6008608928631</v>
      </c>
      <c r="K43" s="20" t="s">
        <v>80</v>
      </c>
      <c r="L43" s="20" t="s">
        <v>80</v>
      </c>
      <c r="M43" s="26" t="s">
        <v>80</v>
      </c>
      <c r="N43" s="15">
        <v>24.661384612615301</v>
      </c>
      <c r="O43" s="20" t="s">
        <v>80</v>
      </c>
      <c r="P43" s="26" t="s">
        <v>80</v>
      </c>
    </row>
    <row r="44" spans="1:16">
      <c r="A44" s="9" t="s">
        <v>193</v>
      </c>
      <c r="B44" s="15">
        <v>59.937628059088397</v>
      </c>
      <c r="C44" s="15">
        <v>54.446079359877601</v>
      </c>
      <c r="D44" s="24">
        <v>64.503323236639105</v>
      </c>
      <c r="E44" s="15">
        <v>62.1592074551873</v>
      </c>
      <c r="F44" s="15">
        <v>59.126390257954199</v>
      </c>
      <c r="G44" s="24">
        <v>64.737653439165499</v>
      </c>
      <c r="H44" s="15">
        <v>57.463685699337603</v>
      </c>
      <c r="I44" s="15">
        <v>49.538197429739199</v>
      </c>
      <c r="J44" s="24">
        <v>63.958840456636402</v>
      </c>
      <c r="K44" s="15">
        <v>68.905379046087305</v>
      </c>
      <c r="L44" s="20" t="s">
        <v>80</v>
      </c>
      <c r="M44" s="24">
        <v>73.630623404649199</v>
      </c>
      <c r="N44" s="15">
        <v>56.548560693179603</v>
      </c>
      <c r="O44" s="15">
        <v>50.259631289843902</v>
      </c>
      <c r="P44" s="24">
        <v>63.316487166432402</v>
      </c>
    </row>
    <row r="45" spans="1:16">
      <c r="A45" s="9" t="s">
        <v>194</v>
      </c>
      <c r="B45" s="15">
        <v>3.9508472833916</v>
      </c>
      <c r="C45" s="15">
        <v>5.6322336989313602</v>
      </c>
      <c r="D45" s="24">
        <v>2.5529360074463701</v>
      </c>
      <c r="E45" s="15">
        <v>4.3768345516035998</v>
      </c>
      <c r="F45" s="15">
        <v>6.1805408660186298</v>
      </c>
      <c r="G45" s="24">
        <v>2.8433562704456099</v>
      </c>
      <c r="H45" s="15">
        <v>3.2000501083448398</v>
      </c>
      <c r="I45" s="15">
        <v>4.9563087937325001</v>
      </c>
      <c r="J45" s="24">
        <v>1.7607480026058</v>
      </c>
      <c r="K45" s="20" t="s">
        <v>80</v>
      </c>
      <c r="L45" s="20" t="s">
        <v>80</v>
      </c>
      <c r="M45" s="26" t="s">
        <v>80</v>
      </c>
      <c r="N45" s="20" t="s">
        <v>80</v>
      </c>
      <c r="O45" s="20" t="s">
        <v>80</v>
      </c>
      <c r="P45" s="26" t="s">
        <v>80</v>
      </c>
    </row>
    <row r="46" spans="1:16">
      <c r="A46" s="9" t="s">
        <v>195</v>
      </c>
      <c r="B46" s="15">
        <v>22.096765634641301</v>
      </c>
      <c r="C46" s="15">
        <v>24.2132559001505</v>
      </c>
      <c r="D46" s="24">
        <v>20.3371073072997</v>
      </c>
      <c r="E46" s="15">
        <v>18.9523667728559</v>
      </c>
      <c r="F46" s="15">
        <v>23.317390256354599</v>
      </c>
      <c r="G46" s="24">
        <v>15.241303250377401</v>
      </c>
      <c r="H46" s="15">
        <v>24.798545125484701</v>
      </c>
      <c r="I46" s="15">
        <v>25.415597693691101</v>
      </c>
      <c r="J46" s="24">
        <v>24.292853641558999</v>
      </c>
      <c r="K46" s="15">
        <v>41.613358094860402</v>
      </c>
      <c r="L46" s="20" t="s">
        <v>80</v>
      </c>
      <c r="M46" s="26" t="s">
        <v>80</v>
      </c>
      <c r="N46" s="15">
        <v>24.5984988960885</v>
      </c>
      <c r="O46" s="20" t="s">
        <v>80</v>
      </c>
      <c r="P46" s="26" t="s">
        <v>80</v>
      </c>
    </row>
    <row r="47" spans="1:16">
      <c r="A47" s="9" t="s">
        <v>196</v>
      </c>
      <c r="B47" s="15">
        <v>7.3039376932554498</v>
      </c>
      <c r="C47" s="15">
        <v>6.22794070116655</v>
      </c>
      <c r="D47" s="24">
        <v>8.1985258225649993</v>
      </c>
      <c r="E47" s="15">
        <v>7.6183959934349099</v>
      </c>
      <c r="F47" s="15">
        <v>6.7306649515160704</v>
      </c>
      <c r="G47" s="24">
        <v>8.3731287686171996</v>
      </c>
      <c r="H47" s="15">
        <v>6.7537588081529103</v>
      </c>
      <c r="I47" s="15">
        <v>5.6732487366172197</v>
      </c>
      <c r="J47" s="24">
        <v>7.6392664125695502</v>
      </c>
      <c r="K47" s="20" t="s">
        <v>80</v>
      </c>
      <c r="L47" s="20" t="s">
        <v>80</v>
      </c>
      <c r="M47" s="26" t="s">
        <v>80</v>
      </c>
      <c r="N47" s="20" t="s">
        <v>80</v>
      </c>
      <c r="O47" s="20" t="s">
        <v>80</v>
      </c>
      <c r="P47" s="26" t="s">
        <v>80</v>
      </c>
    </row>
    <row r="48" spans="1:16">
      <c r="A48" s="9" t="s">
        <v>197</v>
      </c>
      <c r="B48" s="15">
        <v>6.0422946434935199</v>
      </c>
      <c r="C48" s="15">
        <v>7.4530471420076099</v>
      </c>
      <c r="D48" s="24">
        <v>4.8693894701115497</v>
      </c>
      <c r="E48" s="15">
        <v>6.6105790296651303</v>
      </c>
      <c r="F48" s="15">
        <v>7.9903036719441802</v>
      </c>
      <c r="G48" s="24">
        <v>5.4375622497135803</v>
      </c>
      <c r="H48" s="15">
        <v>5.2273019204922999</v>
      </c>
      <c r="I48" s="15">
        <v>6.9378219089406503</v>
      </c>
      <c r="J48" s="24">
        <v>3.82548392991594</v>
      </c>
      <c r="K48" s="20" t="s">
        <v>80</v>
      </c>
      <c r="L48" s="20" t="s">
        <v>80</v>
      </c>
      <c r="M48" s="26" t="s">
        <v>80</v>
      </c>
      <c r="N48" s="20" t="s">
        <v>80</v>
      </c>
      <c r="O48" s="20" t="s">
        <v>80</v>
      </c>
      <c r="P48" s="26" t="s">
        <v>80</v>
      </c>
    </row>
    <row r="49" spans="1:16">
      <c r="A49" s="9" t="s">
        <v>198</v>
      </c>
      <c r="B49" s="15">
        <v>16.298847606044699</v>
      </c>
      <c r="C49" s="15">
        <v>16.051677659095201</v>
      </c>
      <c r="D49" s="24">
        <v>16.504345671642199</v>
      </c>
      <c r="E49" s="15">
        <v>16.9019576093513</v>
      </c>
      <c r="F49" s="15">
        <v>18.211009895008001</v>
      </c>
      <c r="G49" s="24">
        <v>15.7890251807671</v>
      </c>
      <c r="H49" s="15">
        <v>15.843727555486099</v>
      </c>
      <c r="I49" s="15">
        <v>13.944809678574201</v>
      </c>
      <c r="J49" s="24">
        <v>17.3999427768568</v>
      </c>
      <c r="K49" s="20" t="s">
        <v>80</v>
      </c>
      <c r="L49" s="20" t="s">
        <v>80</v>
      </c>
      <c r="M49" s="26" t="s">
        <v>80</v>
      </c>
      <c r="N49" s="20" t="s">
        <v>80</v>
      </c>
      <c r="O49" s="20" t="s">
        <v>80</v>
      </c>
      <c r="P49" s="26" t="s">
        <v>80</v>
      </c>
    </row>
    <row r="50" spans="1:16">
      <c r="A50" s="9" t="s">
        <v>199</v>
      </c>
      <c r="B50" s="15">
        <v>43.971310043913299</v>
      </c>
      <c r="C50" s="15">
        <v>41.8333979668895</v>
      </c>
      <c r="D50" s="24">
        <v>45.7487785495642</v>
      </c>
      <c r="E50" s="15">
        <v>43.2954607912705</v>
      </c>
      <c r="F50" s="15">
        <v>42.084717076214901</v>
      </c>
      <c r="G50" s="24">
        <v>44.324813062340397</v>
      </c>
      <c r="H50" s="15">
        <v>44.576299263133699</v>
      </c>
      <c r="I50" s="15">
        <v>42.048431870555397</v>
      </c>
      <c r="J50" s="24">
        <v>46.647955842792904</v>
      </c>
      <c r="K50" s="15">
        <v>50.149684191274098</v>
      </c>
      <c r="L50" s="20" t="s">
        <v>80</v>
      </c>
      <c r="M50" s="24">
        <v>54.013765242219201</v>
      </c>
      <c r="N50" s="15">
        <v>42.8400357204928</v>
      </c>
      <c r="O50" s="20" t="s">
        <v>80</v>
      </c>
      <c r="P50" s="24">
        <v>52.5966778016193</v>
      </c>
    </row>
    <row r="51" spans="1:16">
      <c r="A51" s="9" t="s">
        <v>200</v>
      </c>
      <c r="B51" s="15">
        <v>33.159750591129203</v>
      </c>
      <c r="C51" s="15">
        <v>27.0057571551805</v>
      </c>
      <c r="D51" s="24">
        <v>38.276204927085097</v>
      </c>
      <c r="E51" s="15">
        <v>38.139154964096299</v>
      </c>
      <c r="F51" s="15">
        <v>31.953306338070298</v>
      </c>
      <c r="G51" s="24">
        <v>43.398250883832198</v>
      </c>
      <c r="H51" s="15">
        <v>28.130920437663299</v>
      </c>
      <c r="I51" s="15">
        <v>21.929879923311599</v>
      </c>
      <c r="J51" s="24">
        <v>33.2128430179405</v>
      </c>
      <c r="K51" s="20" t="s">
        <v>80</v>
      </c>
      <c r="L51" s="20" t="s">
        <v>80</v>
      </c>
      <c r="M51" s="26" t="s">
        <v>80</v>
      </c>
      <c r="N51" s="15">
        <v>25.693515060437502</v>
      </c>
      <c r="O51" s="20" t="s">
        <v>80</v>
      </c>
      <c r="P51" s="26" t="s">
        <v>80</v>
      </c>
    </row>
    <row r="52" spans="1:16">
      <c r="A52" s="9" t="s">
        <v>201</v>
      </c>
      <c r="B52" s="15">
        <v>12.481033922325</v>
      </c>
      <c r="C52" s="15">
        <v>12.896297553673</v>
      </c>
      <c r="D52" s="24">
        <v>12.1357821066886</v>
      </c>
      <c r="E52" s="15">
        <v>15.511694951320299</v>
      </c>
      <c r="F52" s="15">
        <v>16.541310369926499</v>
      </c>
      <c r="G52" s="24">
        <v>14.6363346613664</v>
      </c>
      <c r="H52" s="15">
        <v>8.9960120701360999</v>
      </c>
      <c r="I52" s="15">
        <v>8.8491158725291399</v>
      </c>
      <c r="J52" s="24">
        <v>9.1163975283262104</v>
      </c>
      <c r="K52" s="20" t="s">
        <v>80</v>
      </c>
      <c r="L52" s="20" t="s">
        <v>80</v>
      </c>
      <c r="M52" s="26" t="s">
        <v>80</v>
      </c>
      <c r="N52" s="20" t="s">
        <v>80</v>
      </c>
      <c r="O52" s="20" t="s">
        <v>80</v>
      </c>
      <c r="P52" s="26" t="s">
        <v>80</v>
      </c>
    </row>
    <row r="53" spans="1:16">
      <c r="A53" s="9" t="s">
        <v>202</v>
      </c>
      <c r="B53" s="15">
        <v>25.346436710248302</v>
      </c>
      <c r="C53" s="15">
        <v>25.524111629102698</v>
      </c>
      <c r="D53" s="24">
        <v>25.198717084216</v>
      </c>
      <c r="E53" s="15">
        <v>27.8806343487263</v>
      </c>
      <c r="F53" s="15">
        <v>29.292606019690801</v>
      </c>
      <c r="G53" s="24">
        <v>26.680201731880601</v>
      </c>
      <c r="H53" s="15">
        <v>22.550479344531201</v>
      </c>
      <c r="I53" s="15">
        <v>21.438035880148099</v>
      </c>
      <c r="J53" s="24">
        <v>23.4621572392081</v>
      </c>
      <c r="K53" s="20" t="s">
        <v>80</v>
      </c>
      <c r="L53" s="20" t="s">
        <v>80</v>
      </c>
      <c r="M53" s="26" t="s">
        <v>80</v>
      </c>
      <c r="N53" s="15">
        <v>25.428603598022999</v>
      </c>
      <c r="O53" s="20" t="s">
        <v>80</v>
      </c>
      <c r="P53" s="26" t="s">
        <v>80</v>
      </c>
    </row>
    <row r="54" spans="1:16">
      <c r="A54" s="9" t="s">
        <v>203</v>
      </c>
      <c r="B54" s="15">
        <v>35.8968881619775</v>
      </c>
      <c r="C54" s="15">
        <v>41.134641670064902</v>
      </c>
      <c r="D54" s="24">
        <v>31.5421993040766</v>
      </c>
      <c r="E54" s="15">
        <v>35.988059314293601</v>
      </c>
      <c r="F54" s="15">
        <v>42.066587881543803</v>
      </c>
      <c r="G54" s="24">
        <v>30.820204955309599</v>
      </c>
      <c r="H54" s="15">
        <v>35.882682284845203</v>
      </c>
      <c r="I54" s="15">
        <v>40.373360608670602</v>
      </c>
      <c r="J54" s="24">
        <v>32.202448375424403</v>
      </c>
      <c r="K54" s="15">
        <v>40.209522919145499</v>
      </c>
      <c r="L54" s="20" t="s">
        <v>80</v>
      </c>
      <c r="M54" s="26" t="s">
        <v>80</v>
      </c>
      <c r="N54" s="15">
        <v>31.627493491577798</v>
      </c>
      <c r="O54" s="20" t="s">
        <v>80</v>
      </c>
      <c r="P54" s="26" t="s">
        <v>80</v>
      </c>
    </row>
    <row r="55" spans="1:16">
      <c r="A55" s="9" t="s">
        <v>204</v>
      </c>
      <c r="B55" s="15">
        <v>4.8541304252503501</v>
      </c>
      <c r="C55" s="15">
        <v>6.2207036686917201</v>
      </c>
      <c r="D55" s="24">
        <v>3.71795605821857</v>
      </c>
      <c r="E55" s="15">
        <v>5.4935547968439398</v>
      </c>
      <c r="F55" s="15">
        <v>7.6850044545465597</v>
      </c>
      <c r="G55" s="24">
        <v>3.6304241821307701</v>
      </c>
      <c r="H55" s="15">
        <v>4.0747508673196302</v>
      </c>
      <c r="I55" s="15">
        <v>4.76702099019331</v>
      </c>
      <c r="J55" s="24">
        <v>3.5074165367438601</v>
      </c>
      <c r="K55" s="20" t="s">
        <v>80</v>
      </c>
      <c r="L55" s="20" t="s">
        <v>80</v>
      </c>
      <c r="M55" s="26" t="s">
        <v>80</v>
      </c>
      <c r="N55" s="20" t="s">
        <v>80</v>
      </c>
      <c r="O55" s="20" t="s">
        <v>80</v>
      </c>
      <c r="P55" s="26" t="s">
        <v>80</v>
      </c>
    </row>
    <row r="56" spans="1:16">
      <c r="A56" s="9" t="s">
        <v>205</v>
      </c>
      <c r="B56" s="15">
        <v>12.954107126983001</v>
      </c>
      <c r="C56" s="15">
        <v>12.253253563616999</v>
      </c>
      <c r="D56" s="24">
        <v>13.536799534844</v>
      </c>
      <c r="E56" s="15">
        <v>12.4846675109158</v>
      </c>
      <c r="F56" s="15">
        <v>14.2799782509806</v>
      </c>
      <c r="G56" s="24">
        <v>10.958326994271401</v>
      </c>
      <c r="H56" s="15">
        <v>13.257322098294599</v>
      </c>
      <c r="I56" s="15">
        <v>10.0430808193648</v>
      </c>
      <c r="J56" s="24">
        <v>15.891480881171001</v>
      </c>
      <c r="K56" s="20" t="s">
        <v>80</v>
      </c>
      <c r="L56" s="20" t="s">
        <v>80</v>
      </c>
      <c r="M56" s="26" t="s">
        <v>80</v>
      </c>
      <c r="N56" s="20" t="s">
        <v>80</v>
      </c>
      <c r="O56" s="20" t="s">
        <v>80</v>
      </c>
      <c r="P56" s="26" t="s">
        <v>80</v>
      </c>
    </row>
    <row r="57" spans="1:16">
      <c r="A57" s="9" t="s">
        <v>206</v>
      </c>
      <c r="B57" s="15">
        <v>8.4541103188961504</v>
      </c>
      <c r="C57" s="15">
        <v>9.79737876136012</v>
      </c>
      <c r="D57" s="24">
        <v>7.3373116550155704</v>
      </c>
      <c r="E57" s="15">
        <v>8.6229765463737404</v>
      </c>
      <c r="F57" s="15">
        <v>10.427796255628801</v>
      </c>
      <c r="G57" s="24">
        <v>7.0885516771864898</v>
      </c>
      <c r="H57" s="15">
        <v>8.2394561618697999</v>
      </c>
      <c r="I57" s="15">
        <v>9.4511840176154198</v>
      </c>
      <c r="J57" s="24">
        <v>7.2464119885552396</v>
      </c>
      <c r="K57" s="20" t="s">
        <v>80</v>
      </c>
      <c r="L57" s="20" t="s">
        <v>80</v>
      </c>
      <c r="M57" s="26" t="s">
        <v>80</v>
      </c>
      <c r="N57" s="20" t="s">
        <v>80</v>
      </c>
      <c r="O57" s="20" t="s">
        <v>80</v>
      </c>
      <c r="P57" s="26" t="s">
        <v>80</v>
      </c>
    </row>
    <row r="58" spans="1:16">
      <c r="A58" s="9" t="s">
        <v>207</v>
      </c>
      <c r="B58" s="15">
        <v>20.2532114317017</v>
      </c>
      <c r="C58" s="15">
        <v>15.781168802855101</v>
      </c>
      <c r="D58" s="24">
        <v>23.971285254348501</v>
      </c>
      <c r="E58" s="15">
        <v>27.6164485388563</v>
      </c>
      <c r="F58" s="15">
        <v>20.989559988580201</v>
      </c>
      <c r="G58" s="24">
        <v>33.250508575286702</v>
      </c>
      <c r="H58" s="15">
        <v>12.5405563051751</v>
      </c>
      <c r="I58" s="15">
        <v>9.99617067580356</v>
      </c>
      <c r="J58" s="24">
        <v>14.625750032406801</v>
      </c>
      <c r="K58" s="20" t="s">
        <v>80</v>
      </c>
      <c r="L58" s="20" t="s">
        <v>80</v>
      </c>
      <c r="M58" s="26" t="s">
        <v>80</v>
      </c>
      <c r="N58" s="20" t="s">
        <v>80</v>
      </c>
      <c r="O58" s="20" t="s">
        <v>80</v>
      </c>
      <c r="P58" s="26" t="s">
        <v>80</v>
      </c>
    </row>
    <row r="59" spans="1:16">
      <c r="A59" s="9" t="s">
        <v>208</v>
      </c>
      <c r="B59" s="15">
        <v>0.71869643695372598</v>
      </c>
      <c r="C59" s="20" t="s">
        <v>80</v>
      </c>
      <c r="D59" s="26" t="s">
        <v>80</v>
      </c>
      <c r="E59" s="20" t="s">
        <v>80</v>
      </c>
      <c r="F59" s="20" t="s">
        <v>80</v>
      </c>
      <c r="G59" s="26" t="s">
        <v>80</v>
      </c>
      <c r="H59" s="20" t="s">
        <v>80</v>
      </c>
      <c r="I59" s="20" t="s">
        <v>80</v>
      </c>
      <c r="J59" s="26" t="s">
        <v>80</v>
      </c>
      <c r="K59" s="20" t="s">
        <v>80</v>
      </c>
      <c r="L59" s="20" t="s">
        <v>80</v>
      </c>
      <c r="M59" s="26" t="s">
        <v>80</v>
      </c>
      <c r="N59" s="20" t="s">
        <v>80</v>
      </c>
      <c r="O59" s="20" t="s">
        <v>80</v>
      </c>
      <c r="P59" s="26" t="s">
        <v>80</v>
      </c>
    </row>
    <row r="60" spans="1:16">
      <c r="A60" s="9" t="s">
        <v>209</v>
      </c>
      <c r="B60" s="15">
        <v>0.75785759304271905</v>
      </c>
      <c r="C60" s="20" t="s">
        <v>80</v>
      </c>
      <c r="D60" s="26" t="s">
        <v>80</v>
      </c>
      <c r="E60" s="20" t="s">
        <v>80</v>
      </c>
      <c r="F60" s="20" t="s">
        <v>80</v>
      </c>
      <c r="G60" s="26" t="s">
        <v>80</v>
      </c>
      <c r="H60" s="20" t="s">
        <v>80</v>
      </c>
      <c r="I60" s="20" t="s">
        <v>80</v>
      </c>
      <c r="J60" s="26" t="s">
        <v>80</v>
      </c>
      <c r="K60" s="20" t="s">
        <v>80</v>
      </c>
      <c r="L60" s="20" t="s">
        <v>80</v>
      </c>
      <c r="M60" s="26" t="s">
        <v>80</v>
      </c>
      <c r="N60" s="20" t="s">
        <v>80</v>
      </c>
      <c r="O60" s="20" t="s">
        <v>80</v>
      </c>
      <c r="P60" s="26" t="s">
        <v>80</v>
      </c>
    </row>
    <row r="61" spans="1:16">
      <c r="A61" s="9" t="s">
        <v>210</v>
      </c>
      <c r="B61" s="15">
        <v>0.85831397714162705</v>
      </c>
      <c r="C61" s="20" t="s">
        <v>80</v>
      </c>
      <c r="D61" s="26" t="s">
        <v>80</v>
      </c>
      <c r="E61" s="20" t="s">
        <v>80</v>
      </c>
      <c r="F61" s="20" t="s">
        <v>80</v>
      </c>
      <c r="G61" s="26" t="s">
        <v>80</v>
      </c>
      <c r="H61" s="20" t="s">
        <v>80</v>
      </c>
      <c r="I61" s="20" t="s">
        <v>80</v>
      </c>
      <c r="J61" s="26" t="s">
        <v>80</v>
      </c>
      <c r="K61" s="20" t="s">
        <v>80</v>
      </c>
      <c r="L61" s="20" t="s">
        <v>80</v>
      </c>
      <c r="M61" s="26" t="s">
        <v>80</v>
      </c>
      <c r="N61" s="20" t="s">
        <v>80</v>
      </c>
      <c r="O61" s="20" t="s">
        <v>80</v>
      </c>
      <c r="P61" s="26" t="s">
        <v>80</v>
      </c>
    </row>
    <row r="62" spans="1:16">
      <c r="A62" s="9" t="s">
        <v>211</v>
      </c>
      <c r="B62" s="15">
        <v>2.3950988681138701</v>
      </c>
      <c r="C62" s="15">
        <v>2.8506718362908399</v>
      </c>
      <c r="D62" s="24">
        <v>2.0163337113691102</v>
      </c>
      <c r="E62" s="15">
        <v>2.4373909675672101</v>
      </c>
      <c r="F62" s="15">
        <v>3.1948372971304702</v>
      </c>
      <c r="G62" s="24">
        <v>1.7934238836548799</v>
      </c>
      <c r="H62" s="15">
        <v>1.89862613599781</v>
      </c>
      <c r="I62" s="20" t="s">
        <v>80</v>
      </c>
      <c r="J62" s="26" t="s">
        <v>80</v>
      </c>
      <c r="K62" s="20" t="s">
        <v>80</v>
      </c>
      <c r="L62" s="20" t="s">
        <v>80</v>
      </c>
      <c r="M62" s="26" t="s">
        <v>80</v>
      </c>
      <c r="N62" s="20" t="s">
        <v>80</v>
      </c>
      <c r="O62" s="20" t="s">
        <v>80</v>
      </c>
      <c r="P62" s="26" t="s">
        <v>80</v>
      </c>
    </row>
    <row r="63" spans="1:16">
      <c r="A63" s="9" t="s">
        <v>212</v>
      </c>
      <c r="B63" s="15">
        <v>7.8205851042518404</v>
      </c>
      <c r="C63" s="15">
        <v>10.257770791589101</v>
      </c>
      <c r="D63" s="24">
        <v>5.7942993424465197</v>
      </c>
      <c r="E63" s="15">
        <v>10.639437430561999</v>
      </c>
      <c r="F63" s="15">
        <v>14.725641808547</v>
      </c>
      <c r="G63" s="24">
        <v>7.1654208370985701</v>
      </c>
      <c r="H63" s="15">
        <v>4.6944090619937304</v>
      </c>
      <c r="I63" s="15">
        <v>5.4047782919516498</v>
      </c>
      <c r="J63" s="24">
        <v>4.1122420173337</v>
      </c>
      <c r="K63" s="20" t="s">
        <v>80</v>
      </c>
      <c r="L63" s="20" t="s">
        <v>80</v>
      </c>
      <c r="M63" s="26" t="s">
        <v>80</v>
      </c>
      <c r="N63" s="20" t="s">
        <v>80</v>
      </c>
      <c r="O63" s="20" t="s">
        <v>80</v>
      </c>
      <c r="P63" s="26" t="s">
        <v>80</v>
      </c>
    </row>
    <row r="64" spans="1:16">
      <c r="A64" s="11" t="s">
        <v>213</v>
      </c>
      <c r="B64" s="16">
        <v>5.8801325727898499</v>
      </c>
      <c r="C64" s="16">
        <v>8.7028118719725001</v>
      </c>
      <c r="D64" s="25">
        <v>3.5333459065981399</v>
      </c>
      <c r="E64" s="16">
        <v>6.17357112340901</v>
      </c>
      <c r="F64" s="16">
        <v>8.6267223191104794</v>
      </c>
      <c r="G64" s="25">
        <v>4.0879466240431102</v>
      </c>
      <c r="H64" s="16">
        <v>5.1075856515464402</v>
      </c>
      <c r="I64" s="16">
        <v>8.1659230923542303</v>
      </c>
      <c r="J64" s="25">
        <v>2.60119433502831</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J71"/>
  <sheetViews>
    <sheetView zoomScale="55" workbookViewId="0"/>
  </sheetViews>
  <sheetFormatPr defaultColWidth="10.90625" defaultRowHeight="15"/>
  <cols>
    <col min="1" max="1" width="51.6796875" customWidth="1"/>
    <col min="2" max="35" width="13.6796875" customWidth="1"/>
  </cols>
  <sheetData>
    <row r="1" spans="1:36" ht="39.9" customHeight="1">
      <c r="A1" s="10" t="s">
        <v>223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45">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9" t="s">
        <v>152</v>
      </c>
      <c r="B3" s="36">
        <v>16.7394572593169</v>
      </c>
      <c r="C3" s="32">
        <v>18.4693664923496</v>
      </c>
      <c r="D3" s="32">
        <v>18.7270256677417</v>
      </c>
      <c r="E3" s="32">
        <v>21.1504356399663</v>
      </c>
      <c r="F3" s="15">
        <v>29.508196721311499</v>
      </c>
      <c r="G3" s="15">
        <v>8.4745762711864394</v>
      </c>
      <c r="H3" s="20" t="s">
        <v>80</v>
      </c>
      <c r="I3" s="15">
        <v>12.2222222222222</v>
      </c>
      <c r="J3" s="15">
        <v>37.5</v>
      </c>
      <c r="K3" s="15">
        <v>47.2222222222222</v>
      </c>
      <c r="L3" s="15">
        <v>33.980582524271803</v>
      </c>
      <c r="M3" s="15">
        <v>20.987654320987701</v>
      </c>
      <c r="N3" s="15">
        <v>23.728813559321999</v>
      </c>
      <c r="O3" s="15">
        <v>21.052631578947398</v>
      </c>
      <c r="P3" s="15">
        <v>34.146341463414601</v>
      </c>
      <c r="Q3" s="15">
        <v>11.656441717791401</v>
      </c>
      <c r="R3" s="15">
        <v>18.181818181818201</v>
      </c>
      <c r="S3" s="15">
        <v>22.972972972973</v>
      </c>
      <c r="T3" s="15">
        <v>15.2777777777778</v>
      </c>
      <c r="U3" s="15">
        <v>15.5737704918033</v>
      </c>
      <c r="V3" s="15">
        <v>13.5135135135135</v>
      </c>
      <c r="W3" s="15">
        <v>20.454545454545499</v>
      </c>
      <c r="X3" s="15">
        <v>19.565217391304301</v>
      </c>
      <c r="Y3" s="15">
        <v>35.4838709677419</v>
      </c>
      <c r="Z3" s="15">
        <v>32.456140350877199</v>
      </c>
      <c r="AA3" s="32">
        <v>16.7121930896378</v>
      </c>
      <c r="AB3" s="15">
        <v>13.548387096774199</v>
      </c>
      <c r="AC3" s="15">
        <v>28.391167192428998</v>
      </c>
      <c r="AD3" s="15">
        <v>13.733905579399099</v>
      </c>
      <c r="AE3" s="15">
        <v>19.093851132686101</v>
      </c>
      <c r="AF3" s="15">
        <v>17.043941411451399</v>
      </c>
      <c r="AG3" s="15">
        <v>14.657980456026101</v>
      </c>
      <c r="AH3" s="15">
        <v>17.4377224199288</v>
      </c>
      <c r="AI3" s="26" t="s">
        <v>80</v>
      </c>
      <c r="AJ3" s="38"/>
    </row>
    <row r="4" spans="1:36">
      <c r="A4" s="9" t="s">
        <v>153</v>
      </c>
      <c r="B4" s="36">
        <v>14.7652964548281</v>
      </c>
      <c r="C4" s="32">
        <v>14.770257436798699</v>
      </c>
      <c r="D4" s="32">
        <v>15.5939977964166</v>
      </c>
      <c r="E4" s="32">
        <v>17.4403314147849</v>
      </c>
      <c r="F4" s="15">
        <v>20.491803278688501</v>
      </c>
      <c r="G4" s="15">
        <v>16.9491525423729</v>
      </c>
      <c r="H4" s="15">
        <v>24.096385542168701</v>
      </c>
      <c r="I4" s="15">
        <v>8.8888888888888893</v>
      </c>
      <c r="J4" s="15">
        <v>21.428571428571399</v>
      </c>
      <c r="K4" s="15">
        <v>36.1111111111111</v>
      </c>
      <c r="L4" s="15">
        <v>22.330097087378601</v>
      </c>
      <c r="M4" s="15">
        <v>14.814814814814801</v>
      </c>
      <c r="N4" s="15">
        <v>18.644067796610202</v>
      </c>
      <c r="O4" s="15">
        <v>15.789473684210501</v>
      </c>
      <c r="P4" s="15">
        <v>31.707317073170699</v>
      </c>
      <c r="Q4" s="15">
        <v>28.220858895705501</v>
      </c>
      <c r="R4" s="15">
        <v>14.7727272727273</v>
      </c>
      <c r="S4" s="15">
        <v>9.4594594594594597</v>
      </c>
      <c r="T4" s="15">
        <v>22.2222222222222</v>
      </c>
      <c r="U4" s="15">
        <v>12.2950819672131</v>
      </c>
      <c r="V4" s="15">
        <v>6.7567567567567597</v>
      </c>
      <c r="W4" s="15">
        <v>25</v>
      </c>
      <c r="X4" s="15">
        <v>14.673913043478301</v>
      </c>
      <c r="Y4" s="15">
        <v>24.5161290322581</v>
      </c>
      <c r="Z4" s="15">
        <v>13.157894736842101</v>
      </c>
      <c r="AA4" s="32">
        <v>14.0589487675797</v>
      </c>
      <c r="AB4" s="15">
        <v>14.8387096774194</v>
      </c>
      <c r="AC4" s="15">
        <v>17.981072555204999</v>
      </c>
      <c r="AD4" s="15">
        <v>12.8755364806867</v>
      </c>
      <c r="AE4" s="15">
        <v>14.886731391585799</v>
      </c>
      <c r="AF4" s="15">
        <v>16.1118508655127</v>
      </c>
      <c r="AG4" s="15">
        <v>17.589576547231299</v>
      </c>
      <c r="AH4" s="15">
        <v>17.081850533807799</v>
      </c>
      <c r="AI4" s="26" t="s">
        <v>80</v>
      </c>
      <c r="AJ4" s="38"/>
    </row>
    <row r="5" spans="1:36">
      <c r="A5" s="9" t="s">
        <v>154</v>
      </c>
      <c r="B5" s="36">
        <v>21.645741689917799</v>
      </c>
      <c r="C5" s="32">
        <v>21.242596158900501</v>
      </c>
      <c r="D5" s="32">
        <v>22.857237986382302</v>
      </c>
      <c r="E5" s="32">
        <v>17.774632658453999</v>
      </c>
      <c r="F5" s="15">
        <v>14.7540983606557</v>
      </c>
      <c r="G5" s="15">
        <v>11.864406779661</v>
      </c>
      <c r="H5" s="15">
        <v>12.048192771084301</v>
      </c>
      <c r="I5" s="15">
        <v>15.5555555555556</v>
      </c>
      <c r="J5" s="15">
        <v>14.285714285714301</v>
      </c>
      <c r="K5" s="15">
        <v>38.8888888888889</v>
      </c>
      <c r="L5" s="15">
        <v>39.805825242718399</v>
      </c>
      <c r="M5" s="15">
        <v>9.8765432098765409</v>
      </c>
      <c r="N5" s="15">
        <v>15.254237288135601</v>
      </c>
      <c r="O5" s="15">
        <v>28.0701754385965</v>
      </c>
      <c r="P5" s="15">
        <v>32.9268292682927</v>
      </c>
      <c r="Q5" s="15">
        <v>11.0429447852761</v>
      </c>
      <c r="R5" s="15">
        <v>12.5</v>
      </c>
      <c r="S5" s="15">
        <v>10.8108108108108</v>
      </c>
      <c r="T5" s="15">
        <v>13.8888888888889</v>
      </c>
      <c r="U5" s="15">
        <v>29.508196721311499</v>
      </c>
      <c r="V5" s="15">
        <v>17.5675675675676</v>
      </c>
      <c r="W5" s="15">
        <v>7.9545454545454497</v>
      </c>
      <c r="X5" s="15">
        <v>28.260869565217401</v>
      </c>
      <c r="Y5" s="15">
        <v>20</v>
      </c>
      <c r="Z5" s="15">
        <v>17.543859649122801</v>
      </c>
      <c r="AA5" s="32">
        <v>27.082936037362</v>
      </c>
      <c r="AB5" s="15">
        <v>23.2258064516129</v>
      </c>
      <c r="AC5" s="15">
        <v>41.324921135646697</v>
      </c>
      <c r="AD5" s="15">
        <v>25.751072961373399</v>
      </c>
      <c r="AE5" s="15">
        <v>24.9190938511327</v>
      </c>
      <c r="AF5" s="15">
        <v>31.957390146471401</v>
      </c>
      <c r="AG5" s="15">
        <v>22.149837133550498</v>
      </c>
      <c r="AH5" s="15">
        <v>31.672597864768701</v>
      </c>
      <c r="AI5" s="26" t="s">
        <v>80</v>
      </c>
      <c r="AJ5" s="38"/>
    </row>
    <row r="6" spans="1:36">
      <c r="A6" s="9" t="s">
        <v>155</v>
      </c>
      <c r="B6" s="36">
        <v>36.4037104077753</v>
      </c>
      <c r="C6" s="32">
        <v>35.776965511014502</v>
      </c>
      <c r="D6" s="32">
        <v>38.112849514179999</v>
      </c>
      <c r="E6" s="32">
        <v>39.369186692779401</v>
      </c>
      <c r="F6" s="15">
        <v>31.1475409836066</v>
      </c>
      <c r="G6" s="15">
        <v>27.118644067796598</v>
      </c>
      <c r="H6" s="15">
        <v>32.530120481927703</v>
      </c>
      <c r="I6" s="15">
        <v>36.6666666666667</v>
      </c>
      <c r="J6" s="15">
        <v>46.428571428571402</v>
      </c>
      <c r="K6" s="15">
        <v>41.6666666666667</v>
      </c>
      <c r="L6" s="15">
        <v>38.834951456310698</v>
      </c>
      <c r="M6" s="15">
        <v>39.506172839506199</v>
      </c>
      <c r="N6" s="15">
        <v>44.067796610169502</v>
      </c>
      <c r="O6" s="15">
        <v>40.350877192982502</v>
      </c>
      <c r="P6" s="15">
        <v>36.585365853658502</v>
      </c>
      <c r="Q6" s="15">
        <v>41.717791411042903</v>
      </c>
      <c r="R6" s="15">
        <v>36.363636363636402</v>
      </c>
      <c r="S6" s="15">
        <v>20.270270270270299</v>
      </c>
      <c r="T6" s="15">
        <v>50</v>
      </c>
      <c r="U6" s="15">
        <v>42.622950819672099</v>
      </c>
      <c r="V6" s="15">
        <v>37.837837837837803</v>
      </c>
      <c r="W6" s="15">
        <v>43.181818181818201</v>
      </c>
      <c r="X6" s="15">
        <v>33.695652173912997</v>
      </c>
      <c r="Y6" s="15">
        <v>44.5161290322581</v>
      </c>
      <c r="Z6" s="15">
        <v>43.859649122806999</v>
      </c>
      <c r="AA6" s="32">
        <v>37.068325844830902</v>
      </c>
      <c r="AB6" s="15">
        <v>29.677419354838701</v>
      </c>
      <c r="AC6" s="15">
        <v>31.861198738170302</v>
      </c>
      <c r="AD6" s="15">
        <v>31.759656652360501</v>
      </c>
      <c r="AE6" s="15">
        <v>41.747572815533999</v>
      </c>
      <c r="AF6" s="15">
        <v>38.615179760319599</v>
      </c>
      <c r="AG6" s="15">
        <v>38.762214983713399</v>
      </c>
      <c r="AH6" s="15">
        <v>42.704626334519602</v>
      </c>
      <c r="AI6" s="26" t="s">
        <v>80</v>
      </c>
      <c r="AJ6" s="38"/>
    </row>
    <row r="7" spans="1:36">
      <c r="A7" s="9" t="s">
        <v>156</v>
      </c>
      <c r="B7" s="36">
        <v>20.182452894325198</v>
      </c>
      <c r="C7" s="32">
        <v>20.531308704640502</v>
      </c>
      <c r="D7" s="32">
        <v>21.449811390863001</v>
      </c>
      <c r="E7" s="32">
        <v>25.265822253832098</v>
      </c>
      <c r="F7" s="15">
        <v>13.1147540983607</v>
      </c>
      <c r="G7" s="15">
        <v>25.4237288135593</v>
      </c>
      <c r="H7" s="15">
        <v>20.481927710843401</v>
      </c>
      <c r="I7" s="15">
        <v>24.4444444444444</v>
      </c>
      <c r="J7" s="15">
        <v>17.8571428571429</v>
      </c>
      <c r="K7" s="15">
        <v>19.4444444444444</v>
      </c>
      <c r="L7" s="15">
        <v>30.097087378640801</v>
      </c>
      <c r="M7" s="15">
        <v>24.6913580246914</v>
      </c>
      <c r="N7" s="15">
        <v>33.8983050847458</v>
      </c>
      <c r="O7" s="15">
        <v>17.543859649122801</v>
      </c>
      <c r="P7" s="15">
        <v>32.9268292682927</v>
      </c>
      <c r="Q7" s="15">
        <v>19.018404907975501</v>
      </c>
      <c r="R7" s="15">
        <v>26.136363636363601</v>
      </c>
      <c r="S7" s="15">
        <v>33.783783783783797</v>
      </c>
      <c r="T7" s="15">
        <v>33.3333333333333</v>
      </c>
      <c r="U7" s="15">
        <v>37.7049180327869</v>
      </c>
      <c r="V7" s="15">
        <v>22.972972972973</v>
      </c>
      <c r="W7" s="15">
        <v>15.909090909090899</v>
      </c>
      <c r="X7" s="15">
        <v>31.521739130434799</v>
      </c>
      <c r="Y7" s="15">
        <v>22.580645161290299</v>
      </c>
      <c r="Z7" s="15">
        <v>18.421052631578899</v>
      </c>
      <c r="AA7" s="32">
        <v>18.277164957436401</v>
      </c>
      <c r="AB7" s="15">
        <v>14.193548387096801</v>
      </c>
      <c r="AC7" s="15">
        <v>20.189274447949501</v>
      </c>
      <c r="AD7" s="15">
        <v>29.184549356223201</v>
      </c>
      <c r="AE7" s="15">
        <v>15.8576051779935</v>
      </c>
      <c r="AF7" s="15">
        <v>16.644474034620501</v>
      </c>
      <c r="AG7" s="15">
        <v>19.543973941368101</v>
      </c>
      <c r="AH7" s="15">
        <v>19.217081850533798</v>
      </c>
      <c r="AI7" s="26" t="s">
        <v>80</v>
      </c>
      <c r="AJ7" s="38"/>
    </row>
    <row r="8" spans="1:36">
      <c r="A8" s="9" t="s">
        <v>157</v>
      </c>
      <c r="B8" s="36">
        <v>1.2677834979592399</v>
      </c>
      <c r="C8" s="32">
        <v>1.1819180645448899</v>
      </c>
      <c r="D8" s="32">
        <v>1.0703020539221699</v>
      </c>
      <c r="E8" s="32">
        <v>1.2289388218433901</v>
      </c>
      <c r="F8" s="20" t="s">
        <v>80</v>
      </c>
      <c r="G8" s="20" t="s">
        <v>80</v>
      </c>
      <c r="H8" s="20" t="s">
        <v>80</v>
      </c>
      <c r="I8" s="20" t="s">
        <v>80</v>
      </c>
      <c r="J8" s="20" t="s">
        <v>80</v>
      </c>
      <c r="K8" s="20" t="s">
        <v>80</v>
      </c>
      <c r="L8" s="20" t="s">
        <v>80</v>
      </c>
      <c r="M8" s="20" t="s">
        <v>80</v>
      </c>
      <c r="N8" s="20" t="s">
        <v>80</v>
      </c>
      <c r="O8" s="20" t="s">
        <v>80</v>
      </c>
      <c r="P8" s="20" t="s">
        <v>80</v>
      </c>
      <c r="Q8" s="20" t="s">
        <v>80</v>
      </c>
      <c r="R8" s="20" t="s">
        <v>80</v>
      </c>
      <c r="S8" s="20" t="s">
        <v>80</v>
      </c>
      <c r="T8" s="20" t="s">
        <v>80</v>
      </c>
      <c r="U8" s="20" t="s">
        <v>80</v>
      </c>
      <c r="V8" s="20" t="s">
        <v>80</v>
      </c>
      <c r="W8" s="20" t="s">
        <v>80</v>
      </c>
      <c r="X8" s="20" t="s">
        <v>80</v>
      </c>
      <c r="Y8" s="15">
        <v>3.2258064516128999</v>
      </c>
      <c r="Z8" s="20" t="s">
        <v>80</v>
      </c>
      <c r="AA8" s="34" t="s">
        <v>80</v>
      </c>
      <c r="AB8" s="20" t="s">
        <v>80</v>
      </c>
      <c r="AC8" s="15">
        <v>1.5772870662460601</v>
      </c>
      <c r="AD8" s="20" t="s">
        <v>80</v>
      </c>
      <c r="AE8" s="20" t="s">
        <v>80</v>
      </c>
      <c r="AF8" s="15">
        <v>0.93209054593874796</v>
      </c>
      <c r="AG8" s="20" t="s">
        <v>80</v>
      </c>
      <c r="AH8" s="20" t="s">
        <v>80</v>
      </c>
      <c r="AI8" s="26" t="s">
        <v>80</v>
      </c>
      <c r="AJ8" s="38"/>
    </row>
    <row r="9" spans="1:36">
      <c r="A9" s="9" t="s">
        <v>158</v>
      </c>
      <c r="B9" s="36">
        <v>13.4054548643908</v>
      </c>
      <c r="C9" s="32">
        <v>13.051738325457199</v>
      </c>
      <c r="D9" s="32">
        <v>12.9028355888766</v>
      </c>
      <c r="E9" s="32">
        <v>14.6985531445501</v>
      </c>
      <c r="F9" s="15">
        <v>14.7540983606557</v>
      </c>
      <c r="G9" s="15">
        <v>8.4745762711864394</v>
      </c>
      <c r="H9" s="20" t="s">
        <v>80</v>
      </c>
      <c r="I9" s="15">
        <v>14.4444444444444</v>
      </c>
      <c r="J9" s="15">
        <v>16.071428571428601</v>
      </c>
      <c r="K9" s="15">
        <v>13.8888888888889</v>
      </c>
      <c r="L9" s="15">
        <v>19.417475728155299</v>
      </c>
      <c r="M9" s="15">
        <v>16.049382716049401</v>
      </c>
      <c r="N9" s="15">
        <v>13.559322033898299</v>
      </c>
      <c r="O9" s="15">
        <v>12.280701754386</v>
      </c>
      <c r="P9" s="15">
        <v>17.0731707317073</v>
      </c>
      <c r="Q9" s="15">
        <v>9.8159509202454007</v>
      </c>
      <c r="R9" s="15">
        <v>25</v>
      </c>
      <c r="S9" s="15">
        <v>12.1621621621622</v>
      </c>
      <c r="T9" s="15">
        <v>19.4444444444444</v>
      </c>
      <c r="U9" s="15">
        <v>14.7540983606557</v>
      </c>
      <c r="V9" s="15">
        <v>12.1621621621622</v>
      </c>
      <c r="W9" s="15">
        <v>13.636363636363599</v>
      </c>
      <c r="X9" s="15">
        <v>22.2826086956522</v>
      </c>
      <c r="Y9" s="15">
        <v>13.548387096774199</v>
      </c>
      <c r="Z9" s="15">
        <v>14.0350877192982</v>
      </c>
      <c r="AA9" s="32">
        <v>11.409868953552101</v>
      </c>
      <c r="AB9" s="15">
        <v>7.0967741935483897</v>
      </c>
      <c r="AC9" s="15">
        <v>15.141955835962101</v>
      </c>
      <c r="AD9" s="15">
        <v>12.446351931330501</v>
      </c>
      <c r="AE9" s="15">
        <v>13.2686084142395</v>
      </c>
      <c r="AF9" s="15">
        <v>12.649800266311599</v>
      </c>
      <c r="AG9" s="15">
        <v>13.029315960912101</v>
      </c>
      <c r="AH9" s="15">
        <v>11.387900355871899</v>
      </c>
      <c r="AI9" s="26" t="s">
        <v>80</v>
      </c>
      <c r="AJ9" s="38"/>
    </row>
    <row r="10" spans="1:36">
      <c r="A10" s="9" t="s">
        <v>159</v>
      </c>
      <c r="B10" s="36">
        <v>10.881211770667299</v>
      </c>
      <c r="C10" s="32">
        <v>10.0548340543646</v>
      </c>
      <c r="D10" s="32">
        <v>10.3868259780554</v>
      </c>
      <c r="E10" s="32">
        <v>10.847240481358901</v>
      </c>
      <c r="F10" s="15">
        <v>4.0983606557377001</v>
      </c>
      <c r="G10" s="20" t="s">
        <v>80</v>
      </c>
      <c r="H10" s="15">
        <v>20.481927710843401</v>
      </c>
      <c r="I10" s="15">
        <v>8.8888888888888893</v>
      </c>
      <c r="J10" s="15">
        <v>10.714285714285699</v>
      </c>
      <c r="K10" s="20" t="s">
        <v>80</v>
      </c>
      <c r="L10" s="15">
        <v>9.7087378640776691</v>
      </c>
      <c r="M10" s="15">
        <v>7.4074074074074101</v>
      </c>
      <c r="N10" s="15">
        <v>8.4745762711864394</v>
      </c>
      <c r="O10" s="20" t="s">
        <v>80</v>
      </c>
      <c r="P10" s="15">
        <v>9.7560975609756095</v>
      </c>
      <c r="Q10" s="15">
        <v>9.8159509202454007</v>
      </c>
      <c r="R10" s="15">
        <v>6.8181818181818201</v>
      </c>
      <c r="S10" s="15">
        <v>13.5135135135135</v>
      </c>
      <c r="T10" s="15">
        <v>25</v>
      </c>
      <c r="U10" s="15">
        <v>17.213114754098399</v>
      </c>
      <c r="V10" s="15">
        <v>9.4594594594594597</v>
      </c>
      <c r="W10" s="15">
        <v>5.6818181818181799</v>
      </c>
      <c r="X10" s="15">
        <v>9.2391304347826093</v>
      </c>
      <c r="Y10" s="15">
        <v>15.4838709677419</v>
      </c>
      <c r="Z10" s="15">
        <v>12.280701754386</v>
      </c>
      <c r="AA10" s="32">
        <v>10.0040355499728</v>
      </c>
      <c r="AB10" s="15">
        <v>6.4516129032258096</v>
      </c>
      <c r="AC10" s="15">
        <v>8.2018927444794993</v>
      </c>
      <c r="AD10" s="15">
        <v>10.7296137339056</v>
      </c>
      <c r="AE10" s="15">
        <v>11.326860841423899</v>
      </c>
      <c r="AF10" s="15">
        <v>9.9866844207722991</v>
      </c>
      <c r="AG10" s="15">
        <v>13.3550488599349</v>
      </c>
      <c r="AH10" s="15">
        <v>6.7615658362989297</v>
      </c>
      <c r="AI10" s="26" t="s">
        <v>80</v>
      </c>
      <c r="AJ10" s="38"/>
    </row>
    <row r="11" spans="1:36">
      <c r="A11" s="9" t="s">
        <v>160</v>
      </c>
      <c r="B11" s="36">
        <v>17.162541479838499</v>
      </c>
      <c r="C11" s="32">
        <v>17.112331593807301</v>
      </c>
      <c r="D11" s="32">
        <v>15.146997183362</v>
      </c>
      <c r="E11" s="32">
        <v>15.1839364434549</v>
      </c>
      <c r="F11" s="15">
        <v>26.229508196721302</v>
      </c>
      <c r="G11" s="15">
        <v>18.644067796610202</v>
      </c>
      <c r="H11" s="20" t="s">
        <v>80</v>
      </c>
      <c r="I11" s="15">
        <v>26.6666666666667</v>
      </c>
      <c r="J11" s="15">
        <v>17.8571428571429</v>
      </c>
      <c r="K11" s="15">
        <v>33.3333333333333</v>
      </c>
      <c r="L11" s="15">
        <v>27.184466019417499</v>
      </c>
      <c r="M11" s="15">
        <v>17.283950617283899</v>
      </c>
      <c r="N11" s="15">
        <v>15.254237288135601</v>
      </c>
      <c r="O11" s="15">
        <v>50.877192982456101</v>
      </c>
      <c r="P11" s="15">
        <v>23.170731707317099</v>
      </c>
      <c r="Q11" s="15">
        <v>5.5214723926380396</v>
      </c>
      <c r="R11" s="15">
        <v>9.0909090909090899</v>
      </c>
      <c r="S11" s="15">
        <v>6.7567567567567597</v>
      </c>
      <c r="T11" s="15">
        <v>13.8888888888889</v>
      </c>
      <c r="U11" s="15">
        <v>6.5573770491803298</v>
      </c>
      <c r="V11" s="15">
        <v>17.5675675675676</v>
      </c>
      <c r="W11" s="15">
        <v>34.090909090909101</v>
      </c>
      <c r="X11" s="15">
        <v>18.478260869565201</v>
      </c>
      <c r="Y11" s="15">
        <v>49.677419354838698</v>
      </c>
      <c r="Z11" s="15">
        <v>25.4385964912281</v>
      </c>
      <c r="AA11" s="32">
        <v>15.116285737300799</v>
      </c>
      <c r="AB11" s="15">
        <v>20.645161290322601</v>
      </c>
      <c r="AC11" s="15">
        <v>33.438485804416402</v>
      </c>
      <c r="AD11" s="15">
        <v>5.5793991416309003</v>
      </c>
      <c r="AE11" s="15">
        <v>11.6504854368932</v>
      </c>
      <c r="AF11" s="15">
        <v>16.511318242343499</v>
      </c>
      <c r="AG11" s="15">
        <v>9.7719869706840399</v>
      </c>
      <c r="AH11" s="15">
        <v>28.113879003558701</v>
      </c>
      <c r="AI11" s="26" t="s">
        <v>80</v>
      </c>
      <c r="AJ11" s="38"/>
    </row>
    <row r="12" spans="1:36">
      <c r="A12" s="9" t="s">
        <v>161</v>
      </c>
      <c r="B12" s="36">
        <v>6.6058484668144697</v>
      </c>
      <c r="C12" s="32">
        <v>5.5170846032503702</v>
      </c>
      <c r="D12" s="32">
        <v>6.0472738171425098</v>
      </c>
      <c r="E12" s="32">
        <v>8.1784030927759197</v>
      </c>
      <c r="F12" s="15">
        <v>10.655737704918</v>
      </c>
      <c r="G12" s="20" t="s">
        <v>80</v>
      </c>
      <c r="H12" s="20" t="s">
        <v>80</v>
      </c>
      <c r="I12" s="15">
        <v>5.5555555555555598</v>
      </c>
      <c r="J12" s="20" t="s">
        <v>80</v>
      </c>
      <c r="K12" s="20" t="s">
        <v>80</v>
      </c>
      <c r="L12" s="15">
        <v>11.6504854368932</v>
      </c>
      <c r="M12" s="20" t="s">
        <v>80</v>
      </c>
      <c r="N12" s="15">
        <v>15.254237288135601</v>
      </c>
      <c r="O12" s="20" t="s">
        <v>80</v>
      </c>
      <c r="P12" s="20" t="s">
        <v>80</v>
      </c>
      <c r="Q12" s="15">
        <v>3.0674846625766898</v>
      </c>
      <c r="R12" s="20" t="s">
        <v>80</v>
      </c>
      <c r="S12" s="15">
        <v>24.324324324324301</v>
      </c>
      <c r="T12" s="15">
        <v>15.2777777777778</v>
      </c>
      <c r="U12" s="20" t="s">
        <v>80</v>
      </c>
      <c r="V12" s="20" t="s">
        <v>80</v>
      </c>
      <c r="W12" s="20" t="s">
        <v>80</v>
      </c>
      <c r="X12" s="15">
        <v>9.7826086956521703</v>
      </c>
      <c r="Y12" s="15">
        <v>5.1612903225806503</v>
      </c>
      <c r="Z12" s="15">
        <v>7.0175438596491198</v>
      </c>
      <c r="AA12" s="32">
        <v>4.2754445592330104</v>
      </c>
      <c r="AB12" s="20" t="s">
        <v>80</v>
      </c>
      <c r="AC12" s="15">
        <v>7.2555205047318596</v>
      </c>
      <c r="AD12" s="15">
        <v>5.15021459227468</v>
      </c>
      <c r="AE12" s="15">
        <v>3.55987055016181</v>
      </c>
      <c r="AF12" s="15">
        <v>5.8588548601864199</v>
      </c>
      <c r="AG12" s="15">
        <v>2.9315960912052099</v>
      </c>
      <c r="AH12" s="15">
        <v>5.3380782918149503</v>
      </c>
      <c r="AI12" s="26" t="s">
        <v>80</v>
      </c>
      <c r="AJ12" s="38"/>
    </row>
    <row r="13" spans="1:36">
      <c r="A13" s="9" t="s">
        <v>162</v>
      </c>
      <c r="B13" s="36">
        <v>3.6226789776799802</v>
      </c>
      <c r="C13" s="32">
        <v>3.1365579341666798</v>
      </c>
      <c r="D13" s="32">
        <v>3.2473820739147001</v>
      </c>
      <c r="E13" s="32">
        <v>4.65147779943449</v>
      </c>
      <c r="F13" s="20" t="s">
        <v>80</v>
      </c>
      <c r="G13" s="20" t="s">
        <v>80</v>
      </c>
      <c r="H13" s="15">
        <v>6.0240963855421699</v>
      </c>
      <c r="I13" s="20" t="s">
        <v>80</v>
      </c>
      <c r="J13" s="20" t="s">
        <v>80</v>
      </c>
      <c r="K13" s="20" t="s">
        <v>80</v>
      </c>
      <c r="L13" s="20" t="s">
        <v>80</v>
      </c>
      <c r="M13" s="20" t="s">
        <v>80</v>
      </c>
      <c r="N13" s="20" t="s">
        <v>80</v>
      </c>
      <c r="O13" s="20" t="s">
        <v>80</v>
      </c>
      <c r="P13" s="15">
        <v>8.5365853658536608</v>
      </c>
      <c r="Q13" s="15">
        <v>4.2944785276073603</v>
      </c>
      <c r="R13" s="20" t="s">
        <v>80</v>
      </c>
      <c r="S13" s="15">
        <v>12.1621621621622</v>
      </c>
      <c r="T13" s="20" t="s">
        <v>80</v>
      </c>
      <c r="U13" s="20" t="s">
        <v>80</v>
      </c>
      <c r="V13" s="20" t="s">
        <v>80</v>
      </c>
      <c r="W13" s="20" t="s">
        <v>80</v>
      </c>
      <c r="X13" s="15">
        <v>7.0652173913043503</v>
      </c>
      <c r="Y13" s="15">
        <v>8.3870967741935498</v>
      </c>
      <c r="Z13" s="15">
        <v>7.0175438596491198</v>
      </c>
      <c r="AA13" s="32">
        <v>2.0800113677700902</v>
      </c>
      <c r="AB13" s="15">
        <v>3.2258064516128999</v>
      </c>
      <c r="AC13" s="15">
        <v>2.5236593059936898</v>
      </c>
      <c r="AD13" s="15">
        <v>2.1459227467811202</v>
      </c>
      <c r="AE13" s="20" t="s">
        <v>80</v>
      </c>
      <c r="AF13" s="15">
        <v>3.7283621837549901</v>
      </c>
      <c r="AG13" s="15">
        <v>2.2801302931596101</v>
      </c>
      <c r="AH13" s="20" t="s">
        <v>80</v>
      </c>
      <c r="AI13" s="26" t="s">
        <v>80</v>
      </c>
      <c r="AJ13" s="38"/>
    </row>
    <row r="14" spans="1:36">
      <c r="A14" s="9" t="s">
        <v>163</v>
      </c>
      <c r="B14" s="36">
        <v>24.676383500216101</v>
      </c>
      <c r="C14" s="32">
        <v>24.792106251281002</v>
      </c>
      <c r="D14" s="32">
        <v>27.1200890148152</v>
      </c>
      <c r="E14" s="32">
        <v>30.4878441850393</v>
      </c>
      <c r="F14" s="15">
        <v>39.344262295081997</v>
      </c>
      <c r="G14" s="15">
        <v>30.508474576271201</v>
      </c>
      <c r="H14" s="15">
        <v>24.096385542168701</v>
      </c>
      <c r="I14" s="15">
        <v>38.8888888888889</v>
      </c>
      <c r="J14" s="15">
        <v>41.071428571428598</v>
      </c>
      <c r="K14" s="15">
        <v>44.4444444444444</v>
      </c>
      <c r="L14" s="15">
        <v>49.514563106796103</v>
      </c>
      <c r="M14" s="15">
        <v>34.567901234567898</v>
      </c>
      <c r="N14" s="15">
        <v>40.677966101694899</v>
      </c>
      <c r="O14" s="15">
        <v>56.140350877193001</v>
      </c>
      <c r="P14" s="15">
        <v>40.243902439024403</v>
      </c>
      <c r="Q14" s="15">
        <v>15.3374233128834</v>
      </c>
      <c r="R14" s="15">
        <v>23.863636363636399</v>
      </c>
      <c r="S14" s="15">
        <v>24.324324324324301</v>
      </c>
      <c r="T14" s="15">
        <v>25</v>
      </c>
      <c r="U14" s="15">
        <v>23.770491803278698</v>
      </c>
      <c r="V14" s="15">
        <v>18.918918918918902</v>
      </c>
      <c r="W14" s="15">
        <v>23.863636363636399</v>
      </c>
      <c r="X14" s="15">
        <v>28.804347826087</v>
      </c>
      <c r="Y14" s="15">
        <v>62.580645161290299</v>
      </c>
      <c r="Z14" s="15">
        <v>33.3333333333333</v>
      </c>
      <c r="AA14" s="32">
        <v>24.3201241265728</v>
      </c>
      <c r="AB14" s="15">
        <v>22.580645161290299</v>
      </c>
      <c r="AC14" s="15">
        <v>42.271293375394301</v>
      </c>
      <c r="AD14" s="15">
        <v>21.888412017167401</v>
      </c>
      <c r="AE14" s="15">
        <v>22.330097087378601</v>
      </c>
      <c r="AF14" s="15">
        <v>29.826897470039899</v>
      </c>
      <c r="AG14" s="15">
        <v>20.8469055374593</v>
      </c>
      <c r="AH14" s="15">
        <v>31.672597864768701</v>
      </c>
      <c r="AI14" s="24">
        <v>27.7777777777778</v>
      </c>
      <c r="AJ14" s="38"/>
    </row>
    <row r="15" spans="1:36">
      <c r="A15" s="9" t="s">
        <v>164</v>
      </c>
      <c r="B15" s="36">
        <v>18.4701805575185</v>
      </c>
      <c r="C15" s="32">
        <v>19.831296480338001</v>
      </c>
      <c r="D15" s="32">
        <v>19.346900357042699</v>
      </c>
      <c r="E15" s="32">
        <v>20.2099773502716</v>
      </c>
      <c r="F15" s="15">
        <v>19.672131147540998</v>
      </c>
      <c r="G15" s="15">
        <v>15.254237288135601</v>
      </c>
      <c r="H15" s="15">
        <v>14.4578313253012</v>
      </c>
      <c r="I15" s="15">
        <v>5.5555555555555598</v>
      </c>
      <c r="J15" s="15">
        <v>21.428571428571399</v>
      </c>
      <c r="K15" s="15">
        <v>38.8888888888889</v>
      </c>
      <c r="L15" s="15">
        <v>31.067961165048501</v>
      </c>
      <c r="M15" s="15">
        <v>20.987654320987701</v>
      </c>
      <c r="N15" s="15">
        <v>15.254237288135601</v>
      </c>
      <c r="O15" s="15">
        <v>15.789473684210501</v>
      </c>
      <c r="P15" s="15">
        <v>34.146341463414601</v>
      </c>
      <c r="Q15" s="15">
        <v>36.809815950920203</v>
      </c>
      <c r="R15" s="15">
        <v>22.727272727272702</v>
      </c>
      <c r="S15" s="15">
        <v>16.2162162162162</v>
      </c>
      <c r="T15" s="15">
        <v>20.8333333333333</v>
      </c>
      <c r="U15" s="15">
        <v>16.393442622950801</v>
      </c>
      <c r="V15" s="15">
        <v>27.027027027027</v>
      </c>
      <c r="W15" s="15">
        <v>32.954545454545503</v>
      </c>
      <c r="X15" s="15">
        <v>16.847826086956498</v>
      </c>
      <c r="Y15" s="15">
        <v>29.0322580645161</v>
      </c>
      <c r="Z15" s="15">
        <v>21.9298245614035</v>
      </c>
      <c r="AA15" s="32">
        <v>18.629334751841601</v>
      </c>
      <c r="AB15" s="15">
        <v>20</v>
      </c>
      <c r="AC15" s="15">
        <v>26.498422712933799</v>
      </c>
      <c r="AD15" s="15">
        <v>9.4420600858369106</v>
      </c>
      <c r="AE15" s="15">
        <v>26.537216828479</v>
      </c>
      <c r="AF15" s="15">
        <v>18.774966711051899</v>
      </c>
      <c r="AG15" s="15">
        <v>23.452768729641701</v>
      </c>
      <c r="AH15" s="15">
        <v>27.046263345195701</v>
      </c>
      <c r="AI15" s="26" t="s">
        <v>80</v>
      </c>
      <c r="AJ15" s="38"/>
    </row>
    <row r="16" spans="1:36">
      <c r="A16" s="9" t="s">
        <v>165</v>
      </c>
      <c r="B16" s="36">
        <v>1.6866524320885701</v>
      </c>
      <c r="C16" s="32">
        <v>2.06324217835295</v>
      </c>
      <c r="D16" s="32">
        <v>2.3310530096831301</v>
      </c>
      <c r="E16" s="32">
        <v>3.7654851320679601</v>
      </c>
      <c r="F16" s="20" t="s">
        <v>80</v>
      </c>
      <c r="G16" s="20" t="s">
        <v>80</v>
      </c>
      <c r="H16" s="15">
        <v>21.6867469879518</v>
      </c>
      <c r="I16" s="20" t="s">
        <v>80</v>
      </c>
      <c r="J16" s="20" t="s">
        <v>80</v>
      </c>
      <c r="K16" s="20" t="s">
        <v>80</v>
      </c>
      <c r="L16" s="20" t="s">
        <v>80</v>
      </c>
      <c r="M16" s="20" t="s">
        <v>80</v>
      </c>
      <c r="N16" s="20" t="s">
        <v>80</v>
      </c>
      <c r="O16" s="20" t="s">
        <v>80</v>
      </c>
      <c r="P16" s="20" t="s">
        <v>80</v>
      </c>
      <c r="Q16" s="20" t="s">
        <v>80</v>
      </c>
      <c r="R16" s="20" t="s">
        <v>80</v>
      </c>
      <c r="S16" s="15">
        <v>20.270270270270299</v>
      </c>
      <c r="T16" s="20" t="s">
        <v>80</v>
      </c>
      <c r="U16" s="20" t="s">
        <v>80</v>
      </c>
      <c r="V16" s="20" t="s">
        <v>80</v>
      </c>
      <c r="W16" s="20" t="s">
        <v>80</v>
      </c>
      <c r="X16" s="20" t="s">
        <v>80</v>
      </c>
      <c r="Y16" s="15">
        <v>6.4516129032258096</v>
      </c>
      <c r="Z16" s="20" t="s">
        <v>80</v>
      </c>
      <c r="AA16" s="32">
        <v>1.1384605039228799</v>
      </c>
      <c r="AB16" s="20" t="s">
        <v>80</v>
      </c>
      <c r="AC16" s="20" t="s">
        <v>80</v>
      </c>
      <c r="AD16" s="20" t="s">
        <v>80</v>
      </c>
      <c r="AE16" s="20" t="s">
        <v>80</v>
      </c>
      <c r="AF16" s="15">
        <v>1.73102529960053</v>
      </c>
      <c r="AG16" s="15">
        <v>2.9315960912052099</v>
      </c>
      <c r="AH16" s="20" t="s">
        <v>80</v>
      </c>
      <c r="AI16" s="26" t="s">
        <v>80</v>
      </c>
      <c r="AJ16" s="38"/>
    </row>
    <row r="17" spans="1:36">
      <c r="A17" s="9" t="s">
        <v>166</v>
      </c>
      <c r="B17" s="36">
        <v>54.353001172593103</v>
      </c>
      <c r="C17" s="32">
        <v>57.308634093257702</v>
      </c>
      <c r="D17" s="32">
        <v>54.567773954245702</v>
      </c>
      <c r="E17" s="32">
        <v>51.880174864432099</v>
      </c>
      <c r="F17" s="15">
        <v>59.016393442622899</v>
      </c>
      <c r="G17" s="15">
        <v>62.711864406779704</v>
      </c>
      <c r="H17" s="15">
        <v>27.710843373494001</v>
      </c>
      <c r="I17" s="15">
        <v>62.2222222222222</v>
      </c>
      <c r="J17" s="15">
        <v>48.214285714285701</v>
      </c>
      <c r="K17" s="15">
        <v>72.2222222222222</v>
      </c>
      <c r="L17" s="15">
        <v>69.902912621359206</v>
      </c>
      <c r="M17" s="15">
        <v>72.839506172839506</v>
      </c>
      <c r="N17" s="15">
        <v>47.457627118644098</v>
      </c>
      <c r="O17" s="15">
        <v>54.385964912280699</v>
      </c>
      <c r="P17" s="15">
        <v>63.414634146341498</v>
      </c>
      <c r="Q17" s="15">
        <v>43.558282208588999</v>
      </c>
      <c r="R17" s="15">
        <v>56.818181818181799</v>
      </c>
      <c r="S17" s="15">
        <v>44.594594594594597</v>
      </c>
      <c r="T17" s="15">
        <v>30.5555555555556</v>
      </c>
      <c r="U17" s="15">
        <v>45.9016393442623</v>
      </c>
      <c r="V17" s="15">
        <v>72.972972972972997</v>
      </c>
      <c r="W17" s="15">
        <v>51.136363636363598</v>
      </c>
      <c r="X17" s="15">
        <v>59.239130434782602</v>
      </c>
      <c r="Y17" s="15">
        <v>56.129032258064498</v>
      </c>
      <c r="Z17" s="15">
        <v>54.385964912280699</v>
      </c>
      <c r="AA17" s="32">
        <v>56.802254403324604</v>
      </c>
      <c r="AB17" s="15">
        <v>43.225806451612897</v>
      </c>
      <c r="AC17" s="15">
        <v>74.763406940063106</v>
      </c>
      <c r="AD17" s="15">
        <v>44.635193133047203</v>
      </c>
      <c r="AE17" s="15">
        <v>52.1035598705502</v>
      </c>
      <c r="AF17" s="15">
        <v>61.517976031957403</v>
      </c>
      <c r="AG17" s="15">
        <v>47.231270358306197</v>
      </c>
      <c r="AH17" s="15">
        <v>72.597864768683294</v>
      </c>
      <c r="AI17" s="24">
        <v>27.7777777777778</v>
      </c>
      <c r="AJ17" s="38"/>
    </row>
    <row r="18" spans="1:36">
      <c r="A18" s="9" t="s">
        <v>167</v>
      </c>
      <c r="B18" s="36">
        <v>22.860249201432602</v>
      </c>
      <c r="C18" s="32">
        <v>21.804512654604299</v>
      </c>
      <c r="D18" s="32">
        <v>21.697574119971598</v>
      </c>
      <c r="E18" s="32">
        <v>27.301406907291199</v>
      </c>
      <c r="F18" s="15">
        <v>21.311475409836099</v>
      </c>
      <c r="G18" s="15">
        <v>23.728813559321999</v>
      </c>
      <c r="H18" s="15">
        <v>12.048192771084301</v>
      </c>
      <c r="I18" s="15">
        <v>36.6666666666667</v>
      </c>
      <c r="J18" s="15">
        <v>33.928571428571402</v>
      </c>
      <c r="K18" s="15">
        <v>50</v>
      </c>
      <c r="L18" s="15">
        <v>24.271844660194201</v>
      </c>
      <c r="M18" s="15">
        <v>18.518518518518501</v>
      </c>
      <c r="N18" s="15">
        <v>30.508474576271201</v>
      </c>
      <c r="O18" s="15">
        <v>29.824561403508799</v>
      </c>
      <c r="P18" s="15">
        <v>20.731707317073202</v>
      </c>
      <c r="Q18" s="15">
        <v>39.263803680981603</v>
      </c>
      <c r="R18" s="15">
        <v>21.590909090909101</v>
      </c>
      <c r="S18" s="15">
        <v>21.6216216216216</v>
      </c>
      <c r="T18" s="15">
        <v>36.1111111111111</v>
      </c>
      <c r="U18" s="15">
        <v>30.327868852459002</v>
      </c>
      <c r="V18" s="15">
        <v>20.270270270270299</v>
      </c>
      <c r="W18" s="15">
        <v>32.954545454545503</v>
      </c>
      <c r="X18" s="15">
        <v>26.630434782608699</v>
      </c>
      <c r="Y18" s="15">
        <v>21.935483870967701</v>
      </c>
      <c r="Z18" s="15">
        <v>36.842105263157897</v>
      </c>
      <c r="AA18" s="32">
        <v>17.038525510142701</v>
      </c>
      <c r="AB18" s="15">
        <v>24.5161290322581</v>
      </c>
      <c r="AC18" s="15">
        <v>17.981072555204999</v>
      </c>
      <c r="AD18" s="15">
        <v>15.450643776824</v>
      </c>
      <c r="AE18" s="15">
        <v>14.886731391585799</v>
      </c>
      <c r="AF18" s="15">
        <v>16.777629826897499</v>
      </c>
      <c r="AG18" s="15">
        <v>21.824104234527699</v>
      </c>
      <c r="AH18" s="15">
        <v>14.5907473309609</v>
      </c>
      <c r="AI18" s="26" t="s">
        <v>80</v>
      </c>
      <c r="AJ18" s="38"/>
    </row>
    <row r="19" spans="1:36">
      <c r="A19" s="9" t="s">
        <v>168</v>
      </c>
      <c r="B19" s="36">
        <v>25.444695926044702</v>
      </c>
      <c r="C19" s="32">
        <v>25.244485769623601</v>
      </c>
      <c r="D19" s="32">
        <v>25.704224618633202</v>
      </c>
      <c r="E19" s="32">
        <v>28.872307165842301</v>
      </c>
      <c r="F19" s="15">
        <v>22.9508196721311</v>
      </c>
      <c r="G19" s="15">
        <v>27.118644067796598</v>
      </c>
      <c r="H19" s="15">
        <v>25.3012048192771</v>
      </c>
      <c r="I19" s="15">
        <v>22.2222222222222</v>
      </c>
      <c r="J19" s="15">
        <v>30.3571428571429</v>
      </c>
      <c r="K19" s="15">
        <v>36.1111111111111</v>
      </c>
      <c r="L19" s="15">
        <v>42.7184466019417</v>
      </c>
      <c r="M19" s="15">
        <v>32.098765432098801</v>
      </c>
      <c r="N19" s="15">
        <v>38.983050847457598</v>
      </c>
      <c r="O19" s="15">
        <v>31.578947368421101</v>
      </c>
      <c r="P19" s="15">
        <v>34.146341463414601</v>
      </c>
      <c r="Q19" s="15">
        <v>25.153374233128801</v>
      </c>
      <c r="R19" s="15">
        <v>20.454545454545499</v>
      </c>
      <c r="S19" s="15">
        <v>29.729729729729701</v>
      </c>
      <c r="T19" s="15">
        <v>29.1666666666667</v>
      </c>
      <c r="U19" s="15">
        <v>39.344262295081997</v>
      </c>
      <c r="V19" s="15">
        <v>24.324324324324301</v>
      </c>
      <c r="W19" s="15">
        <v>14.7727272727273</v>
      </c>
      <c r="X19" s="15">
        <v>16.304347826087</v>
      </c>
      <c r="Y19" s="15">
        <v>41.290322580645203</v>
      </c>
      <c r="Z19" s="15">
        <v>21.052631578947398</v>
      </c>
      <c r="AA19" s="32">
        <v>23.070268334142099</v>
      </c>
      <c r="AB19" s="15">
        <v>19.354838709677399</v>
      </c>
      <c r="AC19" s="15">
        <v>29.6529968454259</v>
      </c>
      <c r="AD19" s="15">
        <v>24.892703862660898</v>
      </c>
      <c r="AE19" s="15">
        <v>23.9482200647249</v>
      </c>
      <c r="AF19" s="15">
        <v>25.965379494008001</v>
      </c>
      <c r="AG19" s="15">
        <v>28.0130293159609</v>
      </c>
      <c r="AH19" s="15">
        <v>15.6583629893238</v>
      </c>
      <c r="AI19" s="26" t="s">
        <v>80</v>
      </c>
      <c r="AJ19" s="38"/>
    </row>
    <row r="20" spans="1:36">
      <c r="A20" s="9" t="s">
        <v>169</v>
      </c>
      <c r="B20" s="36">
        <v>2.71024829182105</v>
      </c>
      <c r="C20" s="32">
        <v>2.4046879731034401</v>
      </c>
      <c r="D20" s="32">
        <v>3.0485252171166501</v>
      </c>
      <c r="E20" s="32">
        <v>4.6231287076849297</v>
      </c>
      <c r="F20" s="20" t="s">
        <v>80</v>
      </c>
      <c r="G20" s="20" t="s">
        <v>80</v>
      </c>
      <c r="H20" s="20" t="s">
        <v>80</v>
      </c>
      <c r="I20" s="20" t="s">
        <v>80</v>
      </c>
      <c r="J20" s="20" t="s">
        <v>80</v>
      </c>
      <c r="K20" s="20" t="s">
        <v>80</v>
      </c>
      <c r="L20" s="15">
        <v>16.504854368932001</v>
      </c>
      <c r="M20" s="20" t="s">
        <v>80</v>
      </c>
      <c r="N20" s="20" t="s">
        <v>80</v>
      </c>
      <c r="O20" s="15">
        <v>47.368421052631597</v>
      </c>
      <c r="P20" s="20" t="s">
        <v>80</v>
      </c>
      <c r="Q20" s="20" t="s">
        <v>80</v>
      </c>
      <c r="R20" s="20" t="s">
        <v>80</v>
      </c>
      <c r="S20" s="20" t="s">
        <v>80</v>
      </c>
      <c r="T20" s="20" t="s">
        <v>80</v>
      </c>
      <c r="U20" s="15">
        <v>4.9180327868852496</v>
      </c>
      <c r="V20" s="20" t="s">
        <v>80</v>
      </c>
      <c r="W20" s="20" t="s">
        <v>80</v>
      </c>
      <c r="X20" s="20" t="s">
        <v>80</v>
      </c>
      <c r="Y20" s="20" t="s">
        <v>80</v>
      </c>
      <c r="Z20" s="20" t="s">
        <v>80</v>
      </c>
      <c r="AA20" s="32">
        <v>1.7393936847903999</v>
      </c>
      <c r="AB20" s="20" t="s">
        <v>80</v>
      </c>
      <c r="AC20" s="15">
        <v>2.8391167192429001</v>
      </c>
      <c r="AD20" s="20" t="s">
        <v>80</v>
      </c>
      <c r="AE20" s="20" t="s">
        <v>80</v>
      </c>
      <c r="AF20" s="15">
        <v>2.13049267643142</v>
      </c>
      <c r="AG20" s="15">
        <v>2.2801302931596101</v>
      </c>
      <c r="AH20" s="20" t="s">
        <v>80</v>
      </c>
      <c r="AI20" s="26" t="s">
        <v>80</v>
      </c>
      <c r="AJ20" s="38"/>
    </row>
    <row r="21" spans="1:36">
      <c r="A21" s="9" t="s">
        <v>170</v>
      </c>
      <c r="B21" s="36">
        <v>6.0287988889083897</v>
      </c>
      <c r="C21" s="32">
        <v>5.8035632848865601</v>
      </c>
      <c r="D21" s="32">
        <v>5.2802500446840801</v>
      </c>
      <c r="E21" s="32">
        <v>6.3383926990505497</v>
      </c>
      <c r="F21" s="15">
        <v>4.0983606557377001</v>
      </c>
      <c r="G21" s="20" t="s">
        <v>80</v>
      </c>
      <c r="H21" s="20" t="s">
        <v>80</v>
      </c>
      <c r="I21" s="15">
        <v>5.5555555555555598</v>
      </c>
      <c r="J21" s="20" t="s">
        <v>80</v>
      </c>
      <c r="K21" s="15">
        <v>13.8888888888889</v>
      </c>
      <c r="L21" s="15">
        <v>6.7961165048543704</v>
      </c>
      <c r="M21" s="20" t="s">
        <v>80</v>
      </c>
      <c r="N21" s="15">
        <v>15.254237288135601</v>
      </c>
      <c r="O21" s="20" t="s">
        <v>80</v>
      </c>
      <c r="P21" s="15">
        <v>12.1951219512195</v>
      </c>
      <c r="Q21" s="20" t="s">
        <v>80</v>
      </c>
      <c r="R21" s="15">
        <v>7.9545454545454497</v>
      </c>
      <c r="S21" s="20" t="s">
        <v>80</v>
      </c>
      <c r="T21" s="15">
        <v>8.3333333333333304</v>
      </c>
      <c r="U21" s="20" t="s">
        <v>80</v>
      </c>
      <c r="V21" s="20" t="s">
        <v>80</v>
      </c>
      <c r="W21" s="15">
        <v>18.181818181818201</v>
      </c>
      <c r="X21" s="15">
        <v>13.0434782608696</v>
      </c>
      <c r="Y21" s="15">
        <v>22.580645161290299</v>
      </c>
      <c r="Z21" s="15">
        <v>7.0175438596491198</v>
      </c>
      <c r="AA21" s="32">
        <v>4.4005060819480297</v>
      </c>
      <c r="AB21" s="15">
        <v>5.1612903225806503</v>
      </c>
      <c r="AC21" s="15">
        <v>11.671924290220799</v>
      </c>
      <c r="AD21" s="15">
        <v>2.57510729613734</v>
      </c>
      <c r="AE21" s="15">
        <v>1.94174757281553</v>
      </c>
      <c r="AF21" s="15">
        <v>7.5898801597869499</v>
      </c>
      <c r="AG21" s="15">
        <v>3.90879478827362</v>
      </c>
      <c r="AH21" s="15">
        <v>7.8291814946619196</v>
      </c>
      <c r="AI21" s="26" t="s">
        <v>80</v>
      </c>
      <c r="AJ21" s="38"/>
    </row>
    <row r="22" spans="1:36">
      <c r="A22" s="9" t="s">
        <v>171</v>
      </c>
      <c r="B22" s="36">
        <v>14.2278025667599</v>
      </c>
      <c r="C22" s="32">
        <v>15.4839471483485</v>
      </c>
      <c r="D22" s="32">
        <v>12.875683094247201</v>
      </c>
      <c r="E22" s="32">
        <v>12.292520156671699</v>
      </c>
      <c r="F22" s="15">
        <v>8.1967213114754092</v>
      </c>
      <c r="G22" s="15">
        <v>11.864406779661</v>
      </c>
      <c r="H22" s="15">
        <v>6.0240963855421699</v>
      </c>
      <c r="I22" s="15">
        <v>8.8888888888888893</v>
      </c>
      <c r="J22" s="20" t="s">
        <v>80</v>
      </c>
      <c r="K22" s="15">
        <v>27.7777777777778</v>
      </c>
      <c r="L22" s="15">
        <v>23.300970873786401</v>
      </c>
      <c r="M22" s="15">
        <v>12.3456790123457</v>
      </c>
      <c r="N22" s="15">
        <v>18.644067796610202</v>
      </c>
      <c r="O22" s="15">
        <v>8.7719298245614006</v>
      </c>
      <c r="P22" s="15">
        <v>12.1951219512195</v>
      </c>
      <c r="Q22" s="15">
        <v>8.5889570552147205</v>
      </c>
      <c r="R22" s="15">
        <v>7.9545454545454497</v>
      </c>
      <c r="S22" s="15">
        <v>6.7567567567567597</v>
      </c>
      <c r="T22" s="15">
        <v>15.2777777777778</v>
      </c>
      <c r="U22" s="15">
        <v>18.8524590163934</v>
      </c>
      <c r="V22" s="15">
        <v>20.270270270270299</v>
      </c>
      <c r="W22" s="15">
        <v>7.9545454545454497</v>
      </c>
      <c r="X22" s="15">
        <v>15.2173913043478</v>
      </c>
      <c r="Y22" s="15">
        <v>13.548387096774199</v>
      </c>
      <c r="Z22" s="15">
        <v>8.7719298245614006</v>
      </c>
      <c r="AA22" s="32">
        <v>13.3605270531468</v>
      </c>
      <c r="AB22" s="15">
        <v>11.6129032258065</v>
      </c>
      <c r="AC22" s="15">
        <v>16.719242902208201</v>
      </c>
      <c r="AD22" s="15">
        <v>19.742489270386301</v>
      </c>
      <c r="AE22" s="15">
        <v>11.0032362459547</v>
      </c>
      <c r="AF22" s="15">
        <v>11.717709720372801</v>
      </c>
      <c r="AG22" s="15">
        <v>11.726384364820801</v>
      </c>
      <c r="AH22" s="15">
        <v>13.167259786476899</v>
      </c>
      <c r="AI22" s="26" t="s">
        <v>80</v>
      </c>
      <c r="AJ22" s="38"/>
    </row>
    <row r="23" spans="1:36">
      <c r="A23" s="9" t="s">
        <v>172</v>
      </c>
      <c r="B23" s="36">
        <v>14.969153866626</v>
      </c>
      <c r="C23" s="32">
        <v>15.0521258004863</v>
      </c>
      <c r="D23" s="32">
        <v>15.7413105275281</v>
      </c>
      <c r="E23" s="32">
        <v>15.040010872117801</v>
      </c>
      <c r="F23" s="15">
        <v>14.7540983606557</v>
      </c>
      <c r="G23" s="15">
        <v>11.864406779661</v>
      </c>
      <c r="H23" s="15">
        <v>16.867469879518101</v>
      </c>
      <c r="I23" s="15">
        <v>11.1111111111111</v>
      </c>
      <c r="J23" s="20" t="s">
        <v>80</v>
      </c>
      <c r="K23" s="15">
        <v>13.8888888888889</v>
      </c>
      <c r="L23" s="15">
        <v>14.5631067961165</v>
      </c>
      <c r="M23" s="15">
        <v>8.6419753086419693</v>
      </c>
      <c r="N23" s="15">
        <v>8.4745762711864394</v>
      </c>
      <c r="O23" s="15">
        <v>19.2982456140351</v>
      </c>
      <c r="P23" s="15">
        <v>15.853658536585399</v>
      </c>
      <c r="Q23" s="15">
        <v>15.9509202453988</v>
      </c>
      <c r="R23" s="15">
        <v>12.5</v>
      </c>
      <c r="S23" s="15">
        <v>12.1621621621622</v>
      </c>
      <c r="T23" s="15">
        <v>23.6111111111111</v>
      </c>
      <c r="U23" s="15">
        <v>15.5737704918033</v>
      </c>
      <c r="V23" s="15">
        <v>21.6216216216216</v>
      </c>
      <c r="W23" s="15">
        <v>21.590909090909101</v>
      </c>
      <c r="X23" s="15">
        <v>19.021739130434799</v>
      </c>
      <c r="Y23" s="15">
        <v>24.5161290322581</v>
      </c>
      <c r="Z23" s="15">
        <v>14.0350877192982</v>
      </c>
      <c r="AA23" s="32">
        <v>16.324373818068398</v>
      </c>
      <c r="AB23" s="15">
        <v>12.9032258064516</v>
      </c>
      <c r="AC23" s="15">
        <v>20.820189274448001</v>
      </c>
      <c r="AD23" s="15">
        <v>15.450643776824</v>
      </c>
      <c r="AE23" s="15">
        <v>16.828478964401299</v>
      </c>
      <c r="AF23" s="15">
        <v>15.3129161118509</v>
      </c>
      <c r="AG23" s="15">
        <v>14.9837133550489</v>
      </c>
      <c r="AH23" s="15">
        <v>20.640569395017799</v>
      </c>
      <c r="AI23" s="26" t="s">
        <v>80</v>
      </c>
      <c r="AJ23" s="38"/>
    </row>
    <row r="24" spans="1:36">
      <c r="A24" s="9" t="s">
        <v>173</v>
      </c>
      <c r="B24" s="36">
        <v>38.703748554106397</v>
      </c>
      <c r="C24" s="32">
        <v>37.563451749334803</v>
      </c>
      <c r="D24" s="32">
        <v>38.249616298589203</v>
      </c>
      <c r="E24" s="32">
        <v>38.483280294503103</v>
      </c>
      <c r="F24" s="15">
        <v>26.229508196721302</v>
      </c>
      <c r="G24" s="15">
        <v>35.593220338983102</v>
      </c>
      <c r="H24" s="15">
        <v>34.939759036144601</v>
      </c>
      <c r="I24" s="15">
        <v>27.7777777777778</v>
      </c>
      <c r="J24" s="15">
        <v>39.285714285714299</v>
      </c>
      <c r="K24" s="15">
        <v>50</v>
      </c>
      <c r="L24" s="15">
        <v>41.747572815533999</v>
      </c>
      <c r="M24" s="15">
        <v>30.8641975308642</v>
      </c>
      <c r="N24" s="15">
        <v>32.203389830508499</v>
      </c>
      <c r="O24" s="15">
        <v>45.614035087719301</v>
      </c>
      <c r="P24" s="15">
        <v>51.219512195122</v>
      </c>
      <c r="Q24" s="15">
        <v>36.809815950920203</v>
      </c>
      <c r="R24" s="15">
        <v>36.363636363636402</v>
      </c>
      <c r="S24" s="15">
        <v>43.243243243243199</v>
      </c>
      <c r="T24" s="15">
        <v>44.4444444444444</v>
      </c>
      <c r="U24" s="15">
        <v>44.262295081967203</v>
      </c>
      <c r="V24" s="15">
        <v>33.783783783783797</v>
      </c>
      <c r="W24" s="15">
        <v>28.409090909090899</v>
      </c>
      <c r="X24" s="15">
        <v>32.065217391304301</v>
      </c>
      <c r="Y24" s="15">
        <v>38.709677419354797</v>
      </c>
      <c r="Z24" s="15">
        <v>36.842105263157897</v>
      </c>
      <c r="AA24" s="32">
        <v>38.055347133778902</v>
      </c>
      <c r="AB24" s="15">
        <v>25.806451612903199</v>
      </c>
      <c r="AC24" s="15">
        <v>41.009463722397498</v>
      </c>
      <c r="AD24" s="15">
        <v>38.626609442060101</v>
      </c>
      <c r="AE24" s="15">
        <v>48.220064724919098</v>
      </c>
      <c r="AF24" s="15">
        <v>38.082556591211699</v>
      </c>
      <c r="AG24" s="15">
        <v>45.276872964169399</v>
      </c>
      <c r="AH24" s="15">
        <v>31.672597864768701</v>
      </c>
      <c r="AI24" s="26" t="s">
        <v>80</v>
      </c>
      <c r="AJ24" s="38"/>
    </row>
    <row r="25" spans="1:36">
      <c r="A25" s="9" t="s">
        <v>174</v>
      </c>
      <c r="B25" s="36">
        <v>1.6835804805271199</v>
      </c>
      <c r="C25" s="32">
        <v>1.4707121690420299</v>
      </c>
      <c r="D25" s="32">
        <v>1.71451200149493</v>
      </c>
      <c r="E25" s="32">
        <v>2.2446197541911501</v>
      </c>
      <c r="F25" s="20" t="s">
        <v>80</v>
      </c>
      <c r="G25" s="20" t="s">
        <v>80</v>
      </c>
      <c r="H25" s="20" t="s">
        <v>80</v>
      </c>
      <c r="I25" s="20" t="s">
        <v>80</v>
      </c>
      <c r="J25" s="20" t="s">
        <v>80</v>
      </c>
      <c r="K25" s="20" t="s">
        <v>80</v>
      </c>
      <c r="L25" s="20" t="s">
        <v>80</v>
      </c>
      <c r="M25" s="20" t="s">
        <v>80</v>
      </c>
      <c r="N25" s="15">
        <v>8.4745762711864394</v>
      </c>
      <c r="O25" s="20" t="s">
        <v>80</v>
      </c>
      <c r="P25" s="20" t="s">
        <v>80</v>
      </c>
      <c r="Q25" s="20" t="s">
        <v>80</v>
      </c>
      <c r="R25" s="20" t="s">
        <v>80</v>
      </c>
      <c r="S25" s="20" t="s">
        <v>80</v>
      </c>
      <c r="T25" s="20" t="s">
        <v>80</v>
      </c>
      <c r="U25" s="20" t="s">
        <v>80</v>
      </c>
      <c r="V25" s="20" t="s">
        <v>80</v>
      </c>
      <c r="W25" s="20" t="s">
        <v>80</v>
      </c>
      <c r="X25" s="15">
        <v>2.7173913043478302</v>
      </c>
      <c r="Y25" s="15">
        <v>3.87096774193548</v>
      </c>
      <c r="Z25" s="15">
        <v>4.3859649122807003</v>
      </c>
      <c r="AA25" s="32">
        <v>1.2737783318808999</v>
      </c>
      <c r="AB25" s="20" t="s">
        <v>80</v>
      </c>
      <c r="AC25" s="15">
        <v>1.5772870662460601</v>
      </c>
      <c r="AD25" s="15">
        <v>2.1459227467811202</v>
      </c>
      <c r="AE25" s="20" t="s">
        <v>80</v>
      </c>
      <c r="AF25" s="15">
        <v>1.3315579227696399</v>
      </c>
      <c r="AG25" s="20" t="s">
        <v>80</v>
      </c>
      <c r="AH25" s="20" t="s">
        <v>80</v>
      </c>
      <c r="AI25" s="26" t="s">
        <v>80</v>
      </c>
      <c r="AJ25" s="38"/>
    </row>
    <row r="26" spans="1:36">
      <c r="A26" s="9" t="s">
        <v>175</v>
      </c>
      <c r="B26" s="36">
        <v>26.8901762290342</v>
      </c>
      <c r="C26" s="32">
        <v>27.6411307496349</v>
      </c>
      <c r="D26" s="32">
        <v>26.028548318636201</v>
      </c>
      <c r="E26" s="32">
        <v>25.396501601421399</v>
      </c>
      <c r="F26" s="15">
        <v>18.032786885245901</v>
      </c>
      <c r="G26" s="15">
        <v>20.338983050847499</v>
      </c>
      <c r="H26" s="15">
        <v>13.253012048192801</v>
      </c>
      <c r="I26" s="15">
        <v>26.6666666666667</v>
      </c>
      <c r="J26" s="15">
        <v>21.428571428571399</v>
      </c>
      <c r="K26" s="15">
        <v>27.7777777777778</v>
      </c>
      <c r="L26" s="15">
        <v>43.6893203883495</v>
      </c>
      <c r="M26" s="15">
        <v>29.629629629629601</v>
      </c>
      <c r="N26" s="15">
        <v>25.4237288135593</v>
      </c>
      <c r="O26" s="15">
        <v>26.315789473684202</v>
      </c>
      <c r="P26" s="15">
        <v>24.390243902439</v>
      </c>
      <c r="Q26" s="15">
        <v>22.085889570552101</v>
      </c>
      <c r="R26" s="15">
        <v>30.681818181818201</v>
      </c>
      <c r="S26" s="15">
        <v>16.2162162162162</v>
      </c>
      <c r="T26" s="15">
        <v>18.0555555555556</v>
      </c>
      <c r="U26" s="15">
        <v>25.409836065573799</v>
      </c>
      <c r="V26" s="15">
        <v>28.3783783783784</v>
      </c>
      <c r="W26" s="15">
        <v>13.636363636363599</v>
      </c>
      <c r="X26" s="15">
        <v>38.586956521739097</v>
      </c>
      <c r="Y26" s="15">
        <v>41.290322580645203</v>
      </c>
      <c r="Z26" s="15">
        <v>18.421052631578899</v>
      </c>
      <c r="AA26" s="32">
        <v>26.554034444105501</v>
      </c>
      <c r="AB26" s="15">
        <v>18.064516129032299</v>
      </c>
      <c r="AC26" s="15">
        <v>29.022082018927399</v>
      </c>
      <c r="AD26" s="15">
        <v>18.8841201716738</v>
      </c>
      <c r="AE26" s="15">
        <v>31.067961165048501</v>
      </c>
      <c r="AF26" s="15">
        <v>22.103861517976</v>
      </c>
      <c r="AG26" s="15">
        <v>30.293159609120501</v>
      </c>
      <c r="AH26" s="15">
        <v>29.893238434163699</v>
      </c>
      <c r="AI26" s="26" t="s">
        <v>80</v>
      </c>
      <c r="AJ26" s="38"/>
    </row>
    <row r="27" spans="1:36">
      <c r="A27" s="9" t="s">
        <v>176</v>
      </c>
      <c r="B27" s="36">
        <v>9.3840595734084999</v>
      </c>
      <c r="C27" s="32">
        <v>8.8122586033816805</v>
      </c>
      <c r="D27" s="32">
        <v>9.65627323382685</v>
      </c>
      <c r="E27" s="32">
        <v>13.447456158264</v>
      </c>
      <c r="F27" s="15">
        <v>13.1147540983607</v>
      </c>
      <c r="G27" s="20" t="s">
        <v>80</v>
      </c>
      <c r="H27" s="15">
        <v>16.867469879518101</v>
      </c>
      <c r="I27" s="15">
        <v>8.8888888888888893</v>
      </c>
      <c r="J27" s="20" t="s">
        <v>80</v>
      </c>
      <c r="K27" s="20" t="s">
        <v>80</v>
      </c>
      <c r="L27" s="15">
        <v>7.7669902912621396</v>
      </c>
      <c r="M27" s="15">
        <v>8.6419753086419693</v>
      </c>
      <c r="N27" s="15">
        <v>13.559322033898299</v>
      </c>
      <c r="O27" s="15">
        <v>15.789473684210501</v>
      </c>
      <c r="P27" s="15">
        <v>17.0731707317073</v>
      </c>
      <c r="Q27" s="15">
        <v>19.018404907975501</v>
      </c>
      <c r="R27" s="15">
        <v>7.9545454545454497</v>
      </c>
      <c r="S27" s="15">
        <v>16.2162162162162</v>
      </c>
      <c r="T27" s="15">
        <v>19.4444444444444</v>
      </c>
      <c r="U27" s="15">
        <v>9.0163934426229506</v>
      </c>
      <c r="V27" s="15">
        <v>6.7567567567567597</v>
      </c>
      <c r="W27" s="15">
        <v>19.318181818181799</v>
      </c>
      <c r="X27" s="15">
        <v>11.413043478260899</v>
      </c>
      <c r="Y27" s="15">
        <v>21.290322580645199</v>
      </c>
      <c r="Z27" s="15">
        <v>11.403508771929801</v>
      </c>
      <c r="AA27" s="32">
        <v>6.5042688461023896</v>
      </c>
      <c r="AB27" s="15">
        <v>5.8064516129032304</v>
      </c>
      <c r="AC27" s="15">
        <v>8.8328075709779199</v>
      </c>
      <c r="AD27" s="15">
        <v>6.0085836909871198</v>
      </c>
      <c r="AE27" s="15">
        <v>5.5016181229773498</v>
      </c>
      <c r="AF27" s="15">
        <v>7.4567243675099899</v>
      </c>
      <c r="AG27" s="15">
        <v>9.7719869706840399</v>
      </c>
      <c r="AH27" s="15">
        <v>2.8469750889679699</v>
      </c>
      <c r="AI27" s="26" t="s">
        <v>80</v>
      </c>
      <c r="AJ27" s="38"/>
    </row>
    <row r="28" spans="1:36">
      <c r="A28" s="9" t="s">
        <v>177</v>
      </c>
      <c r="B28" s="36">
        <v>12.666648330600699</v>
      </c>
      <c r="C28" s="32">
        <v>12.751245155438999</v>
      </c>
      <c r="D28" s="32">
        <v>11.3509160279949</v>
      </c>
      <c r="E28" s="32">
        <v>12.6403972254256</v>
      </c>
      <c r="F28" s="15">
        <v>12.2950819672131</v>
      </c>
      <c r="G28" s="15">
        <v>10.1694915254237</v>
      </c>
      <c r="H28" s="15">
        <v>6.0240963855421699</v>
      </c>
      <c r="I28" s="15">
        <v>20</v>
      </c>
      <c r="J28" s="15">
        <v>21.428571428571399</v>
      </c>
      <c r="K28" s="20" t="s">
        <v>80</v>
      </c>
      <c r="L28" s="15">
        <v>24.271844660194201</v>
      </c>
      <c r="M28" s="15">
        <v>12.3456790123457</v>
      </c>
      <c r="N28" s="15">
        <v>11.864406779661</v>
      </c>
      <c r="O28" s="15">
        <v>17.543859649122801</v>
      </c>
      <c r="P28" s="15">
        <v>19.512195121951201</v>
      </c>
      <c r="Q28" s="15">
        <v>7.9754601226993902</v>
      </c>
      <c r="R28" s="15">
        <v>12.5</v>
      </c>
      <c r="S28" s="15">
        <v>9.4594594594594597</v>
      </c>
      <c r="T28" s="15">
        <v>18.0555555555556</v>
      </c>
      <c r="U28" s="15">
        <v>12.2950819672131</v>
      </c>
      <c r="V28" s="20" t="s">
        <v>80</v>
      </c>
      <c r="W28" s="20" t="s">
        <v>80</v>
      </c>
      <c r="X28" s="15">
        <v>14.130434782608701</v>
      </c>
      <c r="Y28" s="15">
        <v>16.7741935483871</v>
      </c>
      <c r="Z28" s="15">
        <v>13.157894736842101</v>
      </c>
      <c r="AA28" s="32">
        <v>10.2788362910897</v>
      </c>
      <c r="AB28" s="15">
        <v>12.9032258064516</v>
      </c>
      <c r="AC28" s="15">
        <v>17.981072555204999</v>
      </c>
      <c r="AD28" s="15">
        <v>9.4420600858369106</v>
      </c>
      <c r="AE28" s="15">
        <v>11.326860841423899</v>
      </c>
      <c r="AF28" s="15">
        <v>13.981358189081201</v>
      </c>
      <c r="AG28" s="15">
        <v>8.1433224755700309</v>
      </c>
      <c r="AH28" s="15">
        <v>11.7437722419929</v>
      </c>
      <c r="AI28" s="26" t="s">
        <v>80</v>
      </c>
      <c r="AJ28" s="38"/>
    </row>
    <row r="29" spans="1:36">
      <c r="A29" s="9" t="s">
        <v>178</v>
      </c>
      <c r="B29" s="36">
        <v>2.0841519456041402</v>
      </c>
      <c r="C29" s="32">
        <v>1.7804978082656999</v>
      </c>
      <c r="D29" s="32">
        <v>1.95108582821229</v>
      </c>
      <c r="E29" s="32">
        <v>2.51431974257827</v>
      </c>
      <c r="F29" s="20" t="s">
        <v>80</v>
      </c>
      <c r="G29" s="20" t="s">
        <v>80</v>
      </c>
      <c r="H29" s="20" t="s">
        <v>80</v>
      </c>
      <c r="I29" s="20" t="s">
        <v>80</v>
      </c>
      <c r="J29" s="20" t="s">
        <v>80</v>
      </c>
      <c r="K29" s="20" t="s">
        <v>80</v>
      </c>
      <c r="L29" s="20" t="s">
        <v>80</v>
      </c>
      <c r="M29" s="20" t="s">
        <v>80</v>
      </c>
      <c r="N29" s="20" t="s">
        <v>80</v>
      </c>
      <c r="O29" s="20" t="s">
        <v>80</v>
      </c>
      <c r="P29" s="20" t="s">
        <v>80</v>
      </c>
      <c r="Q29" s="20" t="s">
        <v>80</v>
      </c>
      <c r="R29" s="20" t="s">
        <v>80</v>
      </c>
      <c r="S29" s="20" t="s">
        <v>80</v>
      </c>
      <c r="T29" s="20" t="s">
        <v>80</v>
      </c>
      <c r="U29" s="15">
        <v>4.0983606557377001</v>
      </c>
      <c r="V29" s="20" t="s">
        <v>80</v>
      </c>
      <c r="W29" s="20" t="s">
        <v>80</v>
      </c>
      <c r="X29" s="15">
        <v>3.8043478260869601</v>
      </c>
      <c r="Y29" s="15">
        <v>5.8064516129032304</v>
      </c>
      <c r="Z29" s="20" t="s">
        <v>80</v>
      </c>
      <c r="AA29" s="32">
        <v>1.4828109375565299</v>
      </c>
      <c r="AB29" s="20" t="s">
        <v>80</v>
      </c>
      <c r="AC29" s="20" t="s">
        <v>80</v>
      </c>
      <c r="AD29" s="15">
        <v>3.0042918454935599</v>
      </c>
      <c r="AE29" s="20" t="s">
        <v>80</v>
      </c>
      <c r="AF29" s="15">
        <v>1.8641810918774999</v>
      </c>
      <c r="AG29" s="20" t="s">
        <v>80</v>
      </c>
      <c r="AH29" s="20" t="s">
        <v>80</v>
      </c>
      <c r="AI29" s="26" t="s">
        <v>80</v>
      </c>
      <c r="AJ29" s="38"/>
    </row>
    <row r="30" spans="1:36">
      <c r="A30" s="9" t="s">
        <v>179</v>
      </c>
      <c r="B30" s="36">
        <v>2.9661267219526999</v>
      </c>
      <c r="C30" s="32">
        <v>3.0133304247783901</v>
      </c>
      <c r="D30" s="32">
        <v>3.8081161143932301</v>
      </c>
      <c r="E30" s="32">
        <v>5.3317388376441004</v>
      </c>
      <c r="F30" s="20" t="s">
        <v>80</v>
      </c>
      <c r="G30" s="20" t="s">
        <v>80</v>
      </c>
      <c r="H30" s="15">
        <v>6.0240963855421699</v>
      </c>
      <c r="I30" s="20" t="s">
        <v>80</v>
      </c>
      <c r="J30" s="15">
        <v>8.9285714285714306</v>
      </c>
      <c r="K30" s="20" t="s">
        <v>80</v>
      </c>
      <c r="L30" s="15">
        <v>8.7378640776699008</v>
      </c>
      <c r="M30" s="20" t="s">
        <v>80</v>
      </c>
      <c r="N30" s="20" t="s">
        <v>80</v>
      </c>
      <c r="O30" s="20" t="s">
        <v>80</v>
      </c>
      <c r="P30" s="15">
        <v>8.5365853658536608</v>
      </c>
      <c r="Q30" s="15">
        <v>6.1349693251533699</v>
      </c>
      <c r="R30" s="20" t="s">
        <v>80</v>
      </c>
      <c r="S30" s="20" t="s">
        <v>80</v>
      </c>
      <c r="T30" s="15">
        <v>6.9444444444444402</v>
      </c>
      <c r="U30" s="20" t="s">
        <v>80</v>
      </c>
      <c r="V30" s="20" t="s">
        <v>80</v>
      </c>
      <c r="W30" s="20" t="s">
        <v>80</v>
      </c>
      <c r="X30" s="15">
        <v>4.3478260869565197</v>
      </c>
      <c r="Y30" s="15">
        <v>26.451612903225801</v>
      </c>
      <c r="Z30" s="15">
        <v>4.3859649122807003</v>
      </c>
      <c r="AA30" s="32">
        <v>2.5413701924363101</v>
      </c>
      <c r="AB30" s="20" t="s">
        <v>80</v>
      </c>
      <c r="AC30" s="15">
        <v>3.47003154574133</v>
      </c>
      <c r="AD30" s="15">
        <v>4.2918454935622297</v>
      </c>
      <c r="AE30" s="15">
        <v>2.2653721682847898</v>
      </c>
      <c r="AF30" s="15">
        <v>1.9973368841544601</v>
      </c>
      <c r="AG30" s="15">
        <v>4.2345276872964197</v>
      </c>
      <c r="AH30" s="15">
        <v>1.77935943060498</v>
      </c>
      <c r="AI30" s="26" t="s">
        <v>80</v>
      </c>
      <c r="AJ30" s="38"/>
    </row>
    <row r="31" spans="1:36">
      <c r="A31" s="9" t="s">
        <v>180</v>
      </c>
      <c r="B31" s="36">
        <v>5.7900077464085502</v>
      </c>
      <c r="C31" s="32">
        <v>5.1661630708722397</v>
      </c>
      <c r="D31" s="32">
        <v>5.52652947893095</v>
      </c>
      <c r="E31" s="32">
        <v>7.4053959408146399</v>
      </c>
      <c r="F31" s="15">
        <v>4.0983606557377001</v>
      </c>
      <c r="G31" s="20" t="s">
        <v>80</v>
      </c>
      <c r="H31" s="15">
        <v>8.4337349397590398</v>
      </c>
      <c r="I31" s="20" t="s">
        <v>80</v>
      </c>
      <c r="J31" s="20" t="s">
        <v>80</v>
      </c>
      <c r="K31" s="20" t="s">
        <v>80</v>
      </c>
      <c r="L31" s="15">
        <v>9.7087378640776691</v>
      </c>
      <c r="M31" s="20" t="s">
        <v>80</v>
      </c>
      <c r="N31" s="15">
        <v>10.1694915254237</v>
      </c>
      <c r="O31" s="20" t="s">
        <v>80</v>
      </c>
      <c r="P31" s="15">
        <v>6.0975609756097597</v>
      </c>
      <c r="Q31" s="15">
        <v>6.74846625766871</v>
      </c>
      <c r="R31" s="20" t="s">
        <v>80</v>
      </c>
      <c r="S31" s="15">
        <v>8.1081081081081106</v>
      </c>
      <c r="T31" s="15">
        <v>9.7222222222222197</v>
      </c>
      <c r="U31" s="15">
        <v>7.3770491803278704</v>
      </c>
      <c r="V31" s="15">
        <v>8.1081081081081106</v>
      </c>
      <c r="W31" s="20" t="s">
        <v>80</v>
      </c>
      <c r="X31" s="15">
        <v>7.6086956521739104</v>
      </c>
      <c r="Y31" s="15">
        <v>9.0322580645161299</v>
      </c>
      <c r="Z31" s="15">
        <v>4.3859649122807003</v>
      </c>
      <c r="AA31" s="32">
        <v>3.96443251609842</v>
      </c>
      <c r="AB31" s="15">
        <v>3.87096774193548</v>
      </c>
      <c r="AC31" s="15">
        <v>4.7318611987381702</v>
      </c>
      <c r="AD31" s="15">
        <v>4.2918454935622297</v>
      </c>
      <c r="AE31" s="15">
        <v>2.5889967637540501</v>
      </c>
      <c r="AF31" s="15">
        <v>4.3941411451398098</v>
      </c>
      <c r="AG31" s="15">
        <v>4.5602605863192203</v>
      </c>
      <c r="AH31" s="15">
        <v>1.77935943060498</v>
      </c>
      <c r="AI31" s="26" t="s">
        <v>80</v>
      </c>
      <c r="AJ31" s="38"/>
    </row>
    <row r="32" spans="1:36">
      <c r="A32" s="9" t="s">
        <v>181</v>
      </c>
      <c r="B32" s="36">
        <v>1.08573133382922</v>
      </c>
      <c r="C32" s="32">
        <v>1.0276189935089699</v>
      </c>
      <c r="D32" s="32">
        <v>1.2293802020902</v>
      </c>
      <c r="E32" s="32">
        <v>1.36656455170028</v>
      </c>
      <c r="F32" s="20" t="s">
        <v>80</v>
      </c>
      <c r="G32" s="20" t="s">
        <v>80</v>
      </c>
      <c r="H32" s="20" t="s">
        <v>80</v>
      </c>
      <c r="I32" s="20" t="s">
        <v>80</v>
      </c>
      <c r="J32" s="20" t="s">
        <v>80</v>
      </c>
      <c r="K32" s="20" t="s">
        <v>80</v>
      </c>
      <c r="L32" s="20" t="s">
        <v>80</v>
      </c>
      <c r="M32" s="20" t="s">
        <v>80</v>
      </c>
      <c r="N32" s="20" t="s">
        <v>80</v>
      </c>
      <c r="O32" s="20" t="s">
        <v>80</v>
      </c>
      <c r="P32" s="20" t="s">
        <v>80</v>
      </c>
      <c r="Q32" s="20" t="s">
        <v>80</v>
      </c>
      <c r="R32" s="20" t="s">
        <v>80</v>
      </c>
      <c r="S32" s="20" t="s">
        <v>80</v>
      </c>
      <c r="T32" s="20" t="s">
        <v>80</v>
      </c>
      <c r="U32" s="20" t="s">
        <v>80</v>
      </c>
      <c r="V32" s="20" t="s">
        <v>80</v>
      </c>
      <c r="W32" s="15">
        <v>6.8181818181818201</v>
      </c>
      <c r="X32" s="20" t="s">
        <v>80</v>
      </c>
      <c r="Y32" s="20" t="s">
        <v>80</v>
      </c>
      <c r="Z32" s="20" t="s">
        <v>80</v>
      </c>
      <c r="AA32" s="32">
        <v>1.115324594509</v>
      </c>
      <c r="AB32" s="20" t="s">
        <v>80</v>
      </c>
      <c r="AC32" s="20" t="s">
        <v>80</v>
      </c>
      <c r="AD32" s="20" t="s">
        <v>80</v>
      </c>
      <c r="AE32" s="20" t="s">
        <v>80</v>
      </c>
      <c r="AF32" s="15">
        <v>1.06524633821571</v>
      </c>
      <c r="AG32" s="15">
        <v>1.6286644951140099</v>
      </c>
      <c r="AH32" s="20" t="s">
        <v>80</v>
      </c>
      <c r="AI32" s="26" t="s">
        <v>80</v>
      </c>
      <c r="AJ32" s="38"/>
    </row>
    <row r="33" spans="1:36">
      <c r="A33" s="9" t="s">
        <v>182</v>
      </c>
      <c r="B33" s="36">
        <v>4.7659278100644897</v>
      </c>
      <c r="C33" s="32">
        <v>4.4965901960281904</v>
      </c>
      <c r="D33" s="32">
        <v>4.8291897260420598</v>
      </c>
      <c r="E33" s="32">
        <v>6.11446784802878</v>
      </c>
      <c r="F33" s="20" t="s">
        <v>80</v>
      </c>
      <c r="G33" s="20" t="s">
        <v>80</v>
      </c>
      <c r="H33" s="20" t="s">
        <v>80</v>
      </c>
      <c r="I33" s="20" t="s">
        <v>80</v>
      </c>
      <c r="J33" s="20" t="s">
        <v>80</v>
      </c>
      <c r="K33" s="20" t="s">
        <v>80</v>
      </c>
      <c r="L33" s="15">
        <v>5.8252427184466002</v>
      </c>
      <c r="M33" s="20" t="s">
        <v>80</v>
      </c>
      <c r="N33" s="20" t="s">
        <v>80</v>
      </c>
      <c r="O33" s="20" t="s">
        <v>80</v>
      </c>
      <c r="P33" s="20" t="s">
        <v>80</v>
      </c>
      <c r="Q33" s="15">
        <v>4.2944785276073603</v>
      </c>
      <c r="R33" s="20" t="s">
        <v>80</v>
      </c>
      <c r="S33" s="20" t="s">
        <v>80</v>
      </c>
      <c r="T33" s="20" t="s">
        <v>80</v>
      </c>
      <c r="U33" s="20" t="s">
        <v>80</v>
      </c>
      <c r="V33" s="20" t="s">
        <v>80</v>
      </c>
      <c r="W33" s="15">
        <v>18.181818181818201</v>
      </c>
      <c r="X33" s="15">
        <v>8.6956521739130395</v>
      </c>
      <c r="Y33" s="15">
        <v>16.129032258064498</v>
      </c>
      <c r="Z33" s="15">
        <v>7.8947368421052602</v>
      </c>
      <c r="AA33" s="32">
        <v>3.7606044425846799</v>
      </c>
      <c r="AB33" s="15">
        <v>3.87096774193548</v>
      </c>
      <c r="AC33" s="15">
        <v>7.2555205047318596</v>
      </c>
      <c r="AD33" s="20" t="s">
        <v>80</v>
      </c>
      <c r="AE33" s="15">
        <v>4.2071197411003203</v>
      </c>
      <c r="AF33" s="15">
        <v>3.4620505992010702</v>
      </c>
      <c r="AG33" s="15">
        <v>7.1661237785016301</v>
      </c>
      <c r="AH33" s="15">
        <v>3.9145907473309598</v>
      </c>
      <c r="AI33" s="26" t="s">
        <v>80</v>
      </c>
      <c r="AJ33" s="38"/>
    </row>
    <row r="34" spans="1:36">
      <c r="A34" s="9" t="s">
        <v>183</v>
      </c>
      <c r="B34" s="36">
        <v>17.146766662270899</v>
      </c>
      <c r="C34" s="32">
        <v>19.4774923735446</v>
      </c>
      <c r="D34" s="32">
        <v>17.1711753990345</v>
      </c>
      <c r="E34" s="32">
        <v>14.822179498997899</v>
      </c>
      <c r="F34" s="15">
        <v>6.5573770491803298</v>
      </c>
      <c r="G34" s="15">
        <v>11.864406779661</v>
      </c>
      <c r="H34" s="15">
        <v>7.2289156626505999</v>
      </c>
      <c r="I34" s="15">
        <v>10</v>
      </c>
      <c r="J34" s="15">
        <v>10.714285714285699</v>
      </c>
      <c r="K34" s="15">
        <v>19.4444444444444</v>
      </c>
      <c r="L34" s="15">
        <v>24.271844660194201</v>
      </c>
      <c r="M34" s="15">
        <v>17.283950617283899</v>
      </c>
      <c r="N34" s="15">
        <v>11.864406779661</v>
      </c>
      <c r="O34" s="15">
        <v>10.526315789473699</v>
      </c>
      <c r="P34" s="15">
        <v>18.292682926829301</v>
      </c>
      <c r="Q34" s="15">
        <v>6.74846625766871</v>
      </c>
      <c r="R34" s="15">
        <v>15.909090909090899</v>
      </c>
      <c r="S34" s="15">
        <v>9.4594594594594597</v>
      </c>
      <c r="T34" s="15">
        <v>12.5</v>
      </c>
      <c r="U34" s="15">
        <v>15.5737704918033</v>
      </c>
      <c r="V34" s="15">
        <v>16.2162162162162</v>
      </c>
      <c r="W34" s="15">
        <v>21.590909090909101</v>
      </c>
      <c r="X34" s="15">
        <v>19.565217391304301</v>
      </c>
      <c r="Y34" s="15">
        <v>29.0322580645161</v>
      </c>
      <c r="Z34" s="15">
        <v>12.280701754386</v>
      </c>
      <c r="AA34" s="32">
        <v>19.124139824976002</v>
      </c>
      <c r="AB34" s="15">
        <v>14.193548387096801</v>
      </c>
      <c r="AC34" s="15">
        <v>18.296529968454301</v>
      </c>
      <c r="AD34" s="15">
        <v>22.317596566523601</v>
      </c>
      <c r="AE34" s="15">
        <v>18.122977346278301</v>
      </c>
      <c r="AF34" s="15">
        <v>16.245006657789599</v>
      </c>
      <c r="AG34" s="15">
        <v>23.127035830618901</v>
      </c>
      <c r="AH34" s="15">
        <v>16.725978647686802</v>
      </c>
      <c r="AI34" s="26" t="s">
        <v>80</v>
      </c>
      <c r="AJ34" s="38"/>
    </row>
    <row r="35" spans="1:36">
      <c r="A35" s="9" t="s">
        <v>184</v>
      </c>
      <c r="B35" s="36">
        <v>22.264245126520599</v>
      </c>
      <c r="C35" s="32">
        <v>22.478800562749701</v>
      </c>
      <c r="D35" s="32">
        <v>19.794693965236899</v>
      </c>
      <c r="E35" s="32">
        <v>17.474882900470401</v>
      </c>
      <c r="F35" s="15">
        <v>29.508196721311499</v>
      </c>
      <c r="G35" s="15">
        <v>15.254237288135601</v>
      </c>
      <c r="H35" s="15">
        <v>6.0240963855421699</v>
      </c>
      <c r="I35" s="15">
        <v>23.3333333333333</v>
      </c>
      <c r="J35" s="15">
        <v>10.714285714285699</v>
      </c>
      <c r="K35" s="15">
        <v>27.7777777777778</v>
      </c>
      <c r="L35" s="15">
        <v>34.951456310679603</v>
      </c>
      <c r="M35" s="15">
        <v>25.925925925925899</v>
      </c>
      <c r="N35" s="15">
        <v>15.254237288135601</v>
      </c>
      <c r="O35" s="15">
        <v>24.5614035087719</v>
      </c>
      <c r="P35" s="15">
        <v>26.829268292682901</v>
      </c>
      <c r="Q35" s="15">
        <v>16.564417177914098</v>
      </c>
      <c r="R35" s="15">
        <v>18.181818181818201</v>
      </c>
      <c r="S35" s="15">
        <v>13.5135135135135</v>
      </c>
      <c r="T35" s="15">
        <v>12.5</v>
      </c>
      <c r="U35" s="15">
        <v>13.934426229508199</v>
      </c>
      <c r="V35" s="15">
        <v>22.972972972973</v>
      </c>
      <c r="W35" s="15">
        <v>11.363636363636401</v>
      </c>
      <c r="X35" s="15">
        <v>27.7173913043478</v>
      </c>
      <c r="Y35" s="15">
        <v>20</v>
      </c>
      <c r="Z35" s="15">
        <v>20.175438596491201</v>
      </c>
      <c r="AA35" s="32">
        <v>21.7233940043999</v>
      </c>
      <c r="AB35" s="15">
        <v>16.129032258064498</v>
      </c>
      <c r="AC35" s="15">
        <v>36.277602523659297</v>
      </c>
      <c r="AD35" s="15">
        <v>15.450643776824</v>
      </c>
      <c r="AE35" s="15">
        <v>21.682847896440101</v>
      </c>
      <c r="AF35" s="15">
        <v>21.571238348868199</v>
      </c>
      <c r="AG35" s="15">
        <v>17.589576547231299</v>
      </c>
      <c r="AH35" s="15">
        <v>28.825622775800699</v>
      </c>
      <c r="AI35" s="26" t="s">
        <v>80</v>
      </c>
      <c r="AJ35" s="38"/>
    </row>
    <row r="36" spans="1:36">
      <c r="A36" s="9" t="s">
        <v>185</v>
      </c>
      <c r="B36" s="36">
        <v>12.500004811256201</v>
      </c>
      <c r="C36" s="32">
        <v>12.991485360659899</v>
      </c>
      <c r="D36" s="32">
        <v>13.7900574110813</v>
      </c>
      <c r="E36" s="32">
        <v>15.171912492924299</v>
      </c>
      <c r="F36" s="15">
        <v>11.4754098360656</v>
      </c>
      <c r="G36" s="15">
        <v>18.644067796610202</v>
      </c>
      <c r="H36" s="15">
        <v>13.253012048192801</v>
      </c>
      <c r="I36" s="15">
        <v>8.8888888888888893</v>
      </c>
      <c r="J36" s="15">
        <v>21.428571428571399</v>
      </c>
      <c r="K36" s="15">
        <v>22.2222222222222</v>
      </c>
      <c r="L36" s="15">
        <v>10.6796116504854</v>
      </c>
      <c r="M36" s="15">
        <v>8.6419753086419693</v>
      </c>
      <c r="N36" s="15">
        <v>23.728813559321999</v>
      </c>
      <c r="O36" s="15">
        <v>22.8070175438597</v>
      </c>
      <c r="P36" s="15">
        <v>25.609756097561</v>
      </c>
      <c r="Q36" s="15">
        <v>22.699386503067501</v>
      </c>
      <c r="R36" s="15">
        <v>17.045454545454501</v>
      </c>
      <c r="S36" s="15">
        <v>12.1621621621622</v>
      </c>
      <c r="T36" s="15">
        <v>13.8888888888889</v>
      </c>
      <c r="U36" s="15">
        <v>13.1147540983607</v>
      </c>
      <c r="V36" s="15">
        <v>13.5135135135135</v>
      </c>
      <c r="W36" s="15">
        <v>14.7727272727273</v>
      </c>
      <c r="X36" s="15">
        <v>8.6956521739130395</v>
      </c>
      <c r="Y36" s="15">
        <v>17.419354838709701</v>
      </c>
      <c r="Z36" s="15">
        <v>18.421052631578899</v>
      </c>
      <c r="AA36" s="32">
        <v>12.641177663524701</v>
      </c>
      <c r="AB36" s="15">
        <v>9.0322580645161299</v>
      </c>
      <c r="AC36" s="15">
        <v>18.6119873817035</v>
      </c>
      <c r="AD36" s="15">
        <v>11.587982832618</v>
      </c>
      <c r="AE36" s="15">
        <v>11.9741100323625</v>
      </c>
      <c r="AF36" s="15">
        <v>16.910785619174401</v>
      </c>
      <c r="AG36" s="15">
        <v>16.9381107491857</v>
      </c>
      <c r="AH36" s="15">
        <v>14.5907473309609</v>
      </c>
      <c r="AI36" s="26" t="s">
        <v>80</v>
      </c>
      <c r="AJ36" s="38"/>
    </row>
    <row r="37" spans="1:36">
      <c r="A37" s="9" t="s">
        <v>186</v>
      </c>
      <c r="B37" s="36">
        <v>17.716620358467399</v>
      </c>
      <c r="C37" s="32">
        <v>21.201431722856501</v>
      </c>
      <c r="D37" s="32">
        <v>20.338760214084999</v>
      </c>
      <c r="E37" s="32">
        <v>18.5832677624654</v>
      </c>
      <c r="F37" s="15">
        <v>43.442622950819697</v>
      </c>
      <c r="G37" s="15">
        <v>22.033898305084701</v>
      </c>
      <c r="H37" s="15">
        <v>6.0240963855421699</v>
      </c>
      <c r="I37" s="15">
        <v>28.8888888888889</v>
      </c>
      <c r="J37" s="15">
        <v>17.8571428571429</v>
      </c>
      <c r="K37" s="15">
        <v>52.7777777777778</v>
      </c>
      <c r="L37" s="15">
        <v>61.165048543689302</v>
      </c>
      <c r="M37" s="15">
        <v>35.802469135802497</v>
      </c>
      <c r="N37" s="15">
        <v>16.9491525423729</v>
      </c>
      <c r="O37" s="15">
        <v>61.403508771929801</v>
      </c>
      <c r="P37" s="15">
        <v>32.9268292682927</v>
      </c>
      <c r="Q37" s="15">
        <v>6.74846625766871</v>
      </c>
      <c r="R37" s="15">
        <v>19.318181818181799</v>
      </c>
      <c r="S37" s="20" t="s">
        <v>80</v>
      </c>
      <c r="T37" s="15">
        <v>9.7222222222222197</v>
      </c>
      <c r="U37" s="15">
        <v>5.7377049180327901</v>
      </c>
      <c r="V37" s="15">
        <v>29.729729729729701</v>
      </c>
      <c r="W37" s="15">
        <v>10.2272727272727</v>
      </c>
      <c r="X37" s="15">
        <v>22.826086956521699</v>
      </c>
      <c r="Y37" s="15">
        <v>23.2258064516129</v>
      </c>
      <c r="Z37" s="15">
        <v>29.824561403508799</v>
      </c>
      <c r="AA37" s="32">
        <v>21.7982835397614</v>
      </c>
      <c r="AB37" s="15">
        <v>12.9032258064516</v>
      </c>
      <c r="AC37" s="15">
        <v>58.675078864353303</v>
      </c>
      <c r="AD37" s="15">
        <v>5.5793991416309003</v>
      </c>
      <c r="AE37" s="15">
        <v>15.210355987054999</v>
      </c>
      <c r="AF37" s="15">
        <v>28.8948069241012</v>
      </c>
      <c r="AG37" s="15">
        <v>11.726384364820801</v>
      </c>
      <c r="AH37" s="15">
        <v>47.330960854092503</v>
      </c>
      <c r="AI37" s="26" t="s">
        <v>80</v>
      </c>
      <c r="AJ37" s="38"/>
    </row>
    <row r="38" spans="1:36">
      <c r="A38" s="9" t="s">
        <v>187</v>
      </c>
      <c r="B38" s="36">
        <v>20.203475727794299</v>
      </c>
      <c r="C38" s="32">
        <v>19.798753201118899</v>
      </c>
      <c r="D38" s="32">
        <v>21.5241983165295</v>
      </c>
      <c r="E38" s="32">
        <v>28.476656097446899</v>
      </c>
      <c r="F38" s="15">
        <v>13.1147540983607</v>
      </c>
      <c r="G38" s="15">
        <v>23.728813559321999</v>
      </c>
      <c r="H38" s="15">
        <v>19.277108433734899</v>
      </c>
      <c r="I38" s="15">
        <v>26.6666666666667</v>
      </c>
      <c r="J38" s="15">
        <v>16.071428571428601</v>
      </c>
      <c r="K38" s="15">
        <v>25</v>
      </c>
      <c r="L38" s="15">
        <v>33.009708737864102</v>
      </c>
      <c r="M38" s="15">
        <v>18.518518518518501</v>
      </c>
      <c r="N38" s="15">
        <v>22.033898305084701</v>
      </c>
      <c r="O38" s="15">
        <v>19.2982456140351</v>
      </c>
      <c r="P38" s="15">
        <v>28.048780487804901</v>
      </c>
      <c r="Q38" s="15">
        <v>23.312883435582801</v>
      </c>
      <c r="R38" s="15">
        <v>30.681818181818201</v>
      </c>
      <c r="S38" s="15">
        <v>22.972972972973</v>
      </c>
      <c r="T38" s="15">
        <v>31.9444444444444</v>
      </c>
      <c r="U38" s="15">
        <v>45.081967213114801</v>
      </c>
      <c r="V38" s="15">
        <v>24.324324324324301</v>
      </c>
      <c r="W38" s="15">
        <v>19.318181818181799</v>
      </c>
      <c r="X38" s="15">
        <v>38.586956521739097</v>
      </c>
      <c r="Y38" s="15">
        <v>37.419354838709701</v>
      </c>
      <c r="Z38" s="15">
        <v>19.2982456140351</v>
      </c>
      <c r="AA38" s="32">
        <v>15.743897585149099</v>
      </c>
      <c r="AB38" s="15">
        <v>14.8387096774194</v>
      </c>
      <c r="AC38" s="15">
        <v>15.141955835962101</v>
      </c>
      <c r="AD38" s="15">
        <v>17.596566523605201</v>
      </c>
      <c r="AE38" s="15">
        <v>17.799352750809099</v>
      </c>
      <c r="AF38" s="15">
        <v>15.9786950732357</v>
      </c>
      <c r="AG38" s="15">
        <v>22.149837133550498</v>
      </c>
      <c r="AH38" s="15">
        <v>13.8790035587189</v>
      </c>
      <c r="AI38" s="26" t="s">
        <v>80</v>
      </c>
      <c r="AJ38" s="38"/>
    </row>
    <row r="39" spans="1:36">
      <c r="A39" s="9" t="s">
        <v>188</v>
      </c>
      <c r="B39" s="36">
        <v>36.763378806544999</v>
      </c>
      <c r="C39" s="32">
        <v>38.527532598466202</v>
      </c>
      <c r="D39" s="32">
        <v>36.5389825724152</v>
      </c>
      <c r="E39" s="32">
        <v>28.117421225128901</v>
      </c>
      <c r="F39" s="15">
        <v>21.311475409836099</v>
      </c>
      <c r="G39" s="15">
        <v>27.118644067796598</v>
      </c>
      <c r="H39" s="15">
        <v>15.662650602409601</v>
      </c>
      <c r="I39" s="15">
        <v>28.8888888888889</v>
      </c>
      <c r="J39" s="15">
        <v>16.071428571428601</v>
      </c>
      <c r="K39" s="15">
        <v>61.1111111111111</v>
      </c>
      <c r="L39" s="15">
        <v>43.6893203883495</v>
      </c>
      <c r="M39" s="15">
        <v>30.8641975308642</v>
      </c>
      <c r="N39" s="15">
        <v>25.4237288135593</v>
      </c>
      <c r="O39" s="15">
        <v>28.0701754385965</v>
      </c>
      <c r="P39" s="15">
        <v>37.804878048780502</v>
      </c>
      <c r="Q39" s="15">
        <v>18.404907975460102</v>
      </c>
      <c r="R39" s="15">
        <v>28.409090909090899</v>
      </c>
      <c r="S39" s="15">
        <v>22.972972972973</v>
      </c>
      <c r="T39" s="15">
        <v>22.2222222222222</v>
      </c>
      <c r="U39" s="15">
        <v>33.606557377049199</v>
      </c>
      <c r="V39" s="15">
        <v>22.972972972973</v>
      </c>
      <c r="W39" s="15">
        <v>15.909090909090899</v>
      </c>
      <c r="X39" s="15">
        <v>38.586956521739097</v>
      </c>
      <c r="Y39" s="15">
        <v>38.709677419354797</v>
      </c>
      <c r="Z39" s="15">
        <v>28.0701754385965</v>
      </c>
      <c r="AA39" s="32">
        <v>43.540701784388801</v>
      </c>
      <c r="AB39" s="15">
        <v>32.903225806451601</v>
      </c>
      <c r="AC39" s="15">
        <v>49.211356466877</v>
      </c>
      <c r="AD39" s="15">
        <v>43.347639484978501</v>
      </c>
      <c r="AE39" s="15">
        <v>38.834951456310698</v>
      </c>
      <c r="AF39" s="15">
        <v>37.549933422103898</v>
      </c>
      <c r="AG39" s="15">
        <v>47.882736156351797</v>
      </c>
      <c r="AH39" s="15">
        <v>45.907473309608498</v>
      </c>
      <c r="AI39" s="24">
        <v>27.7777777777778</v>
      </c>
      <c r="AJ39" s="38"/>
    </row>
    <row r="40" spans="1:36">
      <c r="A40" s="9" t="s">
        <v>189</v>
      </c>
      <c r="B40" s="36">
        <v>13.0698739094644</v>
      </c>
      <c r="C40" s="32">
        <v>13.159116124280301</v>
      </c>
      <c r="D40" s="32">
        <v>13.4072775342353</v>
      </c>
      <c r="E40" s="32">
        <v>15.8681725040011</v>
      </c>
      <c r="F40" s="15">
        <v>14.7540983606557</v>
      </c>
      <c r="G40" s="15">
        <v>8.4745762711864394</v>
      </c>
      <c r="H40" s="15">
        <v>14.4578313253012</v>
      </c>
      <c r="I40" s="15">
        <v>17.7777777777778</v>
      </c>
      <c r="J40" s="20" t="s">
        <v>80</v>
      </c>
      <c r="K40" s="15">
        <v>33.3333333333333</v>
      </c>
      <c r="L40" s="15">
        <v>32.038834951456302</v>
      </c>
      <c r="M40" s="15">
        <v>18.518518518518501</v>
      </c>
      <c r="N40" s="15">
        <v>20.338983050847499</v>
      </c>
      <c r="O40" s="15">
        <v>28.0701754385965</v>
      </c>
      <c r="P40" s="15">
        <v>21.951219512195099</v>
      </c>
      <c r="Q40" s="15">
        <v>11.0429447852761</v>
      </c>
      <c r="R40" s="15">
        <v>14.7727272727273</v>
      </c>
      <c r="S40" s="15">
        <v>10.8108108108108</v>
      </c>
      <c r="T40" s="15">
        <v>18.0555555555556</v>
      </c>
      <c r="U40" s="15">
        <v>21.311475409836099</v>
      </c>
      <c r="V40" s="15">
        <v>9.4594594594594597</v>
      </c>
      <c r="W40" s="20" t="s">
        <v>80</v>
      </c>
      <c r="X40" s="15">
        <v>23.369565217391301</v>
      </c>
      <c r="Y40" s="15">
        <v>15.4838709677419</v>
      </c>
      <c r="Z40" s="15">
        <v>12.280701754386</v>
      </c>
      <c r="AA40" s="32">
        <v>11.3612797818102</v>
      </c>
      <c r="AB40" s="15">
        <v>7.0967741935483897</v>
      </c>
      <c r="AC40" s="15">
        <v>18.296529968454301</v>
      </c>
      <c r="AD40" s="15">
        <v>5.15021459227468</v>
      </c>
      <c r="AE40" s="15">
        <v>12.2977346278317</v>
      </c>
      <c r="AF40" s="15">
        <v>14.2476697736352</v>
      </c>
      <c r="AG40" s="15">
        <v>10.0977198697068</v>
      </c>
      <c r="AH40" s="15">
        <v>15.6583629893238</v>
      </c>
      <c r="AI40" s="26" t="s">
        <v>80</v>
      </c>
      <c r="AJ40" s="38"/>
    </row>
    <row r="41" spans="1:36">
      <c r="A41" s="9" t="s">
        <v>190</v>
      </c>
      <c r="B41" s="36">
        <v>20.718278780622001</v>
      </c>
      <c r="C41" s="32">
        <v>21.4215543817485</v>
      </c>
      <c r="D41" s="32">
        <v>21.264396075073101</v>
      </c>
      <c r="E41" s="32">
        <v>19.348796908745101</v>
      </c>
      <c r="F41" s="15">
        <v>20.491803278688501</v>
      </c>
      <c r="G41" s="15">
        <v>18.644067796610202</v>
      </c>
      <c r="H41" s="15">
        <v>13.253012048192801</v>
      </c>
      <c r="I41" s="15">
        <v>8.8888888888888893</v>
      </c>
      <c r="J41" s="15">
        <v>28.571428571428601</v>
      </c>
      <c r="K41" s="15">
        <v>36.1111111111111</v>
      </c>
      <c r="L41" s="15">
        <v>33.009708737864102</v>
      </c>
      <c r="M41" s="15">
        <v>27.160493827160501</v>
      </c>
      <c r="N41" s="15">
        <v>28.8135593220339</v>
      </c>
      <c r="O41" s="15">
        <v>21.052631578947398</v>
      </c>
      <c r="P41" s="15">
        <v>31.707317073170699</v>
      </c>
      <c r="Q41" s="15">
        <v>27.607361963190201</v>
      </c>
      <c r="R41" s="15">
        <v>15.909090909090899</v>
      </c>
      <c r="S41" s="15">
        <v>10.8108108108108</v>
      </c>
      <c r="T41" s="15">
        <v>26.3888888888889</v>
      </c>
      <c r="U41" s="15">
        <v>14.7540983606557</v>
      </c>
      <c r="V41" s="15">
        <v>18.918918918918902</v>
      </c>
      <c r="W41" s="15">
        <v>22.727272727272702</v>
      </c>
      <c r="X41" s="15">
        <v>5.9782608695652204</v>
      </c>
      <c r="Y41" s="15">
        <v>29.0322580645161</v>
      </c>
      <c r="Z41" s="15">
        <v>10.526315789473699</v>
      </c>
      <c r="AA41" s="32">
        <v>22.857032752788498</v>
      </c>
      <c r="AB41" s="15">
        <v>17.419354838709701</v>
      </c>
      <c r="AC41" s="15">
        <v>27.444794952681399</v>
      </c>
      <c r="AD41" s="15">
        <v>18.8841201716738</v>
      </c>
      <c r="AE41" s="15">
        <v>27.184466019417499</v>
      </c>
      <c r="AF41" s="15">
        <v>25.699067909454101</v>
      </c>
      <c r="AG41" s="15">
        <v>29.315960912052098</v>
      </c>
      <c r="AH41" s="15">
        <v>25.6227758007117</v>
      </c>
      <c r="AI41" s="26" t="s">
        <v>80</v>
      </c>
      <c r="AJ41" s="38"/>
    </row>
    <row r="42" spans="1:36">
      <c r="A42" s="9" t="s">
        <v>191</v>
      </c>
      <c r="B42" s="36">
        <v>5.9903219742511196</v>
      </c>
      <c r="C42" s="32">
        <v>5.7050324431383803</v>
      </c>
      <c r="D42" s="32">
        <v>5.1866056513621404</v>
      </c>
      <c r="E42" s="32">
        <v>6.4238772178426702</v>
      </c>
      <c r="F42" s="15">
        <v>4.0983606557377001</v>
      </c>
      <c r="G42" s="20" t="s">
        <v>80</v>
      </c>
      <c r="H42" s="20" t="s">
        <v>80</v>
      </c>
      <c r="I42" s="15">
        <v>5.5555555555555598</v>
      </c>
      <c r="J42" s="15">
        <v>8.9285714285714306</v>
      </c>
      <c r="K42" s="15">
        <v>22.2222222222222</v>
      </c>
      <c r="L42" s="15">
        <v>15.5339805825243</v>
      </c>
      <c r="M42" s="20" t="s">
        <v>80</v>
      </c>
      <c r="N42" s="15">
        <v>8.4745762711864394</v>
      </c>
      <c r="O42" s="15">
        <v>19.2982456140351</v>
      </c>
      <c r="P42" s="15">
        <v>6.0975609756097597</v>
      </c>
      <c r="Q42" s="15">
        <v>3.0674846625766898</v>
      </c>
      <c r="R42" s="15">
        <v>6.8181818181818201</v>
      </c>
      <c r="S42" s="20" t="s">
        <v>80</v>
      </c>
      <c r="T42" s="20" t="s">
        <v>80</v>
      </c>
      <c r="U42" s="20" t="s">
        <v>80</v>
      </c>
      <c r="V42" s="20" t="s">
        <v>80</v>
      </c>
      <c r="W42" s="15">
        <v>17.045454545454501</v>
      </c>
      <c r="X42" s="15">
        <v>7.0652173913043503</v>
      </c>
      <c r="Y42" s="15">
        <v>26.451612903225801</v>
      </c>
      <c r="Z42" s="15">
        <v>5.2631578947368398</v>
      </c>
      <c r="AA42" s="32">
        <v>4.1579332068816797</v>
      </c>
      <c r="AB42" s="15">
        <v>3.2258064516128999</v>
      </c>
      <c r="AC42" s="15">
        <v>5.9936908517350203</v>
      </c>
      <c r="AD42" s="15">
        <v>5.15021459227468</v>
      </c>
      <c r="AE42" s="15">
        <v>2.9126213592233001</v>
      </c>
      <c r="AF42" s="15">
        <v>4.5272969374167804</v>
      </c>
      <c r="AG42" s="15">
        <v>4.8859934853420199</v>
      </c>
      <c r="AH42" s="15">
        <v>5.3380782918149503</v>
      </c>
      <c r="AI42" s="26" t="s">
        <v>80</v>
      </c>
      <c r="AJ42" s="38"/>
    </row>
    <row r="43" spans="1:36">
      <c r="A43" s="9" t="s">
        <v>192</v>
      </c>
      <c r="B43" s="36">
        <v>20.595175469218098</v>
      </c>
      <c r="C43" s="32">
        <v>21.4730847167516</v>
      </c>
      <c r="D43" s="32">
        <v>20.1034665483458</v>
      </c>
      <c r="E43" s="32">
        <v>21.611180064755199</v>
      </c>
      <c r="F43" s="15">
        <v>13.934426229508199</v>
      </c>
      <c r="G43" s="20" t="s">
        <v>80</v>
      </c>
      <c r="H43" s="15">
        <v>13.253012048192801</v>
      </c>
      <c r="I43" s="15">
        <v>13.3333333333333</v>
      </c>
      <c r="J43" s="15">
        <v>19.6428571428571</v>
      </c>
      <c r="K43" s="15">
        <v>44.4444444444444</v>
      </c>
      <c r="L43" s="15">
        <v>22.330097087378601</v>
      </c>
      <c r="M43" s="15">
        <v>23.456790123456798</v>
      </c>
      <c r="N43" s="15">
        <v>27.118644067796598</v>
      </c>
      <c r="O43" s="15">
        <v>36.842105263157897</v>
      </c>
      <c r="P43" s="15">
        <v>24.390243902439</v>
      </c>
      <c r="Q43" s="15">
        <v>32.5153374233129</v>
      </c>
      <c r="R43" s="15">
        <v>23.863636363636399</v>
      </c>
      <c r="S43" s="15">
        <v>17.5675675675676</v>
      </c>
      <c r="T43" s="15">
        <v>26.3888888888889</v>
      </c>
      <c r="U43" s="15">
        <v>25.409836065573799</v>
      </c>
      <c r="V43" s="15">
        <v>21.6216216216216</v>
      </c>
      <c r="W43" s="15">
        <v>12.5</v>
      </c>
      <c r="X43" s="15">
        <v>21.195652173913</v>
      </c>
      <c r="Y43" s="15">
        <v>27.096774193548399</v>
      </c>
      <c r="Z43" s="15">
        <v>16.6666666666667</v>
      </c>
      <c r="AA43" s="32">
        <v>18.849947603501001</v>
      </c>
      <c r="AB43" s="15">
        <v>12.9032258064516</v>
      </c>
      <c r="AC43" s="15">
        <v>24.921135646687699</v>
      </c>
      <c r="AD43" s="15">
        <v>20.171673819742502</v>
      </c>
      <c r="AE43" s="15">
        <v>21.3592233009709</v>
      </c>
      <c r="AF43" s="15">
        <v>21.171770972037301</v>
      </c>
      <c r="AG43" s="15">
        <v>21.824104234527699</v>
      </c>
      <c r="AH43" s="15">
        <v>19.9288256227758</v>
      </c>
      <c r="AI43" s="26" t="s">
        <v>80</v>
      </c>
      <c r="AJ43" s="38"/>
    </row>
    <row r="44" spans="1:36">
      <c r="A44" s="9" t="s">
        <v>193</v>
      </c>
      <c r="B44" s="36">
        <v>58.303930767089803</v>
      </c>
      <c r="C44" s="32">
        <v>59.419181024523098</v>
      </c>
      <c r="D44" s="32">
        <v>59.937628059088397</v>
      </c>
      <c r="E44" s="32">
        <v>54.446079359877601</v>
      </c>
      <c r="F44" s="15">
        <v>37.7049180327869</v>
      </c>
      <c r="G44" s="15">
        <v>52.542372881355902</v>
      </c>
      <c r="H44" s="15">
        <v>27.710843373494001</v>
      </c>
      <c r="I44" s="15">
        <v>57.7777777777778</v>
      </c>
      <c r="J44" s="15">
        <v>39.285714285714299</v>
      </c>
      <c r="K44" s="15">
        <v>66.6666666666667</v>
      </c>
      <c r="L44" s="15">
        <v>58.252427184466001</v>
      </c>
      <c r="M44" s="15">
        <v>64.197530864197503</v>
      </c>
      <c r="N44" s="15">
        <v>55.932203389830498</v>
      </c>
      <c r="O44" s="15">
        <v>52.631578947368403</v>
      </c>
      <c r="P44" s="15">
        <v>59.756097560975597</v>
      </c>
      <c r="Q44" s="15">
        <v>62.576687116564401</v>
      </c>
      <c r="R44" s="15">
        <v>62.5</v>
      </c>
      <c r="S44" s="15">
        <v>39.1891891891892</v>
      </c>
      <c r="T44" s="15">
        <v>56.9444444444444</v>
      </c>
      <c r="U44" s="15">
        <v>60.655737704918003</v>
      </c>
      <c r="V44" s="15">
        <v>58.108108108108098</v>
      </c>
      <c r="W44" s="15">
        <v>46.590909090909101</v>
      </c>
      <c r="X44" s="15">
        <v>53.804347826087003</v>
      </c>
      <c r="Y44" s="15">
        <v>54.838709677419402</v>
      </c>
      <c r="Z44" s="15">
        <v>57.894736842105303</v>
      </c>
      <c r="AA44" s="32">
        <v>64.503323236639105</v>
      </c>
      <c r="AB44" s="15">
        <v>56.129032258064498</v>
      </c>
      <c r="AC44" s="15">
        <v>73.817034700315503</v>
      </c>
      <c r="AD44" s="15">
        <v>57.939914163090101</v>
      </c>
      <c r="AE44" s="15">
        <v>63.106796116504903</v>
      </c>
      <c r="AF44" s="15">
        <v>62.583222370173097</v>
      </c>
      <c r="AG44" s="15">
        <v>63.843648208469098</v>
      </c>
      <c r="AH44" s="15">
        <v>67.971530249110302</v>
      </c>
      <c r="AI44" s="24">
        <v>33.3333333333333</v>
      </c>
      <c r="AJ44" s="38"/>
    </row>
    <row r="45" spans="1:36">
      <c r="A45" s="9" t="s">
        <v>194</v>
      </c>
      <c r="B45" s="36">
        <v>4.4190228052063603</v>
      </c>
      <c r="C45" s="32">
        <v>4.3115767098958999</v>
      </c>
      <c r="D45" s="32">
        <v>3.9508472833916</v>
      </c>
      <c r="E45" s="32">
        <v>5.6322336989313602</v>
      </c>
      <c r="F45" s="15">
        <v>11.4754098360656</v>
      </c>
      <c r="G45" s="20" t="s">
        <v>80</v>
      </c>
      <c r="H45" s="20" t="s">
        <v>80</v>
      </c>
      <c r="I45" s="20" t="s">
        <v>80</v>
      </c>
      <c r="J45" s="20" t="s">
        <v>80</v>
      </c>
      <c r="K45" s="20" t="s">
        <v>80</v>
      </c>
      <c r="L45" s="15">
        <v>9.7087378640776691</v>
      </c>
      <c r="M45" s="15">
        <v>8.6419753086419693</v>
      </c>
      <c r="N45" s="20" t="s">
        <v>80</v>
      </c>
      <c r="O45" s="15">
        <v>10.526315789473699</v>
      </c>
      <c r="P45" s="15">
        <v>8.5365853658536608</v>
      </c>
      <c r="Q45" s="15">
        <v>3.6809815950920202</v>
      </c>
      <c r="R45" s="15">
        <v>9.0909090909090899</v>
      </c>
      <c r="S45" s="20" t="s">
        <v>80</v>
      </c>
      <c r="T45" s="20" t="s">
        <v>80</v>
      </c>
      <c r="U45" s="20" t="s">
        <v>80</v>
      </c>
      <c r="V45" s="20" t="s">
        <v>80</v>
      </c>
      <c r="W45" s="20" t="s">
        <v>80</v>
      </c>
      <c r="X45" s="15">
        <v>5.9782608695652204</v>
      </c>
      <c r="Y45" s="15">
        <v>5.8064516129032304</v>
      </c>
      <c r="Z45" s="20" t="s">
        <v>80</v>
      </c>
      <c r="AA45" s="32">
        <v>2.5529360074463701</v>
      </c>
      <c r="AB45" s="20" t="s">
        <v>80</v>
      </c>
      <c r="AC45" s="15">
        <v>5.9936908517350203</v>
      </c>
      <c r="AD45" s="20" t="s">
        <v>80</v>
      </c>
      <c r="AE45" s="20" t="s">
        <v>80</v>
      </c>
      <c r="AF45" s="15">
        <v>3.1957390146471401</v>
      </c>
      <c r="AG45" s="15">
        <v>3.25732899022801</v>
      </c>
      <c r="AH45" s="15">
        <v>2.8469750889679699</v>
      </c>
      <c r="AI45" s="26" t="s">
        <v>80</v>
      </c>
      <c r="AJ45" s="38"/>
    </row>
    <row r="46" spans="1:36">
      <c r="A46" s="9" t="s">
        <v>195</v>
      </c>
      <c r="B46" s="36">
        <v>19.994187517089301</v>
      </c>
      <c r="C46" s="32">
        <v>20.9360092752542</v>
      </c>
      <c r="D46" s="32">
        <v>22.096765634641301</v>
      </c>
      <c r="E46" s="32">
        <v>24.2132559001505</v>
      </c>
      <c r="F46" s="15">
        <v>27.0491803278689</v>
      </c>
      <c r="G46" s="15">
        <v>13.559322033898299</v>
      </c>
      <c r="H46" s="15">
        <v>27.710843373494001</v>
      </c>
      <c r="I46" s="15">
        <v>31.1111111111111</v>
      </c>
      <c r="J46" s="15">
        <v>23.214285714285701</v>
      </c>
      <c r="K46" s="15">
        <v>25</v>
      </c>
      <c r="L46" s="15">
        <v>52.427184466019398</v>
      </c>
      <c r="M46" s="15">
        <v>35.802469135802497</v>
      </c>
      <c r="N46" s="15">
        <v>22.033898305084701</v>
      </c>
      <c r="O46" s="15">
        <v>29.824561403508799</v>
      </c>
      <c r="P46" s="15">
        <v>40.243902439024403</v>
      </c>
      <c r="Q46" s="15">
        <v>13.4969325153374</v>
      </c>
      <c r="R46" s="15">
        <v>21.590909090909101</v>
      </c>
      <c r="S46" s="15">
        <v>18.918918918918902</v>
      </c>
      <c r="T46" s="15">
        <v>31.9444444444444</v>
      </c>
      <c r="U46" s="15">
        <v>23.770491803278698</v>
      </c>
      <c r="V46" s="15">
        <v>16.2162162162162</v>
      </c>
      <c r="W46" s="20" t="s">
        <v>80</v>
      </c>
      <c r="X46" s="15">
        <v>23.913043478260899</v>
      </c>
      <c r="Y46" s="15">
        <v>26.451612903225801</v>
      </c>
      <c r="Z46" s="15">
        <v>28.0701754385965</v>
      </c>
      <c r="AA46" s="32">
        <v>20.3371073072997</v>
      </c>
      <c r="AB46" s="15">
        <v>12.258064516129</v>
      </c>
      <c r="AC46" s="15">
        <v>39.747634069400597</v>
      </c>
      <c r="AD46" s="15">
        <v>15.450643776824</v>
      </c>
      <c r="AE46" s="15">
        <v>19.093851132686101</v>
      </c>
      <c r="AF46" s="15">
        <v>29.693741677763001</v>
      </c>
      <c r="AG46" s="15">
        <v>14.332247557003299</v>
      </c>
      <c r="AH46" s="15">
        <v>28.113879003558701</v>
      </c>
      <c r="AI46" s="26" t="s">
        <v>80</v>
      </c>
      <c r="AJ46" s="38"/>
    </row>
    <row r="47" spans="1:36">
      <c r="A47" s="9" t="s">
        <v>196</v>
      </c>
      <c r="B47" s="36">
        <v>6.7062197540207196</v>
      </c>
      <c r="C47" s="32">
        <v>7.0581843384543204</v>
      </c>
      <c r="D47" s="32">
        <v>7.3039376932554498</v>
      </c>
      <c r="E47" s="32">
        <v>6.22794070116655</v>
      </c>
      <c r="F47" s="15">
        <v>10.655737704918</v>
      </c>
      <c r="G47" s="20" t="s">
        <v>80</v>
      </c>
      <c r="H47" s="20" t="s">
        <v>80</v>
      </c>
      <c r="I47" s="20" t="s">
        <v>80</v>
      </c>
      <c r="J47" s="20" t="s">
        <v>80</v>
      </c>
      <c r="K47" s="15">
        <v>16.6666666666667</v>
      </c>
      <c r="L47" s="15">
        <v>25.242718446601899</v>
      </c>
      <c r="M47" s="15">
        <v>11.1111111111111</v>
      </c>
      <c r="N47" s="15">
        <v>13.559322033898299</v>
      </c>
      <c r="O47" s="15">
        <v>28.0701754385965</v>
      </c>
      <c r="P47" s="15">
        <v>14.634146341463399</v>
      </c>
      <c r="Q47" s="20" t="s">
        <v>80</v>
      </c>
      <c r="R47" s="20" t="s">
        <v>80</v>
      </c>
      <c r="S47" s="20" t="s">
        <v>80</v>
      </c>
      <c r="T47" s="20" t="s">
        <v>80</v>
      </c>
      <c r="U47" s="20" t="s">
        <v>80</v>
      </c>
      <c r="V47" s="20" t="s">
        <v>80</v>
      </c>
      <c r="W47" s="20" t="s">
        <v>80</v>
      </c>
      <c r="X47" s="15">
        <v>6.5217391304347796</v>
      </c>
      <c r="Y47" s="15">
        <v>10.9677419354839</v>
      </c>
      <c r="Z47" s="20" t="s">
        <v>80</v>
      </c>
      <c r="AA47" s="32">
        <v>8.1985258225649993</v>
      </c>
      <c r="AB47" s="15">
        <v>5.8064516129032304</v>
      </c>
      <c r="AC47" s="15">
        <v>23.0283911671924</v>
      </c>
      <c r="AD47" s="15">
        <v>2.57510729613734</v>
      </c>
      <c r="AE47" s="15">
        <v>4.8543689320388399</v>
      </c>
      <c r="AF47" s="15">
        <v>8.5219707057256997</v>
      </c>
      <c r="AG47" s="15">
        <v>3.90879478827362</v>
      </c>
      <c r="AH47" s="15">
        <v>15.6583629893238</v>
      </c>
      <c r="AI47" s="26" t="s">
        <v>80</v>
      </c>
      <c r="AJ47" s="38"/>
    </row>
    <row r="48" spans="1:36">
      <c r="A48" s="9" t="s">
        <v>197</v>
      </c>
      <c r="B48" s="36">
        <v>6.6293136037403899</v>
      </c>
      <c r="C48" s="32">
        <v>6.35872873009499</v>
      </c>
      <c r="D48" s="32">
        <v>6.0422946434935199</v>
      </c>
      <c r="E48" s="32">
        <v>7.4530471420076099</v>
      </c>
      <c r="F48" s="20" t="s">
        <v>80</v>
      </c>
      <c r="G48" s="20" t="s">
        <v>80</v>
      </c>
      <c r="H48" s="20" t="s">
        <v>80</v>
      </c>
      <c r="I48" s="20" t="s">
        <v>80</v>
      </c>
      <c r="J48" s="20" t="s">
        <v>80</v>
      </c>
      <c r="K48" s="20" t="s">
        <v>80</v>
      </c>
      <c r="L48" s="15">
        <v>9.7087378640776691</v>
      </c>
      <c r="M48" s="20" t="s">
        <v>80</v>
      </c>
      <c r="N48" s="20" t="s">
        <v>80</v>
      </c>
      <c r="O48" s="20" t="s">
        <v>80</v>
      </c>
      <c r="P48" s="15">
        <v>13.4146341463415</v>
      </c>
      <c r="Q48" s="15">
        <v>4.9079754601227004</v>
      </c>
      <c r="R48" s="15">
        <v>5.6818181818181799</v>
      </c>
      <c r="S48" s="15">
        <v>10.8108108108108</v>
      </c>
      <c r="T48" s="20" t="s">
        <v>80</v>
      </c>
      <c r="U48" s="15">
        <v>9.0163934426229506</v>
      </c>
      <c r="V48" s="20" t="s">
        <v>80</v>
      </c>
      <c r="W48" s="15">
        <v>18.181818181818201</v>
      </c>
      <c r="X48" s="15">
        <v>10.326086956521699</v>
      </c>
      <c r="Y48" s="15">
        <v>37.419354838709701</v>
      </c>
      <c r="Z48" s="20" t="s">
        <v>80</v>
      </c>
      <c r="AA48" s="32">
        <v>4.8693894701115497</v>
      </c>
      <c r="AB48" s="20" t="s">
        <v>80</v>
      </c>
      <c r="AC48" s="15">
        <v>7.2555205047318596</v>
      </c>
      <c r="AD48" s="15">
        <v>5.5793991416309003</v>
      </c>
      <c r="AE48" s="15">
        <v>7.1197411003236297</v>
      </c>
      <c r="AF48" s="15">
        <v>4.7936085219707101</v>
      </c>
      <c r="AG48" s="15">
        <v>2.9315960912052099</v>
      </c>
      <c r="AH48" s="15">
        <v>6.4056939501779402</v>
      </c>
      <c r="AI48" s="26" t="s">
        <v>80</v>
      </c>
      <c r="AJ48" s="38"/>
    </row>
    <row r="49" spans="1:36">
      <c r="A49" s="9" t="s">
        <v>198</v>
      </c>
      <c r="B49" s="36">
        <v>11.0892416504407</v>
      </c>
      <c r="C49" s="32">
        <v>14.7415949881649</v>
      </c>
      <c r="D49" s="32">
        <v>16.298847606044699</v>
      </c>
      <c r="E49" s="32">
        <v>16.051677659095201</v>
      </c>
      <c r="F49" s="15">
        <v>41.8032786885246</v>
      </c>
      <c r="G49" s="15">
        <v>23.728813559321999</v>
      </c>
      <c r="H49" s="15">
        <v>9.6385542168674707</v>
      </c>
      <c r="I49" s="15">
        <v>7.7777777777777803</v>
      </c>
      <c r="J49" s="15">
        <v>30.3571428571429</v>
      </c>
      <c r="K49" s="15">
        <v>41.6666666666667</v>
      </c>
      <c r="L49" s="15">
        <v>41.747572815533999</v>
      </c>
      <c r="M49" s="15">
        <v>27.160493827160501</v>
      </c>
      <c r="N49" s="15">
        <v>25.4237288135593</v>
      </c>
      <c r="O49" s="15">
        <v>29.824561403508799</v>
      </c>
      <c r="P49" s="15">
        <v>19.512195121951201</v>
      </c>
      <c r="Q49" s="15">
        <v>7.9754601226993902</v>
      </c>
      <c r="R49" s="15">
        <v>13.636363636363599</v>
      </c>
      <c r="S49" s="15">
        <v>9.4594594594594597</v>
      </c>
      <c r="T49" s="15">
        <v>8.3333333333333304</v>
      </c>
      <c r="U49" s="15">
        <v>6.5573770491803298</v>
      </c>
      <c r="V49" s="20" t="s">
        <v>80</v>
      </c>
      <c r="W49" s="15">
        <v>5.6818181818181799</v>
      </c>
      <c r="X49" s="15">
        <v>19.021739130434799</v>
      </c>
      <c r="Y49" s="15">
        <v>14.193548387096801</v>
      </c>
      <c r="Z49" s="15">
        <v>14.912280701754399</v>
      </c>
      <c r="AA49" s="32">
        <v>16.504345671642199</v>
      </c>
      <c r="AB49" s="15">
        <v>9.0322580645161299</v>
      </c>
      <c r="AC49" s="15">
        <v>43.533123028391202</v>
      </c>
      <c r="AD49" s="15">
        <v>7.2961373390557904</v>
      </c>
      <c r="AE49" s="15">
        <v>14.2394822006473</v>
      </c>
      <c r="AF49" s="15">
        <v>21.970705725699101</v>
      </c>
      <c r="AG49" s="15">
        <v>11.400651465797999</v>
      </c>
      <c r="AH49" s="15">
        <v>27.402135231316699</v>
      </c>
      <c r="AI49" s="26" t="s">
        <v>80</v>
      </c>
      <c r="AJ49" s="38"/>
    </row>
    <row r="50" spans="1:36">
      <c r="A50" s="9" t="s">
        <v>199</v>
      </c>
      <c r="B50" s="36">
        <v>40.991221992550599</v>
      </c>
      <c r="C50" s="32">
        <v>42.1056149341034</v>
      </c>
      <c r="D50" s="32">
        <v>43.971310043913299</v>
      </c>
      <c r="E50" s="32">
        <v>41.8333979668895</v>
      </c>
      <c r="F50" s="15">
        <v>31.1475409836066</v>
      </c>
      <c r="G50" s="15">
        <v>22.033898305084701</v>
      </c>
      <c r="H50" s="15">
        <v>37.349397590361399</v>
      </c>
      <c r="I50" s="15">
        <v>44.4444444444444</v>
      </c>
      <c r="J50" s="15">
        <v>30.3571428571429</v>
      </c>
      <c r="K50" s="15">
        <v>75</v>
      </c>
      <c r="L50" s="15">
        <v>52.427184466019398</v>
      </c>
      <c r="M50" s="15">
        <v>33.3333333333333</v>
      </c>
      <c r="N50" s="15">
        <v>32.203389830508499</v>
      </c>
      <c r="O50" s="15">
        <v>38.596491228070199</v>
      </c>
      <c r="P50" s="15">
        <v>32.9268292682927</v>
      </c>
      <c r="Q50" s="15">
        <v>39.877300613496899</v>
      </c>
      <c r="R50" s="15">
        <v>40.909090909090899</v>
      </c>
      <c r="S50" s="15">
        <v>45.945945945945901</v>
      </c>
      <c r="T50" s="15">
        <v>56.9444444444444</v>
      </c>
      <c r="U50" s="15">
        <v>48.360655737704903</v>
      </c>
      <c r="V50" s="15">
        <v>35.135135135135101</v>
      </c>
      <c r="W50" s="15">
        <v>43.181818181818201</v>
      </c>
      <c r="X50" s="15">
        <v>37.5</v>
      </c>
      <c r="Y50" s="15">
        <v>49.677419354838698</v>
      </c>
      <c r="Z50" s="15">
        <v>43.859649122806999</v>
      </c>
      <c r="AA50" s="32">
        <v>45.7487785495642</v>
      </c>
      <c r="AB50" s="15">
        <v>38.709677419354797</v>
      </c>
      <c r="AC50" s="15">
        <v>52.996845425867498</v>
      </c>
      <c r="AD50" s="15">
        <v>33.4763948497854</v>
      </c>
      <c r="AE50" s="15">
        <v>51.779935275080902</v>
      </c>
      <c r="AF50" s="15">
        <v>46.071904127829598</v>
      </c>
      <c r="AG50" s="15">
        <v>48.534201954397403</v>
      </c>
      <c r="AH50" s="15">
        <v>50.889679715302499</v>
      </c>
      <c r="AI50" s="24">
        <v>50</v>
      </c>
      <c r="AJ50" s="38"/>
    </row>
    <row r="51" spans="1:36">
      <c r="A51" s="9" t="s">
        <v>200</v>
      </c>
      <c r="B51" s="36">
        <v>29.652717103845799</v>
      </c>
      <c r="C51" s="32">
        <v>31.028258889026102</v>
      </c>
      <c r="D51" s="32">
        <v>33.159750591129203</v>
      </c>
      <c r="E51" s="32">
        <v>27.0057571551805</v>
      </c>
      <c r="F51" s="15">
        <v>28.688524590163901</v>
      </c>
      <c r="G51" s="15">
        <v>27.118644067796598</v>
      </c>
      <c r="H51" s="15">
        <v>13.253012048192801</v>
      </c>
      <c r="I51" s="15">
        <v>26.6666666666667</v>
      </c>
      <c r="J51" s="15">
        <v>21.428571428571399</v>
      </c>
      <c r="K51" s="15">
        <v>55.5555555555556</v>
      </c>
      <c r="L51" s="15">
        <v>52.427184466019398</v>
      </c>
      <c r="M51" s="15">
        <v>30.8641975308642</v>
      </c>
      <c r="N51" s="15">
        <v>16.9491525423729</v>
      </c>
      <c r="O51" s="15">
        <v>33.3333333333333</v>
      </c>
      <c r="P51" s="15">
        <v>36.585365853658502</v>
      </c>
      <c r="Q51" s="15">
        <v>18.404907975460102</v>
      </c>
      <c r="R51" s="15">
        <v>19.318181818181799</v>
      </c>
      <c r="S51" s="15">
        <v>13.5135135135135</v>
      </c>
      <c r="T51" s="15">
        <v>29.1666666666667</v>
      </c>
      <c r="U51" s="15">
        <v>21.311475409836099</v>
      </c>
      <c r="V51" s="15">
        <v>24.324324324324301</v>
      </c>
      <c r="W51" s="15">
        <v>29.545454545454501</v>
      </c>
      <c r="X51" s="15">
        <v>34.7826086956522</v>
      </c>
      <c r="Y51" s="15">
        <v>41.935483870967701</v>
      </c>
      <c r="Z51" s="15">
        <v>21.9298245614035</v>
      </c>
      <c r="AA51" s="32">
        <v>38.276204927085097</v>
      </c>
      <c r="AB51" s="15">
        <v>23.2258064516129</v>
      </c>
      <c r="AC51" s="15">
        <v>53.312302839116697</v>
      </c>
      <c r="AD51" s="15">
        <v>32.188841201716698</v>
      </c>
      <c r="AE51" s="15">
        <v>35.922330097087404</v>
      </c>
      <c r="AF51" s="15">
        <v>39.946737683089196</v>
      </c>
      <c r="AG51" s="15">
        <v>43.648208469055398</v>
      </c>
      <c r="AH51" s="15">
        <v>42.348754448398601</v>
      </c>
      <c r="AI51" s="26" t="s">
        <v>80</v>
      </c>
      <c r="AJ51" s="38"/>
    </row>
    <row r="52" spans="1:36">
      <c r="A52" s="9" t="s">
        <v>201</v>
      </c>
      <c r="B52" s="36">
        <v>11.4396701794723</v>
      </c>
      <c r="C52" s="32">
        <v>13.781470915092401</v>
      </c>
      <c r="D52" s="32">
        <v>12.481033922325</v>
      </c>
      <c r="E52" s="32">
        <v>12.896297553673</v>
      </c>
      <c r="F52" s="15">
        <v>8.1967213114754092</v>
      </c>
      <c r="G52" s="15">
        <v>15.254237288135601</v>
      </c>
      <c r="H52" s="15">
        <v>6.0240963855421699</v>
      </c>
      <c r="I52" s="15">
        <v>8.8888888888888893</v>
      </c>
      <c r="J52" s="15">
        <v>28.571428571428601</v>
      </c>
      <c r="K52" s="15">
        <v>16.6666666666667</v>
      </c>
      <c r="L52" s="15">
        <v>23.300970873786401</v>
      </c>
      <c r="M52" s="15">
        <v>13.580246913580201</v>
      </c>
      <c r="N52" s="15">
        <v>8.4745762711864394</v>
      </c>
      <c r="O52" s="15">
        <v>45.614035087719301</v>
      </c>
      <c r="P52" s="15">
        <v>10.975609756097599</v>
      </c>
      <c r="Q52" s="15">
        <v>11.0429447852761</v>
      </c>
      <c r="R52" s="15">
        <v>13.636363636363599</v>
      </c>
      <c r="S52" s="15">
        <v>10.8108108108108</v>
      </c>
      <c r="T52" s="15">
        <v>6.9444444444444402</v>
      </c>
      <c r="U52" s="15">
        <v>11.4754098360656</v>
      </c>
      <c r="V52" s="15">
        <v>13.5135135135135</v>
      </c>
      <c r="W52" s="15">
        <v>9.0909090909090899</v>
      </c>
      <c r="X52" s="15">
        <v>10.326086956521699</v>
      </c>
      <c r="Y52" s="15">
        <v>17.419354838709701</v>
      </c>
      <c r="Z52" s="15">
        <v>5.2631578947368398</v>
      </c>
      <c r="AA52" s="32">
        <v>12.1357821066886</v>
      </c>
      <c r="AB52" s="15">
        <v>15.4838709677419</v>
      </c>
      <c r="AC52" s="15">
        <v>10.725552050473199</v>
      </c>
      <c r="AD52" s="15">
        <v>13.733905579399099</v>
      </c>
      <c r="AE52" s="15">
        <v>10.3559870550162</v>
      </c>
      <c r="AF52" s="15">
        <v>10.6524633821571</v>
      </c>
      <c r="AG52" s="15">
        <v>15.3094462540717</v>
      </c>
      <c r="AH52" s="15">
        <v>9.9644128113879002</v>
      </c>
      <c r="AI52" s="26" t="s">
        <v>80</v>
      </c>
      <c r="AJ52" s="38"/>
    </row>
    <row r="53" spans="1:36">
      <c r="A53" s="9" t="s">
        <v>202</v>
      </c>
      <c r="B53" s="36">
        <v>25.4392622296062</v>
      </c>
      <c r="C53" s="32">
        <v>26.375758365227</v>
      </c>
      <c r="D53" s="32">
        <v>25.346436710248302</v>
      </c>
      <c r="E53" s="32">
        <v>25.524111629102698</v>
      </c>
      <c r="F53" s="15">
        <v>25.409836065573799</v>
      </c>
      <c r="G53" s="15">
        <v>25.4237288135593</v>
      </c>
      <c r="H53" s="15">
        <v>14.4578313253012</v>
      </c>
      <c r="I53" s="15">
        <v>21.1111111111111</v>
      </c>
      <c r="J53" s="15">
        <v>26.785714285714299</v>
      </c>
      <c r="K53" s="15">
        <v>47.2222222222222</v>
      </c>
      <c r="L53" s="15">
        <v>41.747572815533999</v>
      </c>
      <c r="M53" s="15">
        <v>27.160493827160501</v>
      </c>
      <c r="N53" s="15">
        <v>18.644067796610202</v>
      </c>
      <c r="O53" s="15">
        <v>29.824561403508799</v>
      </c>
      <c r="P53" s="15">
        <v>51.219512195122</v>
      </c>
      <c r="Q53" s="15">
        <v>17.791411042944802</v>
      </c>
      <c r="R53" s="15">
        <v>31.818181818181799</v>
      </c>
      <c r="S53" s="15">
        <v>25.675675675675699</v>
      </c>
      <c r="T53" s="15">
        <v>19.4444444444444</v>
      </c>
      <c r="U53" s="15">
        <v>29.508196721311499</v>
      </c>
      <c r="V53" s="15">
        <v>33.783783783783797</v>
      </c>
      <c r="W53" s="15">
        <v>25</v>
      </c>
      <c r="X53" s="15">
        <v>19.565217391304301</v>
      </c>
      <c r="Y53" s="15">
        <v>31.612903225806502</v>
      </c>
      <c r="Z53" s="15">
        <v>25.4385964912281</v>
      </c>
      <c r="AA53" s="32">
        <v>25.198717084216</v>
      </c>
      <c r="AB53" s="15">
        <v>23.2258064516129</v>
      </c>
      <c r="AC53" s="15">
        <v>37.539432176656099</v>
      </c>
      <c r="AD53" s="15">
        <v>23.175965665235999</v>
      </c>
      <c r="AE53" s="15">
        <v>27.184466019417499</v>
      </c>
      <c r="AF53" s="15">
        <v>29.294274300932098</v>
      </c>
      <c r="AG53" s="15">
        <v>22.149837133550498</v>
      </c>
      <c r="AH53" s="15">
        <v>34.8754448398576</v>
      </c>
      <c r="AI53" s="26" t="s">
        <v>80</v>
      </c>
      <c r="AJ53" s="38"/>
    </row>
    <row r="54" spans="1:36">
      <c r="A54" s="9" t="s">
        <v>203</v>
      </c>
      <c r="B54" s="36">
        <v>34.868445137402603</v>
      </c>
      <c r="C54" s="32">
        <v>35.618591781025501</v>
      </c>
      <c r="D54" s="32">
        <v>35.8968881619775</v>
      </c>
      <c r="E54" s="32">
        <v>41.134641670064902</v>
      </c>
      <c r="F54" s="15">
        <v>31.1475409836066</v>
      </c>
      <c r="G54" s="15">
        <v>40.677966101694899</v>
      </c>
      <c r="H54" s="15">
        <v>26.506024096385499</v>
      </c>
      <c r="I54" s="15">
        <v>34.4444444444444</v>
      </c>
      <c r="J54" s="15">
        <v>19.6428571428571</v>
      </c>
      <c r="K54" s="15">
        <v>55.5555555555556</v>
      </c>
      <c r="L54" s="15">
        <v>55.339805825242699</v>
      </c>
      <c r="M54" s="15">
        <v>40.740740740740698</v>
      </c>
      <c r="N54" s="15">
        <v>37.288135593220296</v>
      </c>
      <c r="O54" s="15">
        <v>38.596491228070199</v>
      </c>
      <c r="P54" s="15">
        <v>40.243902439024403</v>
      </c>
      <c r="Q54" s="15">
        <v>28.220858895705501</v>
      </c>
      <c r="R54" s="15">
        <v>50</v>
      </c>
      <c r="S54" s="15">
        <v>35.135135135135101</v>
      </c>
      <c r="T54" s="15">
        <v>50</v>
      </c>
      <c r="U54" s="15">
        <v>47.540983606557397</v>
      </c>
      <c r="V54" s="15">
        <v>43.243243243243199</v>
      </c>
      <c r="W54" s="15">
        <v>13.636363636363599</v>
      </c>
      <c r="X54" s="15">
        <v>52.7173913043478</v>
      </c>
      <c r="Y54" s="15">
        <v>52.258064516128997</v>
      </c>
      <c r="Z54" s="15">
        <v>43.859649122806999</v>
      </c>
      <c r="AA54" s="32">
        <v>31.5421993040766</v>
      </c>
      <c r="AB54" s="15">
        <v>30.9677419354839</v>
      </c>
      <c r="AC54" s="15">
        <v>30.5993690851735</v>
      </c>
      <c r="AD54" s="15">
        <v>35.622317596566504</v>
      </c>
      <c r="AE54" s="15">
        <v>38.187702265372202</v>
      </c>
      <c r="AF54" s="15">
        <v>33.954727030625797</v>
      </c>
      <c r="AG54" s="15">
        <v>37.133550488599298</v>
      </c>
      <c r="AH54" s="15">
        <v>34.519572953736699</v>
      </c>
      <c r="AI54" s="24">
        <v>27.7777777777778</v>
      </c>
      <c r="AJ54" s="38"/>
    </row>
    <row r="55" spans="1:36">
      <c r="A55" s="9" t="s">
        <v>204</v>
      </c>
      <c r="B55" s="36">
        <v>3.5689012074615301</v>
      </c>
      <c r="C55" s="32">
        <v>4.1522782843226098</v>
      </c>
      <c r="D55" s="32">
        <v>4.8541304252503501</v>
      </c>
      <c r="E55" s="32">
        <v>6.2207036686917201</v>
      </c>
      <c r="F55" s="15">
        <v>4.0983606557377001</v>
      </c>
      <c r="G55" s="20" t="s">
        <v>80</v>
      </c>
      <c r="H55" s="15">
        <v>14.4578313253012</v>
      </c>
      <c r="I55" s="20" t="s">
        <v>80</v>
      </c>
      <c r="J55" s="20" t="s">
        <v>80</v>
      </c>
      <c r="K55" s="15">
        <v>13.8888888888889</v>
      </c>
      <c r="L55" s="15">
        <v>6.7961165048543704</v>
      </c>
      <c r="M55" s="20" t="s">
        <v>80</v>
      </c>
      <c r="N55" s="20" t="s">
        <v>80</v>
      </c>
      <c r="O55" s="15">
        <v>10.526315789473699</v>
      </c>
      <c r="P55" s="15">
        <v>7.3170731707317103</v>
      </c>
      <c r="Q55" s="15">
        <v>4.2944785276073603</v>
      </c>
      <c r="R55" s="20" t="s">
        <v>80</v>
      </c>
      <c r="S55" s="15">
        <v>6.7567567567567597</v>
      </c>
      <c r="T55" s="20" t="s">
        <v>80</v>
      </c>
      <c r="U55" s="15">
        <v>7.3770491803278704</v>
      </c>
      <c r="V55" s="20" t="s">
        <v>80</v>
      </c>
      <c r="W55" s="15">
        <v>28.409090909090899</v>
      </c>
      <c r="X55" s="15">
        <v>4.8913043478260896</v>
      </c>
      <c r="Y55" s="15">
        <v>8.3870967741935498</v>
      </c>
      <c r="Z55" s="15">
        <v>7.0175438596491198</v>
      </c>
      <c r="AA55" s="32">
        <v>3.71795605821857</v>
      </c>
      <c r="AB55" s="15">
        <v>3.2258064516128999</v>
      </c>
      <c r="AC55" s="15">
        <v>3.47003154574133</v>
      </c>
      <c r="AD55" s="15">
        <v>4.72103004291845</v>
      </c>
      <c r="AE55" s="15">
        <v>4.2071197411003203</v>
      </c>
      <c r="AF55" s="15">
        <v>3.7283621837549901</v>
      </c>
      <c r="AG55" s="15">
        <v>4.2345276872964197</v>
      </c>
      <c r="AH55" s="15">
        <v>4.2704626334519604</v>
      </c>
      <c r="AI55" s="26" t="s">
        <v>80</v>
      </c>
      <c r="AJ55" s="38"/>
    </row>
    <row r="56" spans="1:36">
      <c r="A56" s="9" t="s">
        <v>205</v>
      </c>
      <c r="B56" s="36">
        <v>11.1633526049146</v>
      </c>
      <c r="C56" s="32">
        <v>11.5244078354708</v>
      </c>
      <c r="D56" s="32">
        <v>12.954107126983001</v>
      </c>
      <c r="E56" s="32">
        <v>12.253253563616999</v>
      </c>
      <c r="F56" s="15">
        <v>8.1967213114754092</v>
      </c>
      <c r="G56" s="15">
        <v>13.559322033898299</v>
      </c>
      <c r="H56" s="15">
        <v>13.253012048192801</v>
      </c>
      <c r="I56" s="15">
        <v>5.5555555555555598</v>
      </c>
      <c r="J56" s="15">
        <v>16.071428571428601</v>
      </c>
      <c r="K56" s="15">
        <v>22.2222222222222</v>
      </c>
      <c r="L56" s="15">
        <v>30.097087378640801</v>
      </c>
      <c r="M56" s="15">
        <v>12.3456790123457</v>
      </c>
      <c r="N56" s="15">
        <v>13.559322033898299</v>
      </c>
      <c r="O56" s="15">
        <v>8.7719298245614006</v>
      </c>
      <c r="P56" s="15">
        <v>28.048780487804901</v>
      </c>
      <c r="Q56" s="15">
        <v>5.5214723926380396</v>
      </c>
      <c r="R56" s="15">
        <v>6.8181818181818201</v>
      </c>
      <c r="S56" s="15">
        <v>12.1621621621622</v>
      </c>
      <c r="T56" s="15">
        <v>15.2777777777778</v>
      </c>
      <c r="U56" s="15">
        <v>14.7540983606557</v>
      </c>
      <c r="V56" s="15">
        <v>10.8108108108108</v>
      </c>
      <c r="W56" s="15">
        <v>6.8181818181818201</v>
      </c>
      <c r="X56" s="15">
        <v>11.413043478260899</v>
      </c>
      <c r="Y56" s="15">
        <v>18.064516129032299</v>
      </c>
      <c r="Z56" s="15">
        <v>5.2631578947368398</v>
      </c>
      <c r="AA56" s="32">
        <v>13.536799534844</v>
      </c>
      <c r="AB56" s="15">
        <v>7.7419354838709697</v>
      </c>
      <c r="AC56" s="15">
        <v>17.665615141955801</v>
      </c>
      <c r="AD56" s="15">
        <v>10.7296137339056</v>
      </c>
      <c r="AE56" s="15">
        <v>11.0032362459547</v>
      </c>
      <c r="AF56" s="15">
        <v>12.383488681757701</v>
      </c>
      <c r="AG56" s="15">
        <v>21.172638436482099</v>
      </c>
      <c r="AH56" s="15">
        <v>14.234875444839901</v>
      </c>
      <c r="AI56" s="26" t="s">
        <v>80</v>
      </c>
      <c r="AJ56" s="38"/>
    </row>
    <row r="57" spans="1:36">
      <c r="A57" s="9" t="s">
        <v>206</v>
      </c>
      <c r="B57" s="36">
        <v>8.3599539746611295</v>
      </c>
      <c r="C57" s="32">
        <v>8.0858186791219904</v>
      </c>
      <c r="D57" s="32">
        <v>8.4541103188961504</v>
      </c>
      <c r="E57" s="32">
        <v>9.79737876136012</v>
      </c>
      <c r="F57" s="20" t="s">
        <v>80</v>
      </c>
      <c r="G57" s="15">
        <v>8.4745762711864394</v>
      </c>
      <c r="H57" s="15">
        <v>8.4337349397590398</v>
      </c>
      <c r="I57" s="20" t="s">
        <v>80</v>
      </c>
      <c r="J57" s="15">
        <v>10.714285714285699</v>
      </c>
      <c r="K57" s="15">
        <v>16.6666666666667</v>
      </c>
      <c r="L57" s="15">
        <v>10.6796116504854</v>
      </c>
      <c r="M57" s="15">
        <v>8.6419753086419693</v>
      </c>
      <c r="N57" s="15">
        <v>8.4745762711864394</v>
      </c>
      <c r="O57" s="15">
        <v>12.280701754386</v>
      </c>
      <c r="P57" s="15">
        <v>13.4146341463415</v>
      </c>
      <c r="Q57" s="15">
        <v>4.9079754601227004</v>
      </c>
      <c r="R57" s="15">
        <v>9.0909090909090899</v>
      </c>
      <c r="S57" s="15">
        <v>13.5135135135135</v>
      </c>
      <c r="T57" s="15">
        <v>11.1111111111111</v>
      </c>
      <c r="U57" s="15">
        <v>7.3770491803278704</v>
      </c>
      <c r="V57" s="20" t="s">
        <v>80</v>
      </c>
      <c r="W57" s="15">
        <v>7.9545454545454497</v>
      </c>
      <c r="X57" s="15">
        <v>13.586956521739101</v>
      </c>
      <c r="Y57" s="15">
        <v>18.709677419354801</v>
      </c>
      <c r="Z57" s="15">
        <v>8.7719298245614006</v>
      </c>
      <c r="AA57" s="32">
        <v>7.3373116550155704</v>
      </c>
      <c r="AB57" s="15">
        <v>7.0967741935483897</v>
      </c>
      <c r="AC57" s="15">
        <v>4.7318611987381702</v>
      </c>
      <c r="AD57" s="15">
        <v>7.2961373390557904</v>
      </c>
      <c r="AE57" s="15">
        <v>11.6504854368932</v>
      </c>
      <c r="AF57" s="15">
        <v>9.7203728362183792</v>
      </c>
      <c r="AG57" s="15">
        <v>13.029315960912101</v>
      </c>
      <c r="AH57" s="15">
        <v>6.04982206405694</v>
      </c>
      <c r="AI57" s="26" t="s">
        <v>80</v>
      </c>
      <c r="AJ57" s="38"/>
    </row>
    <row r="58" spans="1:36">
      <c r="A58" s="9" t="s">
        <v>207</v>
      </c>
      <c r="B58" s="36">
        <v>21.319007625702099</v>
      </c>
      <c r="C58" s="32">
        <v>21.6085134141785</v>
      </c>
      <c r="D58" s="32">
        <v>20.2532114317017</v>
      </c>
      <c r="E58" s="32">
        <v>15.781168802855101</v>
      </c>
      <c r="F58" s="15">
        <v>9.8360655737704903</v>
      </c>
      <c r="G58" s="15">
        <v>11.864406779661</v>
      </c>
      <c r="H58" s="15">
        <v>15.662650602409601</v>
      </c>
      <c r="I58" s="15">
        <v>11.1111111111111</v>
      </c>
      <c r="J58" s="15">
        <v>10.714285714285699</v>
      </c>
      <c r="K58" s="15">
        <v>16.6666666666667</v>
      </c>
      <c r="L58" s="15">
        <v>18.446601941747598</v>
      </c>
      <c r="M58" s="15">
        <v>16.049382716049401</v>
      </c>
      <c r="N58" s="20" t="s">
        <v>80</v>
      </c>
      <c r="O58" s="15">
        <v>14.0350877192982</v>
      </c>
      <c r="P58" s="15">
        <v>23.170731707317099</v>
      </c>
      <c r="Q58" s="15">
        <v>12.269938650306701</v>
      </c>
      <c r="R58" s="15">
        <v>22.727272727272702</v>
      </c>
      <c r="S58" s="15">
        <v>9.4594594594594597</v>
      </c>
      <c r="T58" s="15">
        <v>19.4444444444444</v>
      </c>
      <c r="U58" s="15">
        <v>13.934426229508199</v>
      </c>
      <c r="V58" s="15">
        <v>22.972972972973</v>
      </c>
      <c r="W58" s="15">
        <v>7.9545454545454497</v>
      </c>
      <c r="X58" s="15">
        <v>25</v>
      </c>
      <c r="Y58" s="15">
        <v>25.806451612903199</v>
      </c>
      <c r="Z58" s="15">
        <v>16.6666666666667</v>
      </c>
      <c r="AA58" s="32">
        <v>23.971285254348501</v>
      </c>
      <c r="AB58" s="15">
        <v>14.193548387096801</v>
      </c>
      <c r="AC58" s="15">
        <v>29.337539432176701</v>
      </c>
      <c r="AD58" s="15">
        <v>19.742489270386301</v>
      </c>
      <c r="AE58" s="15">
        <v>24.271844660194201</v>
      </c>
      <c r="AF58" s="15">
        <v>19.707057256990701</v>
      </c>
      <c r="AG58" s="15">
        <v>24.755700325732899</v>
      </c>
      <c r="AH58" s="15">
        <v>23.131672597864799</v>
      </c>
      <c r="AI58" s="26" t="s">
        <v>80</v>
      </c>
      <c r="AJ58" s="38"/>
    </row>
    <row r="59" spans="1:36">
      <c r="A59" s="9" t="s">
        <v>208</v>
      </c>
      <c r="B59" s="36">
        <v>0.91962243689408996</v>
      </c>
      <c r="C59" s="32">
        <v>0.79352090864034797</v>
      </c>
      <c r="D59" s="32">
        <v>0.71869643695372598</v>
      </c>
      <c r="E59" s="34" t="s">
        <v>80</v>
      </c>
      <c r="F59" s="20" t="s">
        <v>80</v>
      </c>
      <c r="G59" s="20" t="s">
        <v>80</v>
      </c>
      <c r="H59" s="20" t="s">
        <v>80</v>
      </c>
      <c r="I59" s="20" t="s">
        <v>80</v>
      </c>
      <c r="J59" s="20" t="s">
        <v>80</v>
      </c>
      <c r="K59" s="20" t="s">
        <v>80</v>
      </c>
      <c r="L59" s="20" t="s">
        <v>80</v>
      </c>
      <c r="M59" s="20" t="s">
        <v>80</v>
      </c>
      <c r="N59" s="20" t="s">
        <v>80</v>
      </c>
      <c r="O59" s="20" t="s">
        <v>80</v>
      </c>
      <c r="P59" s="20" t="s">
        <v>80</v>
      </c>
      <c r="Q59" s="20" t="s">
        <v>80</v>
      </c>
      <c r="R59" s="20" t="s">
        <v>80</v>
      </c>
      <c r="S59" s="20" t="s">
        <v>80</v>
      </c>
      <c r="T59" s="20" t="s">
        <v>80</v>
      </c>
      <c r="U59" s="20" t="s">
        <v>80</v>
      </c>
      <c r="V59" s="20" t="s">
        <v>80</v>
      </c>
      <c r="W59" s="20" t="s">
        <v>80</v>
      </c>
      <c r="X59" s="20" t="s">
        <v>80</v>
      </c>
      <c r="Y59" s="20" t="s">
        <v>80</v>
      </c>
      <c r="Z59" s="20" t="s">
        <v>80</v>
      </c>
      <c r="AA59" s="34" t="s">
        <v>80</v>
      </c>
      <c r="AB59" s="20" t="s">
        <v>80</v>
      </c>
      <c r="AC59" s="20" t="s">
        <v>80</v>
      </c>
      <c r="AD59" s="20" t="s">
        <v>80</v>
      </c>
      <c r="AE59" s="20" t="s">
        <v>80</v>
      </c>
      <c r="AF59" s="15">
        <v>1.06524633821571</v>
      </c>
      <c r="AG59" s="20" t="s">
        <v>80</v>
      </c>
      <c r="AH59" s="20" t="s">
        <v>80</v>
      </c>
      <c r="AI59" s="26" t="s">
        <v>80</v>
      </c>
      <c r="AJ59" s="38"/>
    </row>
    <row r="60" spans="1:36">
      <c r="A60" s="9" t="s">
        <v>209</v>
      </c>
      <c r="B60" s="36">
        <v>0.72473827454916795</v>
      </c>
      <c r="C60" s="32">
        <v>0.70640973163565601</v>
      </c>
      <c r="D60" s="32">
        <v>0.75785759304271905</v>
      </c>
      <c r="E60" s="34" t="s">
        <v>80</v>
      </c>
      <c r="F60" s="20" t="s">
        <v>80</v>
      </c>
      <c r="G60" s="20" t="s">
        <v>80</v>
      </c>
      <c r="H60" s="20" t="s">
        <v>80</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20" t="s">
        <v>80</v>
      </c>
      <c r="X60" s="20" t="s">
        <v>80</v>
      </c>
      <c r="Y60" s="20" t="s">
        <v>80</v>
      </c>
      <c r="Z60" s="20" t="s">
        <v>80</v>
      </c>
      <c r="AA60" s="34" t="s">
        <v>80</v>
      </c>
      <c r="AB60" s="20" t="s">
        <v>80</v>
      </c>
      <c r="AC60" s="20" t="s">
        <v>80</v>
      </c>
      <c r="AD60" s="20" t="s">
        <v>80</v>
      </c>
      <c r="AE60" s="20" t="s">
        <v>80</v>
      </c>
      <c r="AF60" s="15">
        <v>1.06524633821571</v>
      </c>
      <c r="AG60" s="20" t="s">
        <v>80</v>
      </c>
      <c r="AH60" s="20" t="s">
        <v>80</v>
      </c>
      <c r="AI60" s="26" t="s">
        <v>80</v>
      </c>
      <c r="AJ60" s="38"/>
    </row>
    <row r="61" spans="1:36">
      <c r="A61" s="9" t="s">
        <v>210</v>
      </c>
      <c r="B61" s="36">
        <v>0.86956875352714702</v>
      </c>
      <c r="C61" s="32">
        <v>0.84480060345720098</v>
      </c>
      <c r="D61" s="32">
        <v>0.85831397714162705</v>
      </c>
      <c r="E61" s="34" t="s">
        <v>80</v>
      </c>
      <c r="F61" s="20" t="s">
        <v>80</v>
      </c>
      <c r="G61" s="20" t="s">
        <v>80</v>
      </c>
      <c r="H61" s="20" t="s">
        <v>80</v>
      </c>
      <c r="I61" s="20" t="s">
        <v>80</v>
      </c>
      <c r="J61" s="20" t="s">
        <v>80</v>
      </c>
      <c r="K61" s="20" t="s">
        <v>80</v>
      </c>
      <c r="L61" s="20" t="s">
        <v>80</v>
      </c>
      <c r="M61" s="20" t="s">
        <v>80</v>
      </c>
      <c r="N61" s="20" t="s">
        <v>80</v>
      </c>
      <c r="O61" s="20" t="s">
        <v>80</v>
      </c>
      <c r="P61" s="20" t="s">
        <v>80</v>
      </c>
      <c r="Q61" s="20" t="s">
        <v>80</v>
      </c>
      <c r="R61" s="20" t="s">
        <v>80</v>
      </c>
      <c r="S61" s="20" t="s">
        <v>80</v>
      </c>
      <c r="T61" s="20" t="s">
        <v>80</v>
      </c>
      <c r="U61" s="20" t="s">
        <v>80</v>
      </c>
      <c r="V61" s="20" t="s">
        <v>80</v>
      </c>
      <c r="W61" s="20" t="s">
        <v>80</v>
      </c>
      <c r="X61" s="20" t="s">
        <v>80</v>
      </c>
      <c r="Y61" s="20" t="s">
        <v>80</v>
      </c>
      <c r="Z61" s="20" t="s">
        <v>80</v>
      </c>
      <c r="AA61" s="34" t="s">
        <v>80</v>
      </c>
      <c r="AB61" s="20" t="s">
        <v>80</v>
      </c>
      <c r="AC61" s="20" t="s">
        <v>80</v>
      </c>
      <c r="AD61" s="20" t="s">
        <v>80</v>
      </c>
      <c r="AE61" s="20" t="s">
        <v>80</v>
      </c>
      <c r="AF61" s="15">
        <v>1.3315579227696399</v>
      </c>
      <c r="AG61" s="20" t="s">
        <v>80</v>
      </c>
      <c r="AH61" s="20" t="s">
        <v>80</v>
      </c>
      <c r="AI61" s="26" t="s">
        <v>80</v>
      </c>
      <c r="AJ61" s="38"/>
    </row>
    <row r="62" spans="1:36">
      <c r="A62" s="9" t="s">
        <v>211</v>
      </c>
      <c r="B62" s="36">
        <v>2.1777165099011602</v>
      </c>
      <c r="C62" s="32">
        <v>2.1938126156864</v>
      </c>
      <c r="D62" s="32">
        <v>2.3950988681138701</v>
      </c>
      <c r="E62" s="32">
        <v>2.8506718362908399</v>
      </c>
      <c r="F62" s="15">
        <v>4.0983606557377001</v>
      </c>
      <c r="G62" s="20" t="s">
        <v>80</v>
      </c>
      <c r="H62" s="20" t="s">
        <v>80</v>
      </c>
      <c r="I62" s="20" t="s">
        <v>80</v>
      </c>
      <c r="J62" s="20" t="s">
        <v>80</v>
      </c>
      <c r="K62" s="20" t="s">
        <v>80</v>
      </c>
      <c r="L62" s="20" t="s">
        <v>80</v>
      </c>
      <c r="M62" s="20" t="s">
        <v>80</v>
      </c>
      <c r="N62" s="15">
        <v>8.4745762711864394</v>
      </c>
      <c r="O62" s="20" t="s">
        <v>80</v>
      </c>
      <c r="P62" s="20" t="s">
        <v>80</v>
      </c>
      <c r="Q62" s="15">
        <v>4.2944785276073603</v>
      </c>
      <c r="R62" s="20" t="s">
        <v>80</v>
      </c>
      <c r="S62" s="20" t="s">
        <v>80</v>
      </c>
      <c r="T62" s="15">
        <v>6.9444444444444402</v>
      </c>
      <c r="U62" s="20" t="s">
        <v>80</v>
      </c>
      <c r="V62" s="20" t="s">
        <v>80</v>
      </c>
      <c r="W62" s="20" t="s">
        <v>80</v>
      </c>
      <c r="X62" s="15">
        <v>3.2608695652173898</v>
      </c>
      <c r="Y62" s="15">
        <v>3.2258064516128999</v>
      </c>
      <c r="Z62" s="20" t="s">
        <v>80</v>
      </c>
      <c r="AA62" s="32">
        <v>2.0163337113691102</v>
      </c>
      <c r="AB62" s="20" t="s">
        <v>80</v>
      </c>
      <c r="AC62" s="15">
        <v>5.3627760252365899</v>
      </c>
      <c r="AD62" s="20" t="s">
        <v>80</v>
      </c>
      <c r="AE62" s="20" t="s">
        <v>80</v>
      </c>
      <c r="AF62" s="15">
        <v>1.59786950732357</v>
      </c>
      <c r="AG62" s="15">
        <v>2.2801302931596101</v>
      </c>
      <c r="AH62" s="15">
        <v>2.4911032028469799</v>
      </c>
      <c r="AI62" s="26" t="s">
        <v>80</v>
      </c>
      <c r="AJ62" s="38"/>
    </row>
    <row r="63" spans="1:36">
      <c r="A63" s="9" t="s">
        <v>212</v>
      </c>
      <c r="B63" s="36">
        <v>8.8355592958438702</v>
      </c>
      <c r="C63" s="32">
        <v>8.1052818555327306</v>
      </c>
      <c r="D63" s="32">
        <v>7.8205851042518404</v>
      </c>
      <c r="E63" s="32">
        <v>10.257770791589101</v>
      </c>
      <c r="F63" s="15">
        <v>8.1967213114754092</v>
      </c>
      <c r="G63" s="20" t="s">
        <v>80</v>
      </c>
      <c r="H63" s="15">
        <v>10.8433734939759</v>
      </c>
      <c r="I63" s="15">
        <v>7.7777777777777803</v>
      </c>
      <c r="J63" s="20" t="s">
        <v>80</v>
      </c>
      <c r="K63" s="20" t="s">
        <v>80</v>
      </c>
      <c r="L63" s="15">
        <v>12.621359223301001</v>
      </c>
      <c r="M63" s="15">
        <v>8.6419753086419693</v>
      </c>
      <c r="N63" s="15">
        <v>8.4745762711864394</v>
      </c>
      <c r="O63" s="20" t="s">
        <v>80</v>
      </c>
      <c r="P63" s="15">
        <v>9.7560975609756095</v>
      </c>
      <c r="Q63" s="15">
        <v>14.1104294478528</v>
      </c>
      <c r="R63" s="15">
        <v>12.5</v>
      </c>
      <c r="S63" s="15">
        <v>9.4594594594594597</v>
      </c>
      <c r="T63" s="15">
        <v>13.8888888888889</v>
      </c>
      <c r="U63" s="15">
        <v>13.1147540983607</v>
      </c>
      <c r="V63" s="15">
        <v>8.1081081081081106</v>
      </c>
      <c r="W63" s="15">
        <v>5.6818181818181799</v>
      </c>
      <c r="X63" s="15">
        <v>10.869565217391299</v>
      </c>
      <c r="Y63" s="15">
        <v>13.548387096774199</v>
      </c>
      <c r="Z63" s="15">
        <v>7.8947368421052602</v>
      </c>
      <c r="AA63" s="32">
        <v>5.7942993424465197</v>
      </c>
      <c r="AB63" s="15">
        <v>5.8064516129032304</v>
      </c>
      <c r="AC63" s="15">
        <v>5.6782334384858002</v>
      </c>
      <c r="AD63" s="15">
        <v>8.1545064377682408</v>
      </c>
      <c r="AE63" s="15">
        <v>6.1488673139158596</v>
      </c>
      <c r="AF63" s="15">
        <v>7.1904127829560602</v>
      </c>
      <c r="AG63" s="15">
        <v>8.4690553745928305</v>
      </c>
      <c r="AH63" s="15">
        <v>3.2028469750889701</v>
      </c>
      <c r="AI63" s="26" t="s">
        <v>80</v>
      </c>
      <c r="AJ63" s="38"/>
    </row>
    <row r="64" spans="1:36">
      <c r="A64" s="11" t="s">
        <v>213</v>
      </c>
      <c r="B64" s="37">
        <v>6.3421657944426597</v>
      </c>
      <c r="C64" s="33">
        <v>5.76723808286257</v>
      </c>
      <c r="D64" s="33">
        <v>5.8801325727898499</v>
      </c>
      <c r="E64" s="33">
        <v>8.7028118719725001</v>
      </c>
      <c r="F64" s="16">
        <v>5.7377049180327901</v>
      </c>
      <c r="G64" s="16">
        <v>16.9491525423729</v>
      </c>
      <c r="H64" s="16">
        <v>7.2289156626505999</v>
      </c>
      <c r="I64" s="16">
        <v>8.8888888888888893</v>
      </c>
      <c r="J64" s="28" t="s">
        <v>80</v>
      </c>
      <c r="K64" s="16">
        <v>16.6666666666667</v>
      </c>
      <c r="L64" s="16">
        <v>14.5631067961165</v>
      </c>
      <c r="M64" s="16">
        <v>7.4074074074074101</v>
      </c>
      <c r="N64" s="16">
        <v>8.4745762711864394</v>
      </c>
      <c r="O64" s="16">
        <v>8.7719298245614006</v>
      </c>
      <c r="P64" s="16">
        <v>13.4146341463415</v>
      </c>
      <c r="Q64" s="16">
        <v>10.429447852760701</v>
      </c>
      <c r="R64" s="16">
        <v>6.8181818181818201</v>
      </c>
      <c r="S64" s="16">
        <v>6.7567567567567597</v>
      </c>
      <c r="T64" s="16">
        <v>13.8888888888889</v>
      </c>
      <c r="U64" s="16">
        <v>6.5573770491803298</v>
      </c>
      <c r="V64" s="28" t="s">
        <v>80</v>
      </c>
      <c r="W64" s="28" t="s">
        <v>80</v>
      </c>
      <c r="X64" s="16">
        <v>5.4347826086956497</v>
      </c>
      <c r="Y64" s="16">
        <v>16.7741935483871</v>
      </c>
      <c r="Z64" s="28" t="s">
        <v>80</v>
      </c>
      <c r="AA64" s="33">
        <v>3.5333459065981399</v>
      </c>
      <c r="AB64" s="16">
        <v>3.2258064516128999</v>
      </c>
      <c r="AC64" s="16">
        <v>3.47003154574133</v>
      </c>
      <c r="AD64" s="28" t="s">
        <v>80</v>
      </c>
      <c r="AE64" s="16">
        <v>1.61812297734628</v>
      </c>
      <c r="AF64" s="16">
        <v>7.0572569906790896</v>
      </c>
      <c r="AG64" s="16">
        <v>2.2801302931596101</v>
      </c>
      <c r="AH64" s="16">
        <v>8.5409252669039102</v>
      </c>
      <c r="AI64" s="29" t="s">
        <v>80</v>
      </c>
      <c r="AJ64" s="38"/>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1"/>
  <sheetViews>
    <sheetView zoomScale="70" workbookViewId="0"/>
  </sheetViews>
  <sheetFormatPr defaultColWidth="10.90625" defaultRowHeight="15"/>
  <cols>
    <col min="1" max="1" width="51.6796875" customWidth="1"/>
    <col min="2" max="4" width="15.90625" customWidth="1"/>
  </cols>
  <sheetData>
    <row r="1" spans="1:4" ht="39.9" customHeight="1">
      <c r="A1" s="10" t="s">
        <v>224</v>
      </c>
      <c r="B1" s="12"/>
      <c r="C1" s="12"/>
      <c r="D1" s="12"/>
    </row>
    <row r="2" spans="1:4" ht="45">
      <c r="A2" s="7" t="s">
        <v>2</v>
      </c>
      <c r="B2" s="6" t="s">
        <v>18</v>
      </c>
      <c r="C2" s="6" t="s">
        <v>19</v>
      </c>
      <c r="D2" s="8" t="s">
        <v>20</v>
      </c>
    </row>
    <row r="3" spans="1:4">
      <c r="A3" s="9" t="s">
        <v>152</v>
      </c>
      <c r="B3" s="15">
        <v>27.056929946654002</v>
      </c>
      <c r="C3" s="15">
        <v>28.193574068258702</v>
      </c>
      <c r="D3" s="24">
        <v>28.057155290335999</v>
      </c>
    </row>
    <row r="4" spans="1:4">
      <c r="A4" s="9" t="s">
        <v>153</v>
      </c>
      <c r="B4" s="15">
        <v>25.386993657984199</v>
      </c>
      <c r="C4" s="15">
        <v>27.6559652762841</v>
      </c>
      <c r="D4" s="24">
        <v>28.628269645391399</v>
      </c>
    </row>
    <row r="5" spans="1:4">
      <c r="A5" s="9" t="s">
        <v>154</v>
      </c>
      <c r="B5" s="15">
        <v>29.349808047507999</v>
      </c>
      <c r="C5" s="15">
        <v>31.739504092457</v>
      </c>
      <c r="D5" s="24">
        <v>36.347943094535403</v>
      </c>
    </row>
    <row r="6" spans="1:4">
      <c r="A6" s="9" t="s">
        <v>155</v>
      </c>
      <c r="B6" s="15">
        <v>51.889680881634099</v>
      </c>
      <c r="C6" s="15">
        <v>53.369364422069403</v>
      </c>
      <c r="D6" s="24">
        <v>57.565588824073501</v>
      </c>
    </row>
    <row r="7" spans="1:4">
      <c r="A7" s="9" t="s">
        <v>156</v>
      </c>
      <c r="B7" s="15">
        <v>27.59821250884</v>
      </c>
      <c r="C7" s="15">
        <v>28.799771107730599</v>
      </c>
      <c r="D7" s="24">
        <v>30.139578135294698</v>
      </c>
    </row>
    <row r="8" spans="1:4">
      <c r="A8" s="9" t="s">
        <v>157</v>
      </c>
      <c r="B8" s="15">
        <v>6.7444458998973102</v>
      </c>
      <c r="C8" s="15">
        <v>4.15057941927365</v>
      </c>
      <c r="D8" s="26" t="s">
        <v>80</v>
      </c>
    </row>
    <row r="9" spans="1:4">
      <c r="A9" s="9" t="s">
        <v>158</v>
      </c>
      <c r="B9" s="15">
        <v>19.715618735041001</v>
      </c>
      <c r="C9" s="15">
        <v>21.0242877885605</v>
      </c>
      <c r="D9" s="24">
        <v>20.9635554443982</v>
      </c>
    </row>
    <row r="10" spans="1:4">
      <c r="A10" s="9" t="s">
        <v>159</v>
      </c>
      <c r="B10" s="15">
        <v>25.656217669345899</v>
      </c>
      <c r="C10" s="15">
        <v>26.772368092507101</v>
      </c>
      <c r="D10" s="24">
        <v>27.2277658967805</v>
      </c>
    </row>
    <row r="11" spans="1:4">
      <c r="A11" s="9" t="s">
        <v>160</v>
      </c>
      <c r="B11" s="15">
        <v>21.3966841857426</v>
      </c>
      <c r="C11" s="15">
        <v>21.064612318555799</v>
      </c>
      <c r="D11" s="24">
        <v>18.751075435243401</v>
      </c>
    </row>
    <row r="12" spans="1:4">
      <c r="A12" s="9" t="s">
        <v>161</v>
      </c>
      <c r="B12" s="15">
        <v>11.745171955928701</v>
      </c>
      <c r="C12" s="15">
        <v>10.7559583521147</v>
      </c>
      <c r="D12" s="24">
        <v>11.0921941485242</v>
      </c>
    </row>
    <row r="13" spans="1:4">
      <c r="A13" s="9" t="s">
        <v>162</v>
      </c>
      <c r="B13" s="15">
        <v>8.3928775978513599</v>
      </c>
      <c r="C13" s="15">
        <v>7.4005216088877397</v>
      </c>
      <c r="D13" s="26" t="s">
        <v>80</v>
      </c>
    </row>
    <row r="14" spans="1:4">
      <c r="A14" s="9" t="s">
        <v>163</v>
      </c>
      <c r="B14" s="15">
        <v>32.209450681087802</v>
      </c>
      <c r="C14" s="15">
        <v>33.598914106183102</v>
      </c>
      <c r="D14" s="24">
        <v>36.190206091573103</v>
      </c>
    </row>
    <row r="15" spans="1:4">
      <c r="A15" s="9" t="s">
        <v>164</v>
      </c>
      <c r="B15" s="15">
        <v>33.060833578443699</v>
      </c>
      <c r="C15" s="15">
        <v>37.306736102665504</v>
      </c>
      <c r="D15" s="24">
        <v>38.476304687718603</v>
      </c>
    </row>
    <row r="16" spans="1:4">
      <c r="A16" s="9" t="s">
        <v>165</v>
      </c>
      <c r="B16" s="15">
        <v>4.7875002756359901</v>
      </c>
      <c r="C16" s="15">
        <v>5.3504366810388504</v>
      </c>
      <c r="D16" s="26" t="s">
        <v>80</v>
      </c>
    </row>
    <row r="17" spans="1:4">
      <c r="A17" s="9" t="s">
        <v>166</v>
      </c>
      <c r="B17" s="15">
        <v>54.213227440376599</v>
      </c>
      <c r="C17" s="15">
        <v>58.581400985369399</v>
      </c>
      <c r="D17" s="24">
        <v>51.644549478618103</v>
      </c>
    </row>
    <row r="18" spans="1:4">
      <c r="A18" s="9" t="s">
        <v>167</v>
      </c>
      <c r="B18" s="15">
        <v>39.632204658143799</v>
      </c>
      <c r="C18" s="15">
        <v>36.9776087902451</v>
      </c>
      <c r="D18" s="24">
        <v>37.338237622547403</v>
      </c>
    </row>
    <row r="19" spans="1:4">
      <c r="A19" s="9" t="s">
        <v>168</v>
      </c>
      <c r="B19" s="15">
        <v>42.981667165700003</v>
      </c>
      <c r="C19" s="15">
        <v>47.164779702786198</v>
      </c>
      <c r="D19" s="24">
        <v>52.772276329728101</v>
      </c>
    </row>
    <row r="20" spans="1:4">
      <c r="A20" s="9" t="s">
        <v>169</v>
      </c>
      <c r="B20" s="15">
        <v>7.3888267727183798</v>
      </c>
      <c r="C20" s="15">
        <v>8.4851073514373301</v>
      </c>
      <c r="D20" s="26" t="s">
        <v>80</v>
      </c>
    </row>
    <row r="21" spans="1:4">
      <c r="A21" s="9" t="s">
        <v>170</v>
      </c>
      <c r="B21" s="15">
        <v>13.4744345354519</v>
      </c>
      <c r="C21" s="15">
        <v>13.691167678351</v>
      </c>
      <c r="D21" s="24">
        <v>13.5732663266503</v>
      </c>
    </row>
    <row r="22" spans="1:4">
      <c r="A22" s="9" t="s">
        <v>171</v>
      </c>
      <c r="B22" s="15">
        <v>19.7644210140705</v>
      </c>
      <c r="C22" s="15">
        <v>23.681980568214801</v>
      </c>
      <c r="D22" s="24">
        <v>21.5854343097193</v>
      </c>
    </row>
    <row r="23" spans="1:4">
      <c r="A23" s="9" t="s">
        <v>172</v>
      </c>
      <c r="B23" s="15">
        <v>26.7756628234727</v>
      </c>
      <c r="C23" s="15">
        <v>24.393823830449399</v>
      </c>
      <c r="D23" s="24">
        <v>28.946387464217899</v>
      </c>
    </row>
    <row r="24" spans="1:4">
      <c r="A24" s="9" t="s">
        <v>173</v>
      </c>
      <c r="B24" s="15">
        <v>62.5117223910432</v>
      </c>
      <c r="C24" s="15">
        <v>65.6990065562875</v>
      </c>
      <c r="D24" s="24">
        <v>68.988355012518994</v>
      </c>
    </row>
    <row r="25" spans="1:4">
      <c r="A25" s="9" t="s">
        <v>174</v>
      </c>
      <c r="B25" s="15">
        <v>5.3777523036504196</v>
      </c>
      <c r="C25" s="15">
        <v>5.4326035615947799</v>
      </c>
      <c r="D25" s="26" t="s">
        <v>80</v>
      </c>
    </row>
    <row r="26" spans="1:4">
      <c r="A26" s="9" t="s">
        <v>175</v>
      </c>
      <c r="B26" s="15">
        <v>33.3312295847469</v>
      </c>
      <c r="C26" s="15">
        <v>33.360888520477701</v>
      </c>
      <c r="D26" s="24">
        <v>31.188575781178098</v>
      </c>
    </row>
    <row r="27" spans="1:4">
      <c r="A27" s="9" t="s">
        <v>176</v>
      </c>
      <c r="B27" s="15">
        <v>19.374697958865401</v>
      </c>
      <c r="C27" s="15">
        <v>19.300424499900998</v>
      </c>
      <c r="D27" s="24">
        <v>20.7991501443774</v>
      </c>
    </row>
    <row r="28" spans="1:4">
      <c r="A28" s="9" t="s">
        <v>177</v>
      </c>
      <c r="B28" s="15">
        <v>20.0745806758618</v>
      </c>
      <c r="C28" s="15">
        <v>17.296488152573499</v>
      </c>
      <c r="D28" s="24">
        <v>16.520968934977201</v>
      </c>
    </row>
    <row r="29" spans="1:4">
      <c r="A29" s="9" t="s">
        <v>178</v>
      </c>
      <c r="B29" s="15">
        <v>6.1048188436039101</v>
      </c>
      <c r="C29" s="15">
        <v>6.1455246182611001</v>
      </c>
      <c r="D29" s="26" t="s">
        <v>80</v>
      </c>
    </row>
    <row r="30" spans="1:4">
      <c r="A30" s="9" t="s">
        <v>179</v>
      </c>
      <c r="B30" s="15">
        <v>9.1090445037246894</v>
      </c>
      <c r="C30" s="15">
        <v>9.64154376568308</v>
      </c>
      <c r="D30" s="26" t="s">
        <v>80</v>
      </c>
    </row>
    <row r="31" spans="1:4">
      <c r="A31" s="9" t="s">
        <v>180</v>
      </c>
      <c r="B31" s="15">
        <v>17.690985170874502</v>
      </c>
      <c r="C31" s="15">
        <v>17.424452423199899</v>
      </c>
      <c r="D31" s="24">
        <v>20.705889406258201</v>
      </c>
    </row>
    <row r="32" spans="1:4">
      <c r="A32" s="9" t="s">
        <v>181</v>
      </c>
      <c r="B32" s="15">
        <v>3.4749720715682701</v>
      </c>
      <c r="C32" s="15">
        <v>4.1459961498386297</v>
      </c>
      <c r="D32" s="26" t="s">
        <v>80</v>
      </c>
    </row>
    <row r="33" spans="1:4">
      <c r="A33" s="9" t="s">
        <v>182</v>
      </c>
      <c r="B33" s="15">
        <v>12.825020267555701</v>
      </c>
      <c r="C33" s="15">
        <v>14.224389595021</v>
      </c>
      <c r="D33" s="24">
        <v>14.5191044854993</v>
      </c>
    </row>
    <row r="34" spans="1:4">
      <c r="A34" s="9" t="s">
        <v>183</v>
      </c>
      <c r="B34" s="15">
        <v>23.5948311321559</v>
      </c>
      <c r="C34" s="15">
        <v>27.1839833446145</v>
      </c>
      <c r="D34" s="24">
        <v>26.084666979069301</v>
      </c>
    </row>
    <row r="35" spans="1:4">
      <c r="A35" s="9" t="s">
        <v>184</v>
      </c>
      <c r="B35" s="15">
        <v>25.032570596332601</v>
      </c>
      <c r="C35" s="15">
        <v>27.8483097246733</v>
      </c>
      <c r="D35" s="24">
        <v>27.210730364861</v>
      </c>
    </row>
    <row r="36" spans="1:4">
      <c r="A36" s="9" t="s">
        <v>185</v>
      </c>
      <c r="B36" s="15">
        <v>24.217451207645802</v>
      </c>
      <c r="C36" s="15">
        <v>28.691875620378202</v>
      </c>
      <c r="D36" s="24">
        <v>33.789787171164903</v>
      </c>
    </row>
    <row r="37" spans="1:4">
      <c r="A37" s="9" t="s">
        <v>186</v>
      </c>
      <c r="B37" s="15">
        <v>18.481740793325901</v>
      </c>
      <c r="C37" s="15">
        <v>22.105859987661901</v>
      </c>
      <c r="D37" s="24">
        <v>19.8049239468758</v>
      </c>
    </row>
    <row r="38" spans="1:4">
      <c r="A38" s="9" t="s">
        <v>187</v>
      </c>
      <c r="B38" s="15">
        <v>29.055897654110399</v>
      </c>
      <c r="C38" s="15">
        <v>30.800752075941499</v>
      </c>
      <c r="D38" s="24">
        <v>31.035861280332899</v>
      </c>
    </row>
    <row r="39" spans="1:4">
      <c r="A39" s="9" t="s">
        <v>188</v>
      </c>
      <c r="B39" s="15">
        <v>41.916771746155597</v>
      </c>
      <c r="C39" s="15">
        <v>46.34106516992</v>
      </c>
      <c r="D39" s="24">
        <v>43.906866661018299</v>
      </c>
    </row>
    <row r="40" spans="1:4">
      <c r="A40" s="9" t="s">
        <v>189</v>
      </c>
      <c r="B40" s="15">
        <v>14.9935402615973</v>
      </c>
      <c r="C40" s="15">
        <v>14.244372390684299</v>
      </c>
      <c r="D40" s="24">
        <v>14.4686862874736</v>
      </c>
    </row>
    <row r="41" spans="1:4">
      <c r="A41" s="9" t="s">
        <v>190</v>
      </c>
      <c r="B41" s="15">
        <v>33.705052277973301</v>
      </c>
      <c r="C41" s="15">
        <v>37.940074883376198</v>
      </c>
      <c r="D41" s="24">
        <v>39.867256375327599</v>
      </c>
    </row>
    <row r="42" spans="1:4">
      <c r="A42" s="9" t="s">
        <v>191</v>
      </c>
      <c r="B42" s="15">
        <v>10.5843200223712</v>
      </c>
      <c r="C42" s="15">
        <v>10.2487465419646</v>
      </c>
      <c r="D42" s="26" t="s">
        <v>80</v>
      </c>
    </row>
    <row r="43" spans="1:4">
      <c r="A43" s="9" t="s">
        <v>192</v>
      </c>
      <c r="B43" s="15">
        <v>37.692583985749501</v>
      </c>
      <c r="C43" s="15">
        <v>43.9207309877131</v>
      </c>
      <c r="D43" s="24">
        <v>42.001840132160197</v>
      </c>
    </row>
    <row r="44" spans="1:4">
      <c r="A44" s="9" t="s">
        <v>193</v>
      </c>
      <c r="B44" s="15">
        <v>66.899228739536298</v>
      </c>
      <c r="C44" s="15">
        <v>71.3242173029452</v>
      </c>
      <c r="D44" s="24">
        <v>71.345122893317395</v>
      </c>
    </row>
    <row r="45" spans="1:4">
      <c r="A45" s="9" t="s">
        <v>194</v>
      </c>
      <c r="B45" s="15">
        <v>9.2914925888997892</v>
      </c>
      <c r="C45" s="15">
        <v>9.2837086700826106</v>
      </c>
      <c r="D45" s="26" t="s">
        <v>80</v>
      </c>
    </row>
    <row r="46" spans="1:4">
      <c r="A46" s="9" t="s">
        <v>195</v>
      </c>
      <c r="B46" s="15">
        <v>23.488050283756699</v>
      </c>
      <c r="C46" s="15">
        <v>25.290311922895999</v>
      </c>
      <c r="D46" s="24">
        <v>28.2753822463694</v>
      </c>
    </row>
    <row r="47" spans="1:4">
      <c r="A47" s="9" t="s">
        <v>196</v>
      </c>
      <c r="B47" s="15">
        <v>10.284838580417301</v>
      </c>
      <c r="C47" s="15">
        <v>10.115752463839399</v>
      </c>
      <c r="D47" s="26" t="s">
        <v>80</v>
      </c>
    </row>
    <row r="48" spans="1:4">
      <c r="A48" s="9" t="s">
        <v>197</v>
      </c>
      <c r="B48" s="15">
        <v>11.943728709607001</v>
      </c>
      <c r="C48" s="15">
        <v>11.0012130588076</v>
      </c>
      <c r="D48" s="24">
        <v>12.198106429319401</v>
      </c>
    </row>
    <row r="49" spans="1:4">
      <c r="A49" s="9" t="s">
        <v>198</v>
      </c>
      <c r="B49" s="15">
        <v>14.8823283996048</v>
      </c>
      <c r="C49" s="15">
        <v>20.068120603326498</v>
      </c>
      <c r="D49" s="24">
        <v>21.426244646613</v>
      </c>
    </row>
    <row r="50" spans="1:4">
      <c r="A50" s="9" t="s">
        <v>199</v>
      </c>
      <c r="B50" s="15">
        <v>61.950155751479997</v>
      </c>
      <c r="C50" s="15">
        <v>62.5090407757273</v>
      </c>
      <c r="D50" s="24">
        <v>62.731685599676801</v>
      </c>
    </row>
    <row r="51" spans="1:4">
      <c r="A51" s="9" t="s">
        <v>200</v>
      </c>
      <c r="B51" s="15">
        <v>37.1566301700135</v>
      </c>
      <c r="C51" s="15">
        <v>39.697520488979599</v>
      </c>
      <c r="D51" s="24">
        <v>45.332858283493799</v>
      </c>
    </row>
    <row r="52" spans="1:4">
      <c r="A52" s="9" t="s">
        <v>201</v>
      </c>
      <c r="B52" s="15">
        <v>19.362555273227901</v>
      </c>
      <c r="C52" s="15">
        <v>24.666924733824601</v>
      </c>
      <c r="D52" s="24">
        <v>24.248480581738399</v>
      </c>
    </row>
    <row r="53" spans="1:4">
      <c r="A53" s="9" t="s">
        <v>202</v>
      </c>
      <c r="B53" s="15">
        <v>34.885010281914397</v>
      </c>
      <c r="C53" s="15">
        <v>36.803359105610397</v>
      </c>
      <c r="D53" s="24">
        <v>35.077327350868998</v>
      </c>
    </row>
    <row r="54" spans="1:4">
      <c r="A54" s="9" t="s">
        <v>203</v>
      </c>
      <c r="B54" s="15">
        <v>42.7523964115707</v>
      </c>
      <c r="C54" s="15">
        <v>42.158709140585003</v>
      </c>
      <c r="D54" s="24">
        <v>43.871677664347303</v>
      </c>
    </row>
    <row r="55" spans="1:4">
      <c r="A55" s="9" t="s">
        <v>204</v>
      </c>
      <c r="B55" s="15">
        <v>7.8051678914053202</v>
      </c>
      <c r="C55" s="15">
        <v>8.0783592777772704</v>
      </c>
      <c r="D55" s="24">
        <v>9.8243484821903806</v>
      </c>
    </row>
    <row r="56" spans="1:4">
      <c r="A56" s="9" t="s">
        <v>205</v>
      </c>
      <c r="B56" s="15">
        <v>16.4798607539228</v>
      </c>
      <c r="C56" s="15">
        <v>18.7318305208792</v>
      </c>
      <c r="D56" s="24">
        <v>24.455260897067301</v>
      </c>
    </row>
    <row r="57" spans="1:4">
      <c r="A57" s="9" t="s">
        <v>206</v>
      </c>
      <c r="B57" s="15">
        <v>14.0910725341723</v>
      </c>
      <c r="C57" s="15">
        <v>14.0727786538522</v>
      </c>
      <c r="D57" s="24">
        <v>16.608843818579398</v>
      </c>
    </row>
    <row r="58" spans="1:4">
      <c r="A58" s="9" t="s">
        <v>207</v>
      </c>
      <c r="B58" s="15">
        <v>30.835416077812599</v>
      </c>
      <c r="C58" s="15">
        <v>34.505964169147802</v>
      </c>
      <c r="D58" s="24">
        <v>33.660921494031697</v>
      </c>
    </row>
    <row r="59" spans="1:4">
      <c r="A59" s="9" t="s">
        <v>208</v>
      </c>
      <c r="B59" s="15">
        <v>5.5459997402744703</v>
      </c>
      <c r="C59" s="15">
        <v>4.67636608388014</v>
      </c>
      <c r="D59" s="26" t="s">
        <v>80</v>
      </c>
    </row>
    <row r="60" spans="1:4">
      <c r="A60" s="9" t="s">
        <v>209</v>
      </c>
      <c r="B60" s="15">
        <v>4.7141682936723104</v>
      </c>
      <c r="C60" s="15">
        <v>4.65335841177059</v>
      </c>
      <c r="D60" s="26" t="s">
        <v>80</v>
      </c>
    </row>
    <row r="61" spans="1:4">
      <c r="A61" s="9" t="s">
        <v>210</v>
      </c>
      <c r="B61" s="15">
        <v>5.1664520608661801</v>
      </c>
      <c r="C61" s="15">
        <v>5.1232708543595997</v>
      </c>
      <c r="D61" s="26" t="s">
        <v>80</v>
      </c>
    </row>
    <row r="62" spans="1:4">
      <c r="A62" s="9" t="s">
        <v>211</v>
      </c>
      <c r="B62" s="15">
        <v>6.3390205181594101</v>
      </c>
      <c r="C62" s="15">
        <v>7.8051411636765797</v>
      </c>
      <c r="D62" s="26" t="s">
        <v>80</v>
      </c>
    </row>
    <row r="63" spans="1:4">
      <c r="A63" s="9" t="s">
        <v>212</v>
      </c>
      <c r="B63" s="15">
        <v>16.066222937156201</v>
      </c>
      <c r="C63" s="15">
        <v>15.5235288233734</v>
      </c>
      <c r="D63" s="24">
        <v>15.4006846035638</v>
      </c>
    </row>
    <row r="64" spans="1:4">
      <c r="A64" s="11" t="s">
        <v>213</v>
      </c>
      <c r="B64" s="16">
        <v>12.9239069677567</v>
      </c>
      <c r="C64" s="16">
        <v>12.9140279761963</v>
      </c>
      <c r="D64" s="25">
        <v>15.7909884433275</v>
      </c>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zoomScale="70" workbookViewId="0"/>
  </sheetViews>
  <sheetFormatPr defaultColWidth="10.90625" defaultRowHeight="15"/>
  <cols>
    <col min="1" max="1" width="51.6796875" customWidth="1"/>
    <col min="2" max="4" width="15.90625" customWidth="1"/>
  </cols>
  <sheetData>
    <row r="1" spans="1:4" ht="39.9" customHeight="1">
      <c r="A1" s="10" t="s">
        <v>225</v>
      </c>
      <c r="B1" s="12"/>
      <c r="C1" s="12"/>
      <c r="D1" s="12"/>
    </row>
    <row r="2" spans="1:4" ht="45">
      <c r="A2" s="7" t="s">
        <v>2</v>
      </c>
      <c r="B2" s="6" t="s">
        <v>18</v>
      </c>
      <c r="C2" s="6" t="s">
        <v>19</v>
      </c>
      <c r="D2" s="8" t="s">
        <v>20</v>
      </c>
    </row>
    <row r="3" spans="1:4">
      <c r="A3" s="40" t="s">
        <v>226</v>
      </c>
      <c r="B3" s="15"/>
      <c r="C3" s="15"/>
      <c r="D3" s="24"/>
    </row>
    <row r="4" spans="1:4">
      <c r="A4" s="9" t="s">
        <v>227</v>
      </c>
      <c r="B4" s="15">
        <v>3.0726654835390099</v>
      </c>
      <c r="C4" s="15">
        <v>3.1753376077663802</v>
      </c>
      <c r="D4" s="26" t="s">
        <v>80</v>
      </c>
    </row>
    <row r="5" spans="1:4">
      <c r="A5" s="9" t="s">
        <v>228</v>
      </c>
      <c r="B5" s="15">
        <v>2.3520398036315102</v>
      </c>
      <c r="C5" s="20" t="s">
        <v>80</v>
      </c>
      <c r="D5" s="26" t="s">
        <v>80</v>
      </c>
    </row>
    <row r="6" spans="1:4">
      <c r="A6" s="9" t="s">
        <v>229</v>
      </c>
      <c r="B6" s="15">
        <v>2.0830717940939598</v>
      </c>
      <c r="C6" s="20" t="s">
        <v>80</v>
      </c>
      <c r="D6" s="26" t="s">
        <v>80</v>
      </c>
    </row>
    <row r="7" spans="1:4">
      <c r="A7" s="9" t="s">
        <v>230</v>
      </c>
      <c r="B7" s="15">
        <v>4.9875520588788103</v>
      </c>
      <c r="C7" s="15">
        <v>4.6852129187582099</v>
      </c>
      <c r="D7" s="26" t="s">
        <v>80</v>
      </c>
    </row>
    <row r="8" spans="1:4">
      <c r="A8" s="9" t="s">
        <v>231</v>
      </c>
      <c r="B8" s="15">
        <v>51.168416618501702</v>
      </c>
      <c r="C8" s="15">
        <v>52.185386725007497</v>
      </c>
      <c r="D8" s="24">
        <v>49.828812747146301</v>
      </c>
    </row>
    <row r="9" spans="1:4">
      <c r="A9" s="9" t="s">
        <v>232</v>
      </c>
      <c r="B9" s="15">
        <v>10.500622089095501</v>
      </c>
      <c r="C9" s="15">
        <v>9.3243364756163096</v>
      </c>
      <c r="D9" s="26" t="s">
        <v>80</v>
      </c>
    </row>
    <row r="10" spans="1:4">
      <c r="A10" s="9" t="s">
        <v>233</v>
      </c>
      <c r="B10" s="15">
        <v>5.2321415135837501</v>
      </c>
      <c r="C10" s="15">
        <v>6.4045385665487098</v>
      </c>
      <c r="D10" s="26" t="s">
        <v>80</v>
      </c>
    </row>
    <row r="11" spans="1:4">
      <c r="A11" s="9" t="s">
        <v>234</v>
      </c>
      <c r="B11" s="15">
        <v>2.9095558413358802</v>
      </c>
      <c r="C11" s="15">
        <v>2.5567349298813</v>
      </c>
      <c r="D11" s="26" t="s">
        <v>80</v>
      </c>
    </row>
    <row r="12" spans="1:4">
      <c r="A12" s="9" t="s">
        <v>235</v>
      </c>
      <c r="B12" s="15">
        <v>1.9796880964030701</v>
      </c>
      <c r="C12" s="20" t="s">
        <v>80</v>
      </c>
      <c r="D12" s="26" t="s">
        <v>80</v>
      </c>
    </row>
    <row r="13" spans="1:4">
      <c r="A13" s="9" t="s">
        <v>236</v>
      </c>
      <c r="B13" s="15">
        <v>1.4113129705726</v>
      </c>
      <c r="C13" s="20" t="s">
        <v>80</v>
      </c>
      <c r="D13" s="26" t="s">
        <v>80</v>
      </c>
    </row>
    <row r="14" spans="1:4">
      <c r="A14" s="9" t="s">
        <v>237</v>
      </c>
      <c r="B14" s="15">
        <v>1.71848533079045</v>
      </c>
      <c r="C14" s="20" t="s">
        <v>80</v>
      </c>
      <c r="D14" s="26" t="s">
        <v>80</v>
      </c>
    </row>
    <row r="15" spans="1:4">
      <c r="A15" s="9" t="s">
        <v>238</v>
      </c>
      <c r="B15" s="15">
        <v>2.8036844010327902</v>
      </c>
      <c r="C15" s="15">
        <v>3.07818740321391</v>
      </c>
      <c r="D15" s="26" t="s">
        <v>80</v>
      </c>
    </row>
    <row r="16" spans="1:4">
      <c r="A16" s="11" t="s">
        <v>239</v>
      </c>
      <c r="B16" s="16">
        <v>13.9673713467108</v>
      </c>
      <c r="C16" s="16">
        <v>15.6855142447767</v>
      </c>
      <c r="D16" s="25">
        <v>15.791046773065</v>
      </c>
    </row>
    <row r="17" spans="1:1" ht="30" customHeight="1">
      <c r="A17" t="s">
        <v>146</v>
      </c>
    </row>
    <row r="18" spans="1:1">
      <c r="A18" t="s">
        <v>93</v>
      </c>
    </row>
    <row r="19" spans="1:1">
      <c r="A19" t="s">
        <v>94</v>
      </c>
    </row>
    <row r="20" spans="1:1">
      <c r="A20" t="s">
        <v>95</v>
      </c>
    </row>
    <row r="21" spans="1:1">
      <c r="A21" t="s">
        <v>96</v>
      </c>
    </row>
    <row r="22" spans="1:1">
      <c r="A22" t="s">
        <v>97</v>
      </c>
    </row>
    <row r="23" spans="1:1">
      <c r="A2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0"/>
  <sheetViews>
    <sheetView zoomScale="70" workbookViewId="0"/>
  </sheetViews>
  <sheetFormatPr defaultColWidth="10.90625" defaultRowHeight="15"/>
  <cols>
    <col min="1" max="1" width="51.6796875" customWidth="1"/>
    <col min="2" max="9" width="15.90625" customWidth="1"/>
  </cols>
  <sheetData>
    <row r="1" spans="1:9" ht="39.9" customHeight="1">
      <c r="A1" s="10" t="s">
        <v>240</v>
      </c>
      <c r="B1" s="12"/>
      <c r="C1" s="12"/>
      <c r="D1" s="12"/>
      <c r="E1" s="12"/>
      <c r="F1" s="12"/>
      <c r="G1" s="12"/>
      <c r="H1" s="12"/>
      <c r="I1" s="12"/>
    </row>
    <row r="2" spans="1:9" ht="60">
      <c r="A2" s="7" t="s">
        <v>2</v>
      </c>
      <c r="B2" s="6" t="s">
        <v>241</v>
      </c>
      <c r="C2" s="6" t="s">
        <v>231</v>
      </c>
      <c r="D2" s="6" t="s">
        <v>242</v>
      </c>
      <c r="E2" s="6" t="s">
        <v>243</v>
      </c>
      <c r="F2" s="6" t="s">
        <v>236</v>
      </c>
      <c r="G2" s="6" t="s">
        <v>237</v>
      </c>
      <c r="H2" s="6" t="s">
        <v>238</v>
      </c>
      <c r="I2" s="8" t="s">
        <v>244</v>
      </c>
    </row>
    <row r="3" spans="1:9">
      <c r="A3" s="9" t="s">
        <v>152</v>
      </c>
      <c r="B3" s="20" t="s">
        <v>80</v>
      </c>
      <c r="C3" s="15">
        <v>16.6732282010489</v>
      </c>
      <c r="D3" s="20" t="s">
        <v>80</v>
      </c>
      <c r="E3" s="20" t="s">
        <v>80</v>
      </c>
      <c r="F3" s="20" t="s">
        <v>80</v>
      </c>
      <c r="G3" s="20" t="s">
        <v>80</v>
      </c>
      <c r="H3" s="20" t="s">
        <v>80</v>
      </c>
      <c r="I3" s="26" t="s">
        <v>80</v>
      </c>
    </row>
    <row r="4" spans="1:9">
      <c r="A4" s="9" t="s">
        <v>153</v>
      </c>
      <c r="B4" s="20" t="s">
        <v>80</v>
      </c>
      <c r="C4" s="15">
        <v>16.198340893552199</v>
      </c>
      <c r="D4" s="20" t="s">
        <v>80</v>
      </c>
      <c r="E4" s="20" t="s">
        <v>80</v>
      </c>
      <c r="F4" s="20" t="s">
        <v>80</v>
      </c>
      <c r="G4" s="20" t="s">
        <v>80</v>
      </c>
      <c r="H4" s="20" t="s">
        <v>80</v>
      </c>
      <c r="I4" s="26" t="s">
        <v>80</v>
      </c>
    </row>
    <row r="5" spans="1:9">
      <c r="A5" s="9" t="s">
        <v>154</v>
      </c>
      <c r="B5" s="20" t="s">
        <v>80</v>
      </c>
      <c r="C5" s="15">
        <v>21.285262347132399</v>
      </c>
      <c r="D5" s="20" t="s">
        <v>80</v>
      </c>
      <c r="E5" s="20" t="s">
        <v>80</v>
      </c>
      <c r="F5" s="20" t="s">
        <v>80</v>
      </c>
      <c r="G5" s="20" t="s">
        <v>80</v>
      </c>
      <c r="H5" s="20" t="s">
        <v>80</v>
      </c>
      <c r="I5" s="26" t="s">
        <v>80</v>
      </c>
    </row>
    <row r="6" spans="1:9">
      <c r="A6" s="9" t="s">
        <v>155</v>
      </c>
      <c r="B6" s="20" t="s">
        <v>80</v>
      </c>
      <c r="C6" s="15">
        <v>31.042428165079301</v>
      </c>
      <c r="D6" s="20" t="s">
        <v>80</v>
      </c>
      <c r="E6" s="20" t="s">
        <v>80</v>
      </c>
      <c r="F6" s="20" t="s">
        <v>80</v>
      </c>
      <c r="G6" s="20" t="s">
        <v>80</v>
      </c>
      <c r="H6" s="20" t="s">
        <v>80</v>
      </c>
      <c r="I6" s="26" t="s">
        <v>80</v>
      </c>
    </row>
    <row r="7" spans="1:9">
      <c r="A7" s="9" t="s">
        <v>156</v>
      </c>
      <c r="B7" s="20" t="s">
        <v>80</v>
      </c>
      <c r="C7" s="15">
        <v>15.5368795392087</v>
      </c>
      <c r="D7" s="20" t="s">
        <v>80</v>
      </c>
      <c r="E7" s="20" t="s">
        <v>80</v>
      </c>
      <c r="F7" s="20" t="s">
        <v>80</v>
      </c>
      <c r="G7" s="20" t="s">
        <v>80</v>
      </c>
      <c r="H7" s="20" t="s">
        <v>80</v>
      </c>
      <c r="I7" s="26" t="s">
        <v>80</v>
      </c>
    </row>
    <row r="8" spans="1:9">
      <c r="A8" s="9" t="s">
        <v>157</v>
      </c>
      <c r="B8" s="20" t="s">
        <v>80</v>
      </c>
      <c r="C8" s="20" t="s">
        <v>80</v>
      </c>
      <c r="D8" s="20" t="s">
        <v>80</v>
      </c>
      <c r="E8" s="20" t="s">
        <v>80</v>
      </c>
      <c r="F8" s="20" t="s">
        <v>80</v>
      </c>
      <c r="G8" s="20" t="s">
        <v>80</v>
      </c>
      <c r="H8" s="20" t="s">
        <v>80</v>
      </c>
      <c r="I8" s="26" t="s">
        <v>80</v>
      </c>
    </row>
    <row r="9" spans="1:9">
      <c r="A9" s="9" t="s">
        <v>158</v>
      </c>
      <c r="B9" s="20" t="s">
        <v>80</v>
      </c>
      <c r="C9" s="15">
        <v>10.166217454803</v>
      </c>
      <c r="D9" s="20" t="s">
        <v>80</v>
      </c>
      <c r="E9" s="20" t="s">
        <v>80</v>
      </c>
      <c r="F9" s="20" t="s">
        <v>80</v>
      </c>
      <c r="G9" s="20" t="s">
        <v>80</v>
      </c>
      <c r="H9" s="20" t="s">
        <v>80</v>
      </c>
      <c r="I9" s="26" t="s">
        <v>80</v>
      </c>
    </row>
    <row r="10" spans="1:9">
      <c r="A10" s="9" t="s">
        <v>159</v>
      </c>
      <c r="B10" s="20" t="s">
        <v>80</v>
      </c>
      <c r="C10" s="15">
        <v>10.4820651470479</v>
      </c>
      <c r="D10" s="20" t="s">
        <v>80</v>
      </c>
      <c r="E10" s="20" t="s">
        <v>80</v>
      </c>
      <c r="F10" s="20" t="s">
        <v>80</v>
      </c>
      <c r="G10" s="20" t="s">
        <v>80</v>
      </c>
      <c r="H10" s="20" t="s">
        <v>80</v>
      </c>
      <c r="I10" s="26" t="s">
        <v>80</v>
      </c>
    </row>
    <row r="11" spans="1:9">
      <c r="A11" s="9" t="s">
        <v>160</v>
      </c>
      <c r="B11" s="20" t="s">
        <v>80</v>
      </c>
      <c r="C11" s="15">
        <v>10.7010264954382</v>
      </c>
      <c r="D11" s="20" t="s">
        <v>80</v>
      </c>
      <c r="E11" s="20" t="s">
        <v>80</v>
      </c>
      <c r="F11" s="20" t="s">
        <v>80</v>
      </c>
      <c r="G11" s="20" t="s">
        <v>80</v>
      </c>
      <c r="H11" s="20" t="s">
        <v>80</v>
      </c>
      <c r="I11" s="26" t="s">
        <v>80</v>
      </c>
    </row>
    <row r="12" spans="1:9">
      <c r="A12" s="9" t="s">
        <v>161</v>
      </c>
      <c r="B12" s="20" t="s">
        <v>80</v>
      </c>
      <c r="C12" s="20" t="s">
        <v>80</v>
      </c>
      <c r="D12" s="20" t="s">
        <v>80</v>
      </c>
      <c r="E12" s="20" t="s">
        <v>80</v>
      </c>
      <c r="F12" s="20" t="s">
        <v>80</v>
      </c>
      <c r="G12" s="20" t="s">
        <v>80</v>
      </c>
      <c r="H12" s="20" t="s">
        <v>80</v>
      </c>
      <c r="I12" s="26" t="s">
        <v>80</v>
      </c>
    </row>
    <row r="13" spans="1:9">
      <c r="A13" s="9" t="s">
        <v>162</v>
      </c>
      <c r="B13" s="20" t="s">
        <v>80</v>
      </c>
      <c r="C13" s="20" t="s">
        <v>80</v>
      </c>
      <c r="D13" s="20" t="s">
        <v>80</v>
      </c>
      <c r="E13" s="20" t="s">
        <v>80</v>
      </c>
      <c r="F13" s="20" t="s">
        <v>80</v>
      </c>
      <c r="G13" s="20" t="s">
        <v>80</v>
      </c>
      <c r="H13" s="20" t="s">
        <v>80</v>
      </c>
      <c r="I13" s="26" t="s">
        <v>80</v>
      </c>
    </row>
    <row r="14" spans="1:9">
      <c r="A14" s="9" t="s">
        <v>163</v>
      </c>
      <c r="B14" s="20" t="s">
        <v>80</v>
      </c>
      <c r="C14" s="15">
        <v>18.536169094381702</v>
      </c>
      <c r="D14" s="20" t="s">
        <v>80</v>
      </c>
      <c r="E14" s="20" t="s">
        <v>80</v>
      </c>
      <c r="F14" s="20" t="s">
        <v>80</v>
      </c>
      <c r="G14" s="20" t="s">
        <v>80</v>
      </c>
      <c r="H14" s="20" t="s">
        <v>80</v>
      </c>
      <c r="I14" s="26" t="s">
        <v>80</v>
      </c>
    </row>
    <row r="15" spans="1:9">
      <c r="A15" s="9" t="s">
        <v>164</v>
      </c>
      <c r="B15" s="20" t="s">
        <v>80</v>
      </c>
      <c r="C15" s="15">
        <v>20.7499604404683</v>
      </c>
      <c r="D15" s="20" t="s">
        <v>80</v>
      </c>
      <c r="E15" s="20" t="s">
        <v>80</v>
      </c>
      <c r="F15" s="20" t="s">
        <v>80</v>
      </c>
      <c r="G15" s="20" t="s">
        <v>80</v>
      </c>
      <c r="H15" s="20" t="s">
        <v>80</v>
      </c>
      <c r="I15" s="26" t="s">
        <v>80</v>
      </c>
    </row>
    <row r="16" spans="1:9">
      <c r="A16" s="9" t="s">
        <v>165</v>
      </c>
      <c r="B16" s="20" t="s">
        <v>80</v>
      </c>
      <c r="C16" s="20" t="s">
        <v>80</v>
      </c>
      <c r="D16" s="20" t="s">
        <v>80</v>
      </c>
      <c r="E16" s="20" t="s">
        <v>80</v>
      </c>
      <c r="F16" s="20" t="s">
        <v>80</v>
      </c>
      <c r="G16" s="20" t="s">
        <v>80</v>
      </c>
      <c r="H16" s="20" t="s">
        <v>80</v>
      </c>
      <c r="I16" s="26" t="s">
        <v>80</v>
      </c>
    </row>
    <row r="17" spans="1:9">
      <c r="A17" s="9" t="s">
        <v>166</v>
      </c>
      <c r="B17" s="20" t="s">
        <v>80</v>
      </c>
      <c r="C17" s="15">
        <v>28.212378955833898</v>
      </c>
      <c r="D17" s="20" t="s">
        <v>80</v>
      </c>
      <c r="E17" s="20" t="s">
        <v>80</v>
      </c>
      <c r="F17" s="20" t="s">
        <v>80</v>
      </c>
      <c r="G17" s="20" t="s">
        <v>80</v>
      </c>
      <c r="H17" s="20" t="s">
        <v>80</v>
      </c>
      <c r="I17" s="26" t="s">
        <v>80</v>
      </c>
    </row>
    <row r="18" spans="1:9">
      <c r="A18" s="9" t="s">
        <v>167</v>
      </c>
      <c r="B18" s="20" t="s">
        <v>80</v>
      </c>
      <c r="C18" s="15">
        <v>19.674782119201499</v>
      </c>
      <c r="D18" s="20" t="s">
        <v>80</v>
      </c>
      <c r="E18" s="20" t="s">
        <v>80</v>
      </c>
      <c r="F18" s="20" t="s">
        <v>80</v>
      </c>
      <c r="G18" s="20" t="s">
        <v>80</v>
      </c>
      <c r="H18" s="20" t="s">
        <v>80</v>
      </c>
      <c r="I18" s="26" t="s">
        <v>80</v>
      </c>
    </row>
    <row r="19" spans="1:9">
      <c r="A19" s="9" t="s">
        <v>168</v>
      </c>
      <c r="B19" s="20" t="s">
        <v>80</v>
      </c>
      <c r="C19" s="15">
        <v>28.3088675370504</v>
      </c>
      <c r="D19" s="20" t="s">
        <v>80</v>
      </c>
      <c r="E19" s="20" t="s">
        <v>80</v>
      </c>
      <c r="F19" s="20" t="s">
        <v>80</v>
      </c>
      <c r="G19" s="20" t="s">
        <v>80</v>
      </c>
      <c r="H19" s="20" t="s">
        <v>80</v>
      </c>
      <c r="I19" s="26" t="s">
        <v>80</v>
      </c>
    </row>
    <row r="20" spans="1:9">
      <c r="A20" s="9" t="s">
        <v>169</v>
      </c>
      <c r="B20" s="20" t="s">
        <v>80</v>
      </c>
      <c r="C20" s="20" t="s">
        <v>80</v>
      </c>
      <c r="D20" s="20" t="s">
        <v>80</v>
      </c>
      <c r="E20" s="20" t="s">
        <v>80</v>
      </c>
      <c r="F20" s="20" t="s">
        <v>80</v>
      </c>
      <c r="G20" s="20" t="s">
        <v>80</v>
      </c>
      <c r="H20" s="20" t="s">
        <v>80</v>
      </c>
      <c r="I20" s="26" t="s">
        <v>80</v>
      </c>
    </row>
    <row r="21" spans="1:9">
      <c r="A21" s="9" t="s">
        <v>170</v>
      </c>
      <c r="B21" s="20" t="s">
        <v>80</v>
      </c>
      <c r="C21" s="20" t="s">
        <v>80</v>
      </c>
      <c r="D21" s="20" t="s">
        <v>80</v>
      </c>
      <c r="E21" s="20" t="s">
        <v>80</v>
      </c>
      <c r="F21" s="20" t="s">
        <v>80</v>
      </c>
      <c r="G21" s="20" t="s">
        <v>80</v>
      </c>
      <c r="H21" s="20" t="s">
        <v>80</v>
      </c>
      <c r="I21" s="26" t="s">
        <v>80</v>
      </c>
    </row>
    <row r="22" spans="1:9">
      <c r="A22" s="9" t="s">
        <v>171</v>
      </c>
      <c r="B22" s="20" t="s">
        <v>80</v>
      </c>
      <c r="C22" s="20" t="s">
        <v>80</v>
      </c>
      <c r="D22" s="20" t="s">
        <v>80</v>
      </c>
      <c r="E22" s="20" t="s">
        <v>80</v>
      </c>
      <c r="F22" s="20" t="s">
        <v>80</v>
      </c>
      <c r="G22" s="20" t="s">
        <v>80</v>
      </c>
      <c r="H22" s="20" t="s">
        <v>80</v>
      </c>
      <c r="I22" s="26" t="s">
        <v>80</v>
      </c>
    </row>
    <row r="23" spans="1:9">
      <c r="A23" s="9" t="s">
        <v>172</v>
      </c>
      <c r="B23" s="20" t="s">
        <v>80</v>
      </c>
      <c r="C23" s="15">
        <v>16.0614503601759</v>
      </c>
      <c r="D23" s="20" t="s">
        <v>80</v>
      </c>
      <c r="E23" s="20" t="s">
        <v>80</v>
      </c>
      <c r="F23" s="20" t="s">
        <v>80</v>
      </c>
      <c r="G23" s="20" t="s">
        <v>80</v>
      </c>
      <c r="H23" s="20" t="s">
        <v>80</v>
      </c>
      <c r="I23" s="26" t="s">
        <v>80</v>
      </c>
    </row>
    <row r="24" spans="1:9">
      <c r="A24" s="9" t="s">
        <v>173</v>
      </c>
      <c r="B24" s="20" t="s">
        <v>80</v>
      </c>
      <c r="C24" s="15">
        <v>34.782593967473801</v>
      </c>
      <c r="D24" s="20" t="s">
        <v>80</v>
      </c>
      <c r="E24" s="20" t="s">
        <v>80</v>
      </c>
      <c r="F24" s="20" t="s">
        <v>80</v>
      </c>
      <c r="G24" s="20" t="s">
        <v>80</v>
      </c>
      <c r="H24" s="20" t="s">
        <v>80</v>
      </c>
      <c r="I24" s="26" t="s">
        <v>80</v>
      </c>
    </row>
    <row r="25" spans="1:9">
      <c r="A25" s="9" t="s">
        <v>174</v>
      </c>
      <c r="B25" s="20" t="s">
        <v>80</v>
      </c>
      <c r="C25" s="20" t="s">
        <v>80</v>
      </c>
      <c r="D25" s="20" t="s">
        <v>80</v>
      </c>
      <c r="E25" s="20" t="s">
        <v>80</v>
      </c>
      <c r="F25" s="20" t="s">
        <v>80</v>
      </c>
      <c r="G25" s="20" t="s">
        <v>80</v>
      </c>
      <c r="H25" s="20" t="s">
        <v>80</v>
      </c>
      <c r="I25" s="26" t="s">
        <v>80</v>
      </c>
    </row>
    <row r="26" spans="1:9">
      <c r="A26" s="9" t="s">
        <v>175</v>
      </c>
      <c r="B26" s="20" t="s">
        <v>80</v>
      </c>
      <c r="C26" s="15">
        <v>16.6199164077515</v>
      </c>
      <c r="D26" s="20" t="s">
        <v>80</v>
      </c>
      <c r="E26" s="20" t="s">
        <v>80</v>
      </c>
      <c r="F26" s="20" t="s">
        <v>80</v>
      </c>
      <c r="G26" s="20" t="s">
        <v>80</v>
      </c>
      <c r="H26" s="20" t="s">
        <v>80</v>
      </c>
      <c r="I26" s="26" t="s">
        <v>80</v>
      </c>
    </row>
    <row r="27" spans="1:9">
      <c r="A27" s="9" t="s">
        <v>176</v>
      </c>
      <c r="B27" s="20" t="s">
        <v>80</v>
      </c>
      <c r="C27" s="15">
        <v>10.394527245288501</v>
      </c>
      <c r="D27" s="20" t="s">
        <v>80</v>
      </c>
      <c r="E27" s="20" t="s">
        <v>80</v>
      </c>
      <c r="F27" s="20" t="s">
        <v>80</v>
      </c>
      <c r="G27" s="20" t="s">
        <v>80</v>
      </c>
      <c r="H27" s="20" t="s">
        <v>80</v>
      </c>
      <c r="I27" s="26" t="s">
        <v>80</v>
      </c>
    </row>
    <row r="28" spans="1:9">
      <c r="A28" s="9" t="s">
        <v>177</v>
      </c>
      <c r="B28" s="20" t="s">
        <v>80</v>
      </c>
      <c r="C28" s="20" t="s">
        <v>80</v>
      </c>
      <c r="D28" s="20" t="s">
        <v>80</v>
      </c>
      <c r="E28" s="20" t="s">
        <v>80</v>
      </c>
      <c r="F28" s="20" t="s">
        <v>80</v>
      </c>
      <c r="G28" s="20" t="s">
        <v>80</v>
      </c>
      <c r="H28" s="20" t="s">
        <v>80</v>
      </c>
      <c r="I28" s="26" t="s">
        <v>80</v>
      </c>
    </row>
    <row r="29" spans="1:9">
      <c r="A29" s="9" t="s">
        <v>178</v>
      </c>
      <c r="B29" s="20" t="s">
        <v>80</v>
      </c>
      <c r="C29" s="20" t="s">
        <v>80</v>
      </c>
      <c r="D29" s="20" t="s">
        <v>80</v>
      </c>
      <c r="E29" s="20" t="s">
        <v>80</v>
      </c>
      <c r="F29" s="20" t="s">
        <v>80</v>
      </c>
      <c r="G29" s="20" t="s">
        <v>80</v>
      </c>
      <c r="H29" s="20" t="s">
        <v>80</v>
      </c>
      <c r="I29" s="26" t="s">
        <v>80</v>
      </c>
    </row>
    <row r="30" spans="1:9">
      <c r="A30" s="9" t="s">
        <v>179</v>
      </c>
      <c r="B30" s="20" t="s">
        <v>80</v>
      </c>
      <c r="C30" s="20" t="s">
        <v>80</v>
      </c>
      <c r="D30" s="20" t="s">
        <v>80</v>
      </c>
      <c r="E30" s="20" t="s">
        <v>80</v>
      </c>
      <c r="F30" s="20" t="s">
        <v>80</v>
      </c>
      <c r="G30" s="20" t="s">
        <v>80</v>
      </c>
      <c r="H30" s="20" t="s">
        <v>80</v>
      </c>
      <c r="I30" s="26" t="s">
        <v>80</v>
      </c>
    </row>
    <row r="31" spans="1:9">
      <c r="A31" s="9" t="s">
        <v>180</v>
      </c>
      <c r="B31" s="20" t="s">
        <v>80</v>
      </c>
      <c r="C31" s="20" t="s">
        <v>80</v>
      </c>
      <c r="D31" s="20" t="s">
        <v>80</v>
      </c>
      <c r="E31" s="20" t="s">
        <v>80</v>
      </c>
      <c r="F31" s="20" t="s">
        <v>80</v>
      </c>
      <c r="G31" s="20" t="s">
        <v>80</v>
      </c>
      <c r="H31" s="20" t="s">
        <v>80</v>
      </c>
      <c r="I31" s="26" t="s">
        <v>80</v>
      </c>
    </row>
    <row r="32" spans="1:9">
      <c r="A32" s="9" t="s">
        <v>181</v>
      </c>
      <c r="B32" s="20" t="s">
        <v>80</v>
      </c>
      <c r="C32" s="20" t="s">
        <v>80</v>
      </c>
      <c r="D32" s="20" t="s">
        <v>80</v>
      </c>
      <c r="E32" s="20" t="s">
        <v>80</v>
      </c>
      <c r="F32" s="20" t="s">
        <v>80</v>
      </c>
      <c r="G32" s="20" t="s">
        <v>80</v>
      </c>
      <c r="H32" s="20" t="s">
        <v>80</v>
      </c>
      <c r="I32" s="26" t="s">
        <v>80</v>
      </c>
    </row>
    <row r="33" spans="1:9">
      <c r="A33" s="9" t="s">
        <v>182</v>
      </c>
      <c r="B33" s="20" t="s">
        <v>80</v>
      </c>
      <c r="C33" s="20" t="s">
        <v>80</v>
      </c>
      <c r="D33" s="20" t="s">
        <v>80</v>
      </c>
      <c r="E33" s="20" t="s">
        <v>80</v>
      </c>
      <c r="F33" s="20" t="s">
        <v>80</v>
      </c>
      <c r="G33" s="20" t="s">
        <v>80</v>
      </c>
      <c r="H33" s="20" t="s">
        <v>80</v>
      </c>
      <c r="I33" s="26" t="s">
        <v>80</v>
      </c>
    </row>
    <row r="34" spans="1:9">
      <c r="A34" s="9" t="s">
        <v>183</v>
      </c>
      <c r="B34" s="20" t="s">
        <v>80</v>
      </c>
      <c r="C34" s="15">
        <v>14.575620601345401</v>
      </c>
      <c r="D34" s="20" t="s">
        <v>80</v>
      </c>
      <c r="E34" s="20" t="s">
        <v>80</v>
      </c>
      <c r="F34" s="20" t="s">
        <v>80</v>
      </c>
      <c r="G34" s="20" t="s">
        <v>80</v>
      </c>
      <c r="H34" s="20" t="s">
        <v>80</v>
      </c>
      <c r="I34" s="26" t="s">
        <v>80</v>
      </c>
    </row>
    <row r="35" spans="1:9">
      <c r="A35" s="9" t="s">
        <v>184</v>
      </c>
      <c r="B35" s="20" t="s">
        <v>80</v>
      </c>
      <c r="C35" s="15">
        <v>11.8173273230958</v>
      </c>
      <c r="D35" s="20" t="s">
        <v>80</v>
      </c>
      <c r="E35" s="20" t="s">
        <v>80</v>
      </c>
      <c r="F35" s="20" t="s">
        <v>80</v>
      </c>
      <c r="G35" s="20" t="s">
        <v>80</v>
      </c>
      <c r="H35" s="20" t="s">
        <v>80</v>
      </c>
      <c r="I35" s="26" t="s">
        <v>80</v>
      </c>
    </row>
    <row r="36" spans="1:9">
      <c r="A36" s="9" t="s">
        <v>185</v>
      </c>
      <c r="B36" s="20" t="s">
        <v>80</v>
      </c>
      <c r="C36" s="15">
        <v>17.272758356597802</v>
      </c>
      <c r="D36" s="20" t="s">
        <v>80</v>
      </c>
      <c r="E36" s="20" t="s">
        <v>80</v>
      </c>
      <c r="F36" s="20" t="s">
        <v>80</v>
      </c>
      <c r="G36" s="20" t="s">
        <v>80</v>
      </c>
      <c r="H36" s="20" t="s">
        <v>80</v>
      </c>
      <c r="I36" s="26" t="s">
        <v>80</v>
      </c>
    </row>
    <row r="37" spans="1:9">
      <c r="A37" s="9" t="s">
        <v>186</v>
      </c>
      <c r="B37" s="20" t="s">
        <v>80</v>
      </c>
      <c r="C37" s="15">
        <v>9.4741131606728501</v>
      </c>
      <c r="D37" s="20" t="s">
        <v>80</v>
      </c>
      <c r="E37" s="20" t="s">
        <v>80</v>
      </c>
      <c r="F37" s="20" t="s">
        <v>80</v>
      </c>
      <c r="G37" s="20" t="s">
        <v>80</v>
      </c>
      <c r="H37" s="20" t="s">
        <v>80</v>
      </c>
      <c r="I37" s="26" t="s">
        <v>80</v>
      </c>
    </row>
    <row r="38" spans="1:9">
      <c r="A38" s="9" t="s">
        <v>187</v>
      </c>
      <c r="B38" s="20" t="s">
        <v>80</v>
      </c>
      <c r="C38" s="15">
        <v>14.068150256813301</v>
      </c>
      <c r="D38" s="20" t="s">
        <v>80</v>
      </c>
      <c r="E38" s="20" t="s">
        <v>80</v>
      </c>
      <c r="F38" s="20" t="s">
        <v>80</v>
      </c>
      <c r="G38" s="20" t="s">
        <v>80</v>
      </c>
      <c r="H38" s="20" t="s">
        <v>80</v>
      </c>
      <c r="I38" s="26" t="s">
        <v>80</v>
      </c>
    </row>
    <row r="39" spans="1:9">
      <c r="A39" s="9" t="s">
        <v>188</v>
      </c>
      <c r="B39" s="20" t="s">
        <v>80</v>
      </c>
      <c r="C39" s="15">
        <v>22.966207564944401</v>
      </c>
      <c r="D39" s="20" t="s">
        <v>80</v>
      </c>
      <c r="E39" s="20" t="s">
        <v>80</v>
      </c>
      <c r="F39" s="20" t="s">
        <v>80</v>
      </c>
      <c r="G39" s="20" t="s">
        <v>80</v>
      </c>
      <c r="H39" s="20" t="s">
        <v>80</v>
      </c>
      <c r="I39" s="26" t="s">
        <v>80</v>
      </c>
    </row>
    <row r="40" spans="1:9">
      <c r="A40" s="9" t="s">
        <v>189</v>
      </c>
      <c r="B40" s="20" t="s">
        <v>80</v>
      </c>
      <c r="C40" s="20" t="s">
        <v>80</v>
      </c>
      <c r="D40" s="20" t="s">
        <v>80</v>
      </c>
      <c r="E40" s="20" t="s">
        <v>80</v>
      </c>
      <c r="F40" s="20" t="s">
        <v>80</v>
      </c>
      <c r="G40" s="20" t="s">
        <v>80</v>
      </c>
      <c r="H40" s="20" t="s">
        <v>80</v>
      </c>
      <c r="I40" s="26" t="s">
        <v>80</v>
      </c>
    </row>
    <row r="41" spans="1:9">
      <c r="A41" s="9" t="s">
        <v>190</v>
      </c>
      <c r="B41" s="20" t="s">
        <v>80</v>
      </c>
      <c r="C41" s="15">
        <v>23.155497782464</v>
      </c>
      <c r="D41" s="20" t="s">
        <v>80</v>
      </c>
      <c r="E41" s="20" t="s">
        <v>80</v>
      </c>
      <c r="F41" s="20" t="s">
        <v>80</v>
      </c>
      <c r="G41" s="20" t="s">
        <v>80</v>
      </c>
      <c r="H41" s="20" t="s">
        <v>80</v>
      </c>
      <c r="I41" s="26" t="s">
        <v>80</v>
      </c>
    </row>
    <row r="42" spans="1:9">
      <c r="A42" s="9" t="s">
        <v>191</v>
      </c>
      <c r="B42" s="20" t="s">
        <v>80</v>
      </c>
      <c r="C42" s="20" t="s">
        <v>80</v>
      </c>
      <c r="D42" s="20" t="s">
        <v>80</v>
      </c>
      <c r="E42" s="20" t="s">
        <v>80</v>
      </c>
      <c r="F42" s="20" t="s">
        <v>80</v>
      </c>
      <c r="G42" s="20" t="s">
        <v>80</v>
      </c>
      <c r="H42" s="20" t="s">
        <v>80</v>
      </c>
      <c r="I42" s="26" t="s">
        <v>80</v>
      </c>
    </row>
    <row r="43" spans="1:9">
      <c r="A43" s="9" t="s">
        <v>192</v>
      </c>
      <c r="B43" s="20" t="s">
        <v>80</v>
      </c>
      <c r="C43" s="15">
        <v>21.204875480339101</v>
      </c>
      <c r="D43" s="20" t="s">
        <v>80</v>
      </c>
      <c r="E43" s="20" t="s">
        <v>80</v>
      </c>
      <c r="F43" s="20" t="s">
        <v>80</v>
      </c>
      <c r="G43" s="20" t="s">
        <v>80</v>
      </c>
      <c r="H43" s="20" t="s">
        <v>80</v>
      </c>
      <c r="I43" s="26" t="s">
        <v>80</v>
      </c>
    </row>
    <row r="44" spans="1:9">
      <c r="A44" s="9" t="s">
        <v>193</v>
      </c>
      <c r="B44" s="20" t="s">
        <v>80</v>
      </c>
      <c r="C44" s="15">
        <v>38.010615921002199</v>
      </c>
      <c r="D44" s="20" t="s">
        <v>80</v>
      </c>
      <c r="E44" s="20" t="s">
        <v>80</v>
      </c>
      <c r="F44" s="20" t="s">
        <v>80</v>
      </c>
      <c r="G44" s="20" t="s">
        <v>80</v>
      </c>
      <c r="H44" s="20" t="s">
        <v>80</v>
      </c>
      <c r="I44" s="26" t="s">
        <v>80</v>
      </c>
    </row>
    <row r="45" spans="1:9">
      <c r="A45" s="9" t="s">
        <v>194</v>
      </c>
      <c r="B45" s="20" t="s">
        <v>80</v>
      </c>
      <c r="C45" s="20" t="s">
        <v>80</v>
      </c>
      <c r="D45" s="20" t="s">
        <v>80</v>
      </c>
      <c r="E45" s="20" t="s">
        <v>80</v>
      </c>
      <c r="F45" s="20" t="s">
        <v>80</v>
      </c>
      <c r="G45" s="20" t="s">
        <v>80</v>
      </c>
      <c r="H45" s="20" t="s">
        <v>80</v>
      </c>
      <c r="I45" s="26" t="s">
        <v>80</v>
      </c>
    </row>
    <row r="46" spans="1:9">
      <c r="A46" s="9" t="s">
        <v>195</v>
      </c>
      <c r="B46" s="20" t="s">
        <v>80</v>
      </c>
      <c r="C46" s="15">
        <v>12.533724772025</v>
      </c>
      <c r="D46" s="20" t="s">
        <v>80</v>
      </c>
      <c r="E46" s="20" t="s">
        <v>80</v>
      </c>
      <c r="F46" s="20" t="s">
        <v>80</v>
      </c>
      <c r="G46" s="20" t="s">
        <v>80</v>
      </c>
      <c r="H46" s="20" t="s">
        <v>80</v>
      </c>
      <c r="I46" s="26" t="s">
        <v>80</v>
      </c>
    </row>
    <row r="47" spans="1:9">
      <c r="A47" s="9" t="s">
        <v>196</v>
      </c>
      <c r="B47" s="20" t="s">
        <v>80</v>
      </c>
      <c r="C47" s="20" t="s">
        <v>80</v>
      </c>
      <c r="D47" s="20" t="s">
        <v>80</v>
      </c>
      <c r="E47" s="20" t="s">
        <v>80</v>
      </c>
      <c r="F47" s="20" t="s">
        <v>80</v>
      </c>
      <c r="G47" s="20" t="s">
        <v>80</v>
      </c>
      <c r="H47" s="20" t="s">
        <v>80</v>
      </c>
      <c r="I47" s="26" t="s">
        <v>80</v>
      </c>
    </row>
    <row r="48" spans="1:9">
      <c r="A48" s="9" t="s">
        <v>197</v>
      </c>
      <c r="B48" s="20" t="s">
        <v>80</v>
      </c>
      <c r="C48" s="20" t="s">
        <v>80</v>
      </c>
      <c r="D48" s="20" t="s">
        <v>80</v>
      </c>
      <c r="E48" s="20" t="s">
        <v>80</v>
      </c>
      <c r="F48" s="20" t="s">
        <v>80</v>
      </c>
      <c r="G48" s="20" t="s">
        <v>80</v>
      </c>
      <c r="H48" s="20" t="s">
        <v>80</v>
      </c>
      <c r="I48" s="26" t="s">
        <v>80</v>
      </c>
    </row>
    <row r="49" spans="1:9">
      <c r="A49" s="9" t="s">
        <v>198</v>
      </c>
      <c r="B49" s="20" t="s">
        <v>80</v>
      </c>
      <c r="C49" s="15">
        <v>12.522423650563701</v>
      </c>
      <c r="D49" s="20" t="s">
        <v>80</v>
      </c>
      <c r="E49" s="20" t="s">
        <v>80</v>
      </c>
      <c r="F49" s="20" t="s">
        <v>80</v>
      </c>
      <c r="G49" s="20" t="s">
        <v>80</v>
      </c>
      <c r="H49" s="20" t="s">
        <v>80</v>
      </c>
      <c r="I49" s="26" t="s">
        <v>80</v>
      </c>
    </row>
    <row r="50" spans="1:9">
      <c r="A50" s="9" t="s">
        <v>199</v>
      </c>
      <c r="B50" s="20" t="s">
        <v>80</v>
      </c>
      <c r="C50" s="15">
        <v>30.405271665470899</v>
      </c>
      <c r="D50" s="20" t="s">
        <v>80</v>
      </c>
      <c r="E50" s="20" t="s">
        <v>80</v>
      </c>
      <c r="F50" s="20" t="s">
        <v>80</v>
      </c>
      <c r="G50" s="20" t="s">
        <v>80</v>
      </c>
      <c r="H50" s="20" t="s">
        <v>80</v>
      </c>
      <c r="I50" s="26" t="s">
        <v>80</v>
      </c>
    </row>
    <row r="51" spans="1:9">
      <c r="A51" s="9" t="s">
        <v>200</v>
      </c>
      <c r="B51" s="20" t="s">
        <v>80</v>
      </c>
      <c r="C51" s="15">
        <v>24.8294615663233</v>
      </c>
      <c r="D51" s="20" t="s">
        <v>80</v>
      </c>
      <c r="E51" s="20" t="s">
        <v>80</v>
      </c>
      <c r="F51" s="20" t="s">
        <v>80</v>
      </c>
      <c r="G51" s="20" t="s">
        <v>80</v>
      </c>
      <c r="H51" s="20" t="s">
        <v>80</v>
      </c>
      <c r="I51" s="26" t="s">
        <v>80</v>
      </c>
    </row>
    <row r="52" spans="1:9">
      <c r="A52" s="9" t="s">
        <v>201</v>
      </c>
      <c r="B52" s="20" t="s">
        <v>80</v>
      </c>
      <c r="C52" s="15">
        <v>10.6366726252091</v>
      </c>
      <c r="D52" s="20" t="s">
        <v>80</v>
      </c>
      <c r="E52" s="20" t="s">
        <v>80</v>
      </c>
      <c r="F52" s="20" t="s">
        <v>80</v>
      </c>
      <c r="G52" s="20" t="s">
        <v>80</v>
      </c>
      <c r="H52" s="20" t="s">
        <v>80</v>
      </c>
      <c r="I52" s="26" t="s">
        <v>80</v>
      </c>
    </row>
    <row r="53" spans="1:9">
      <c r="A53" s="9" t="s">
        <v>202</v>
      </c>
      <c r="B53" s="20" t="s">
        <v>80</v>
      </c>
      <c r="C53" s="15">
        <v>20.932548360479998</v>
      </c>
      <c r="D53" s="20" t="s">
        <v>80</v>
      </c>
      <c r="E53" s="20" t="s">
        <v>80</v>
      </c>
      <c r="F53" s="20" t="s">
        <v>80</v>
      </c>
      <c r="G53" s="20" t="s">
        <v>80</v>
      </c>
      <c r="H53" s="20" t="s">
        <v>80</v>
      </c>
      <c r="I53" s="26" t="s">
        <v>80</v>
      </c>
    </row>
    <row r="54" spans="1:9">
      <c r="A54" s="9" t="s">
        <v>203</v>
      </c>
      <c r="B54" s="20" t="s">
        <v>80</v>
      </c>
      <c r="C54" s="15">
        <v>22.722721685259</v>
      </c>
      <c r="D54" s="20" t="s">
        <v>80</v>
      </c>
      <c r="E54" s="20" t="s">
        <v>80</v>
      </c>
      <c r="F54" s="20" t="s">
        <v>80</v>
      </c>
      <c r="G54" s="20" t="s">
        <v>80</v>
      </c>
      <c r="H54" s="20" t="s">
        <v>80</v>
      </c>
      <c r="I54" s="26" t="s">
        <v>80</v>
      </c>
    </row>
    <row r="55" spans="1:9">
      <c r="A55" s="9" t="s">
        <v>204</v>
      </c>
      <c r="B55" s="20" t="s">
        <v>80</v>
      </c>
      <c r="C55" s="20" t="s">
        <v>80</v>
      </c>
      <c r="D55" s="20" t="s">
        <v>80</v>
      </c>
      <c r="E55" s="20" t="s">
        <v>80</v>
      </c>
      <c r="F55" s="20" t="s">
        <v>80</v>
      </c>
      <c r="G55" s="20" t="s">
        <v>80</v>
      </c>
      <c r="H55" s="20" t="s">
        <v>80</v>
      </c>
      <c r="I55" s="26" t="s">
        <v>80</v>
      </c>
    </row>
    <row r="56" spans="1:9">
      <c r="A56" s="9" t="s">
        <v>205</v>
      </c>
      <c r="B56" s="20" t="s">
        <v>80</v>
      </c>
      <c r="C56" s="15">
        <v>15.6640957123621</v>
      </c>
      <c r="D56" s="20" t="s">
        <v>80</v>
      </c>
      <c r="E56" s="20" t="s">
        <v>80</v>
      </c>
      <c r="F56" s="20" t="s">
        <v>80</v>
      </c>
      <c r="G56" s="20" t="s">
        <v>80</v>
      </c>
      <c r="H56" s="20" t="s">
        <v>80</v>
      </c>
      <c r="I56" s="26" t="s">
        <v>80</v>
      </c>
    </row>
    <row r="57" spans="1:9">
      <c r="A57" s="9" t="s">
        <v>206</v>
      </c>
      <c r="B57" s="20" t="s">
        <v>80</v>
      </c>
      <c r="C57" s="20" t="s">
        <v>80</v>
      </c>
      <c r="D57" s="20" t="s">
        <v>80</v>
      </c>
      <c r="E57" s="20" t="s">
        <v>80</v>
      </c>
      <c r="F57" s="20" t="s">
        <v>80</v>
      </c>
      <c r="G57" s="20" t="s">
        <v>80</v>
      </c>
      <c r="H57" s="20" t="s">
        <v>80</v>
      </c>
      <c r="I57" s="26" t="s">
        <v>80</v>
      </c>
    </row>
    <row r="58" spans="1:9">
      <c r="A58" s="9" t="s">
        <v>207</v>
      </c>
      <c r="B58" s="20" t="s">
        <v>80</v>
      </c>
      <c r="C58" s="15">
        <v>16.5548579347026</v>
      </c>
      <c r="D58" s="20" t="s">
        <v>80</v>
      </c>
      <c r="E58" s="20" t="s">
        <v>80</v>
      </c>
      <c r="F58" s="20" t="s">
        <v>80</v>
      </c>
      <c r="G58" s="20" t="s">
        <v>80</v>
      </c>
      <c r="H58" s="20" t="s">
        <v>80</v>
      </c>
      <c r="I58" s="26" t="s">
        <v>80</v>
      </c>
    </row>
    <row r="59" spans="1:9">
      <c r="A59" s="9" t="s">
        <v>208</v>
      </c>
      <c r="B59" s="20" t="s">
        <v>80</v>
      </c>
      <c r="C59" s="20" t="s">
        <v>80</v>
      </c>
      <c r="D59" s="20" t="s">
        <v>80</v>
      </c>
      <c r="E59" s="20" t="s">
        <v>80</v>
      </c>
      <c r="F59" s="20" t="s">
        <v>80</v>
      </c>
      <c r="G59" s="20" t="s">
        <v>80</v>
      </c>
      <c r="H59" s="20" t="s">
        <v>80</v>
      </c>
      <c r="I59" s="26" t="s">
        <v>80</v>
      </c>
    </row>
    <row r="60" spans="1:9">
      <c r="A60" s="9" t="s">
        <v>209</v>
      </c>
      <c r="B60" s="20" t="s">
        <v>80</v>
      </c>
      <c r="C60" s="20" t="s">
        <v>80</v>
      </c>
      <c r="D60" s="20" t="s">
        <v>80</v>
      </c>
      <c r="E60" s="20" t="s">
        <v>80</v>
      </c>
      <c r="F60" s="20" t="s">
        <v>80</v>
      </c>
      <c r="G60" s="20" t="s">
        <v>80</v>
      </c>
      <c r="H60" s="20" t="s">
        <v>80</v>
      </c>
      <c r="I60" s="26" t="s">
        <v>80</v>
      </c>
    </row>
    <row r="61" spans="1:9">
      <c r="A61" s="9" t="s">
        <v>210</v>
      </c>
      <c r="B61" s="20" t="s">
        <v>80</v>
      </c>
      <c r="C61" s="20" t="s">
        <v>80</v>
      </c>
      <c r="D61" s="20" t="s">
        <v>80</v>
      </c>
      <c r="E61" s="20" t="s">
        <v>80</v>
      </c>
      <c r="F61" s="20" t="s">
        <v>80</v>
      </c>
      <c r="G61" s="20" t="s">
        <v>80</v>
      </c>
      <c r="H61" s="20" t="s">
        <v>80</v>
      </c>
      <c r="I61" s="26" t="s">
        <v>80</v>
      </c>
    </row>
    <row r="62" spans="1:9">
      <c r="A62" s="9" t="s">
        <v>211</v>
      </c>
      <c r="B62" s="20" t="s">
        <v>80</v>
      </c>
      <c r="C62" s="20" t="s">
        <v>80</v>
      </c>
      <c r="D62" s="20" t="s">
        <v>80</v>
      </c>
      <c r="E62" s="20" t="s">
        <v>80</v>
      </c>
      <c r="F62" s="20" t="s">
        <v>80</v>
      </c>
      <c r="G62" s="20" t="s">
        <v>80</v>
      </c>
      <c r="H62" s="20" t="s">
        <v>80</v>
      </c>
      <c r="I62" s="26" t="s">
        <v>80</v>
      </c>
    </row>
    <row r="63" spans="1:9">
      <c r="A63" s="9" t="s">
        <v>212</v>
      </c>
      <c r="B63" s="20" t="s">
        <v>80</v>
      </c>
      <c r="C63" s="20" t="s">
        <v>80</v>
      </c>
      <c r="D63" s="20" t="s">
        <v>80</v>
      </c>
      <c r="E63" s="20" t="s">
        <v>80</v>
      </c>
      <c r="F63" s="20" t="s">
        <v>80</v>
      </c>
      <c r="G63" s="20" t="s">
        <v>80</v>
      </c>
      <c r="H63" s="20" t="s">
        <v>80</v>
      </c>
      <c r="I63" s="26" t="s">
        <v>80</v>
      </c>
    </row>
    <row r="64" spans="1:9">
      <c r="A64" s="11" t="s">
        <v>213</v>
      </c>
      <c r="B64" s="28" t="s">
        <v>80</v>
      </c>
      <c r="C64" s="28" t="s">
        <v>80</v>
      </c>
      <c r="D64" s="28" t="s">
        <v>80</v>
      </c>
      <c r="E64" s="28" t="s">
        <v>80</v>
      </c>
      <c r="F64" s="28" t="s">
        <v>80</v>
      </c>
      <c r="G64" s="28" t="s">
        <v>80</v>
      </c>
      <c r="H64" s="28" t="s">
        <v>80</v>
      </c>
      <c r="I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245</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152</v>
      </c>
      <c r="B3" s="15">
        <v>36.120136146779799</v>
      </c>
      <c r="C3" s="15">
        <v>38.935976497752698</v>
      </c>
      <c r="D3" s="24">
        <v>33.779035409015897</v>
      </c>
      <c r="E3" s="15">
        <v>36.4342305855075</v>
      </c>
      <c r="F3" s="15">
        <v>43.205853830183699</v>
      </c>
      <c r="G3" s="24">
        <v>30.677119746061798</v>
      </c>
      <c r="H3" s="15">
        <v>35.222519935338099</v>
      </c>
      <c r="I3" s="15">
        <v>33.913085535818297</v>
      </c>
      <c r="J3" s="24">
        <v>36.295637297966302</v>
      </c>
      <c r="K3" s="15">
        <v>39.679047528397398</v>
      </c>
      <c r="L3" s="20" t="s">
        <v>80</v>
      </c>
      <c r="M3" s="26" t="s">
        <v>80</v>
      </c>
      <c r="N3" s="15">
        <v>45.677771090234998</v>
      </c>
      <c r="O3" s="15">
        <v>45.6819271111099</v>
      </c>
      <c r="P3" s="24">
        <v>45.673298525526597</v>
      </c>
    </row>
    <row r="4" spans="1:16">
      <c r="A4" s="9" t="s">
        <v>153</v>
      </c>
      <c r="B4" s="15">
        <v>23.267564836124201</v>
      </c>
      <c r="C4" s="15">
        <v>27.933710061496001</v>
      </c>
      <c r="D4" s="24">
        <v>19.388113351647199</v>
      </c>
      <c r="E4" s="15">
        <v>22.906279062713001</v>
      </c>
      <c r="F4" s="15">
        <v>27.822784495769799</v>
      </c>
      <c r="G4" s="24">
        <v>18.726355623661899</v>
      </c>
      <c r="H4" s="15">
        <v>23.849668274290199</v>
      </c>
      <c r="I4" s="15">
        <v>28.067841238588599</v>
      </c>
      <c r="J4" s="24">
        <v>20.392759972341601</v>
      </c>
      <c r="K4" s="20" t="s">
        <v>80</v>
      </c>
      <c r="L4" s="20" t="s">
        <v>80</v>
      </c>
      <c r="M4" s="26" t="s">
        <v>80</v>
      </c>
      <c r="N4" s="20" t="s">
        <v>80</v>
      </c>
      <c r="O4" s="20" t="s">
        <v>80</v>
      </c>
      <c r="P4" s="26" t="s">
        <v>80</v>
      </c>
    </row>
    <row r="5" spans="1:16">
      <c r="A5" s="9" t="s">
        <v>154</v>
      </c>
      <c r="B5" s="15">
        <v>30.433908842839202</v>
      </c>
      <c r="C5" s="15">
        <v>23.949332021985601</v>
      </c>
      <c r="D5" s="24">
        <v>35.8252115046336</v>
      </c>
      <c r="E5" s="15">
        <v>28.2115029542508</v>
      </c>
      <c r="F5" s="15">
        <v>25.492910227684099</v>
      </c>
      <c r="G5" s="24">
        <v>30.5228010121367</v>
      </c>
      <c r="H5" s="15">
        <v>32.802914790849698</v>
      </c>
      <c r="I5" s="15">
        <v>22.326159703689299</v>
      </c>
      <c r="J5" s="24">
        <v>41.3889025976139</v>
      </c>
      <c r="K5" s="20" t="s">
        <v>80</v>
      </c>
      <c r="L5" s="20" t="s">
        <v>80</v>
      </c>
      <c r="M5" s="26" t="s">
        <v>80</v>
      </c>
      <c r="N5" s="15">
        <v>31.7648688330816</v>
      </c>
      <c r="O5" s="20" t="s">
        <v>80</v>
      </c>
      <c r="P5" s="26" t="s">
        <v>80</v>
      </c>
    </row>
    <row r="6" spans="1:16">
      <c r="A6" s="9" t="s">
        <v>155</v>
      </c>
      <c r="B6" s="15">
        <v>46.967345981856496</v>
      </c>
      <c r="C6" s="15">
        <v>55.317268448407603</v>
      </c>
      <c r="D6" s="24">
        <v>40.025187616961603</v>
      </c>
      <c r="E6" s="15">
        <v>51.409987365135898</v>
      </c>
      <c r="F6" s="15">
        <v>58.786128646514001</v>
      </c>
      <c r="G6" s="24">
        <v>45.138926293081902</v>
      </c>
      <c r="H6" s="15">
        <v>42.360338821883801</v>
      </c>
      <c r="I6" s="15">
        <v>50.7988168549279</v>
      </c>
      <c r="J6" s="24">
        <v>35.444774899982498</v>
      </c>
      <c r="K6" s="20" t="s">
        <v>80</v>
      </c>
      <c r="L6" s="20" t="s">
        <v>80</v>
      </c>
      <c r="M6" s="26" t="s">
        <v>80</v>
      </c>
      <c r="N6" s="15">
        <v>55.622102104489798</v>
      </c>
      <c r="O6" s="15">
        <v>72.672337118796193</v>
      </c>
      <c r="P6" s="26" t="s">
        <v>80</v>
      </c>
    </row>
    <row r="7" spans="1:16">
      <c r="A7" s="9" t="s">
        <v>156</v>
      </c>
      <c r="B7" s="15">
        <v>25.310925114613401</v>
      </c>
      <c r="C7" s="15">
        <v>32.987218971982401</v>
      </c>
      <c r="D7" s="24">
        <v>18.928824223641001</v>
      </c>
      <c r="E7" s="15">
        <v>33.228775857542303</v>
      </c>
      <c r="F7" s="15">
        <v>41.271151402538898</v>
      </c>
      <c r="G7" s="24">
        <v>26.391294539987399</v>
      </c>
      <c r="H7" s="15">
        <v>16.961370134816299</v>
      </c>
      <c r="I7" s="15">
        <v>24.0787228541251</v>
      </c>
      <c r="J7" s="24">
        <v>11.1285046000176</v>
      </c>
      <c r="K7" s="20" t="s">
        <v>80</v>
      </c>
      <c r="L7" s="20" t="s">
        <v>80</v>
      </c>
      <c r="M7" s="26" t="s">
        <v>80</v>
      </c>
      <c r="N7" s="15">
        <v>23.582542070864701</v>
      </c>
      <c r="O7" s="20" t="s">
        <v>80</v>
      </c>
      <c r="P7" s="26" t="s">
        <v>80</v>
      </c>
    </row>
    <row r="8" spans="1:16">
      <c r="A8" s="9" t="s">
        <v>157</v>
      </c>
      <c r="B8" s="15">
        <v>3.2283402959904102</v>
      </c>
      <c r="C8" s="15">
        <v>4.5544582124605997</v>
      </c>
      <c r="D8" s="24">
        <v>2.1258006468452502</v>
      </c>
      <c r="E8" s="15">
        <v>3.85774502094963</v>
      </c>
      <c r="F8" s="15">
        <v>4.8469209166376999</v>
      </c>
      <c r="G8" s="24">
        <v>3.0167656773835998</v>
      </c>
      <c r="H8" s="15">
        <v>2.2926250676703299</v>
      </c>
      <c r="I8" s="15">
        <v>3.7466975316817002</v>
      </c>
      <c r="J8" s="26" t="s">
        <v>80</v>
      </c>
      <c r="K8" s="20" t="s">
        <v>80</v>
      </c>
      <c r="L8" s="20" t="s">
        <v>80</v>
      </c>
      <c r="M8" s="26" t="s">
        <v>80</v>
      </c>
      <c r="N8" s="20" t="s">
        <v>80</v>
      </c>
      <c r="O8" s="20" t="s">
        <v>80</v>
      </c>
      <c r="P8" s="26" t="s">
        <v>80</v>
      </c>
    </row>
    <row r="9" spans="1:16">
      <c r="A9" s="9" t="s">
        <v>158</v>
      </c>
      <c r="B9" s="15">
        <v>14.0966748467493</v>
      </c>
      <c r="C9" s="15">
        <v>20.072142378610899</v>
      </c>
      <c r="D9" s="24">
        <v>9.1286476492936508</v>
      </c>
      <c r="E9" s="15">
        <v>16.7588789353211</v>
      </c>
      <c r="F9" s="15">
        <v>24.283078016433699</v>
      </c>
      <c r="G9" s="24">
        <v>10.361941816576699</v>
      </c>
      <c r="H9" s="15">
        <v>11.527895042809901</v>
      </c>
      <c r="I9" s="15">
        <v>15.8267583151819</v>
      </c>
      <c r="J9" s="24">
        <v>8.0048588228674493</v>
      </c>
      <c r="K9" s="20" t="s">
        <v>80</v>
      </c>
      <c r="L9" s="20" t="s">
        <v>80</v>
      </c>
      <c r="M9" s="26" t="s">
        <v>80</v>
      </c>
      <c r="N9" s="20" t="s">
        <v>80</v>
      </c>
      <c r="O9" s="20" t="s">
        <v>80</v>
      </c>
      <c r="P9" s="26" t="s">
        <v>80</v>
      </c>
    </row>
    <row r="10" spans="1:16">
      <c r="A10" s="9" t="s">
        <v>159</v>
      </c>
      <c r="B10" s="15">
        <v>30.330613830385001</v>
      </c>
      <c r="C10" s="15">
        <v>27.807195962751202</v>
      </c>
      <c r="D10" s="24">
        <v>32.428593365894898</v>
      </c>
      <c r="E10" s="15">
        <v>39.333407172526499</v>
      </c>
      <c r="F10" s="15">
        <v>37.621699670966699</v>
      </c>
      <c r="G10" s="24">
        <v>40.788669737368402</v>
      </c>
      <c r="H10" s="15">
        <v>20.990959504004799</v>
      </c>
      <c r="I10" s="15">
        <v>16.867294632803802</v>
      </c>
      <c r="J10" s="24">
        <v>24.3704158345918</v>
      </c>
      <c r="K10" s="20" t="s">
        <v>80</v>
      </c>
      <c r="L10" s="20" t="s">
        <v>80</v>
      </c>
      <c r="M10" s="26" t="s">
        <v>80</v>
      </c>
      <c r="N10" s="15">
        <v>23.8502968369462</v>
      </c>
      <c r="O10" s="20" t="s">
        <v>80</v>
      </c>
      <c r="P10" s="26" t="s">
        <v>80</v>
      </c>
    </row>
    <row r="11" spans="1:16">
      <c r="A11" s="9" t="s">
        <v>160</v>
      </c>
      <c r="B11" s="15">
        <v>25.201528198210902</v>
      </c>
      <c r="C11" s="15">
        <v>28.739489964085301</v>
      </c>
      <c r="D11" s="24">
        <v>22.260052877208398</v>
      </c>
      <c r="E11" s="15">
        <v>24.2476519951203</v>
      </c>
      <c r="F11" s="15">
        <v>28.612552617437299</v>
      </c>
      <c r="G11" s="24">
        <v>20.536692926982401</v>
      </c>
      <c r="H11" s="15">
        <v>26.239423397789601</v>
      </c>
      <c r="I11" s="15">
        <v>28.178058069233199</v>
      </c>
      <c r="J11" s="24">
        <v>24.6506591752504</v>
      </c>
      <c r="K11" s="20" t="s">
        <v>80</v>
      </c>
      <c r="L11" s="20" t="s">
        <v>80</v>
      </c>
      <c r="M11" s="26" t="s">
        <v>80</v>
      </c>
      <c r="N11" s="15">
        <v>27.934106781020699</v>
      </c>
      <c r="O11" s="20" t="s">
        <v>80</v>
      </c>
      <c r="P11" s="26" t="s">
        <v>80</v>
      </c>
    </row>
    <row r="12" spans="1:16">
      <c r="A12" s="9" t="s">
        <v>161</v>
      </c>
      <c r="B12" s="15">
        <v>16.794309638278001</v>
      </c>
      <c r="C12" s="15">
        <v>20.554165884718198</v>
      </c>
      <c r="D12" s="24">
        <v>13.668350373795301</v>
      </c>
      <c r="E12" s="15">
        <v>19.253160896275499</v>
      </c>
      <c r="F12" s="15">
        <v>23.671173076800201</v>
      </c>
      <c r="G12" s="24">
        <v>15.4970473479768</v>
      </c>
      <c r="H12" s="15">
        <v>13.909511988298901</v>
      </c>
      <c r="I12" s="15">
        <v>16.6221378260427</v>
      </c>
      <c r="J12" s="24">
        <v>11.686440801331401</v>
      </c>
      <c r="K12" s="20" t="s">
        <v>80</v>
      </c>
      <c r="L12" s="20" t="s">
        <v>80</v>
      </c>
      <c r="M12" s="26" t="s">
        <v>80</v>
      </c>
      <c r="N12" s="15">
        <v>25.679203863947301</v>
      </c>
      <c r="O12" s="20" t="s">
        <v>80</v>
      </c>
      <c r="P12" s="26" t="s">
        <v>80</v>
      </c>
    </row>
    <row r="13" spans="1:16">
      <c r="A13" s="9" t="s">
        <v>162</v>
      </c>
      <c r="B13" s="15">
        <v>13.347003163472699</v>
      </c>
      <c r="C13" s="15">
        <v>17.392471922492099</v>
      </c>
      <c r="D13" s="24">
        <v>9.9835845331979094</v>
      </c>
      <c r="E13" s="15">
        <v>3.9801707160111199</v>
      </c>
      <c r="F13" s="15">
        <v>5.3231860831803903</v>
      </c>
      <c r="G13" s="24">
        <v>2.83836349365107</v>
      </c>
      <c r="H13" s="15">
        <v>23.314821747463998</v>
      </c>
      <c r="I13" s="15">
        <v>30.5546427225031</v>
      </c>
      <c r="J13" s="24">
        <v>17.381590122051598</v>
      </c>
      <c r="K13" s="20" t="s">
        <v>80</v>
      </c>
      <c r="L13" s="20" t="s">
        <v>80</v>
      </c>
      <c r="M13" s="26" t="s">
        <v>80</v>
      </c>
      <c r="N13" s="20" t="s">
        <v>80</v>
      </c>
      <c r="O13" s="20" t="s">
        <v>80</v>
      </c>
      <c r="P13" s="26" t="s">
        <v>80</v>
      </c>
    </row>
    <row r="14" spans="1:16">
      <c r="A14" s="9" t="s">
        <v>163</v>
      </c>
      <c r="B14" s="15">
        <v>30.978386722887301</v>
      </c>
      <c r="C14" s="15">
        <v>37.067410180602501</v>
      </c>
      <c r="D14" s="24">
        <v>25.915948682252498</v>
      </c>
      <c r="E14" s="15">
        <v>30.622026216737201</v>
      </c>
      <c r="F14" s="15">
        <v>37.887354979507201</v>
      </c>
      <c r="G14" s="24">
        <v>24.445175931222</v>
      </c>
      <c r="H14" s="15">
        <v>31.3163931091302</v>
      </c>
      <c r="I14" s="15">
        <v>36.200941461771102</v>
      </c>
      <c r="J14" s="24">
        <v>27.3133719209454</v>
      </c>
      <c r="K14" s="20" t="s">
        <v>80</v>
      </c>
      <c r="L14" s="20" t="s">
        <v>80</v>
      </c>
      <c r="M14" s="26" t="s">
        <v>80</v>
      </c>
      <c r="N14" s="15">
        <v>32.552521001737702</v>
      </c>
      <c r="O14" s="20" t="s">
        <v>80</v>
      </c>
      <c r="P14" s="26" t="s">
        <v>80</v>
      </c>
    </row>
    <row r="15" spans="1:16">
      <c r="A15" s="9" t="s">
        <v>164</v>
      </c>
      <c r="B15" s="15">
        <v>25.290451297490399</v>
      </c>
      <c r="C15" s="15">
        <v>30.172788627671899</v>
      </c>
      <c r="D15" s="24">
        <v>21.231256847154601</v>
      </c>
      <c r="E15" s="15">
        <v>32.279881263430802</v>
      </c>
      <c r="F15" s="15">
        <v>37.3012130769037</v>
      </c>
      <c r="G15" s="24">
        <v>28.010836343584302</v>
      </c>
      <c r="H15" s="15">
        <v>18.1904115798121</v>
      </c>
      <c r="I15" s="15">
        <v>22.240854399244402</v>
      </c>
      <c r="J15" s="24">
        <v>14.8709627265825</v>
      </c>
      <c r="K15" s="20" t="s">
        <v>80</v>
      </c>
      <c r="L15" s="20" t="s">
        <v>80</v>
      </c>
      <c r="M15" s="26" t="s">
        <v>80</v>
      </c>
      <c r="N15" s="15">
        <v>24.645444242463601</v>
      </c>
      <c r="O15" s="20" t="s">
        <v>80</v>
      </c>
      <c r="P15" s="26" t="s">
        <v>80</v>
      </c>
    </row>
    <row r="16" spans="1:16">
      <c r="A16" s="9" t="s">
        <v>165</v>
      </c>
      <c r="B16" s="15">
        <v>7.8300066457731896</v>
      </c>
      <c r="C16" s="15">
        <v>11.3715191684709</v>
      </c>
      <c r="D16" s="24">
        <v>4.8855792115887402</v>
      </c>
      <c r="E16" s="15">
        <v>9.9895373360192607</v>
      </c>
      <c r="F16" s="15">
        <v>14.6397599625193</v>
      </c>
      <c r="G16" s="24">
        <v>6.0360026927699897</v>
      </c>
      <c r="H16" s="15">
        <v>5.4483717985294398</v>
      </c>
      <c r="I16" s="15">
        <v>7.6238355770241197</v>
      </c>
      <c r="J16" s="24">
        <v>3.6655196347804302</v>
      </c>
      <c r="K16" s="20" t="s">
        <v>80</v>
      </c>
      <c r="L16" s="20" t="s">
        <v>80</v>
      </c>
      <c r="M16" s="26" t="s">
        <v>80</v>
      </c>
      <c r="N16" s="20" t="s">
        <v>80</v>
      </c>
      <c r="O16" s="20" t="s">
        <v>80</v>
      </c>
      <c r="P16" s="26" t="s">
        <v>80</v>
      </c>
    </row>
    <row r="17" spans="1:16">
      <c r="A17" s="9" t="s">
        <v>166</v>
      </c>
      <c r="B17" s="15">
        <v>44.451736565620202</v>
      </c>
      <c r="C17" s="15">
        <v>52.611768257383197</v>
      </c>
      <c r="D17" s="24">
        <v>37.667454137405201</v>
      </c>
      <c r="E17" s="15">
        <v>47.992178265807802</v>
      </c>
      <c r="F17" s="15">
        <v>56.7991646521319</v>
      </c>
      <c r="G17" s="24">
        <v>40.504638726832397</v>
      </c>
      <c r="H17" s="15">
        <v>41.071281267815699</v>
      </c>
      <c r="I17" s="15">
        <v>48.458383607271202</v>
      </c>
      <c r="J17" s="24">
        <v>35.017348529461003</v>
      </c>
      <c r="K17" s="20" t="s">
        <v>80</v>
      </c>
      <c r="L17" s="20" t="s">
        <v>80</v>
      </c>
      <c r="M17" s="26" t="s">
        <v>80</v>
      </c>
      <c r="N17" s="15">
        <v>43.863526778194597</v>
      </c>
      <c r="O17" s="15">
        <v>51.028693506848299</v>
      </c>
      <c r="P17" s="26" t="s">
        <v>80</v>
      </c>
    </row>
    <row r="18" spans="1:16">
      <c r="A18" s="9" t="s">
        <v>167</v>
      </c>
      <c r="B18" s="15">
        <v>24.499690623452601</v>
      </c>
      <c r="C18" s="15">
        <v>32.6550167632249</v>
      </c>
      <c r="D18" s="24">
        <v>17.719320409661702</v>
      </c>
      <c r="E18" s="15">
        <v>10.815303722572599</v>
      </c>
      <c r="F18" s="15">
        <v>17.464041714588699</v>
      </c>
      <c r="G18" s="24">
        <v>5.1626676884335199</v>
      </c>
      <c r="H18" s="15">
        <v>39.201607171649101</v>
      </c>
      <c r="I18" s="15">
        <v>49.4858135248192</v>
      </c>
      <c r="J18" s="24">
        <v>30.773418327301702</v>
      </c>
      <c r="K18" s="20" t="s">
        <v>80</v>
      </c>
      <c r="L18" s="20" t="s">
        <v>80</v>
      </c>
      <c r="M18" s="26" t="s">
        <v>80</v>
      </c>
      <c r="N18" s="15">
        <v>24.373782891871102</v>
      </c>
      <c r="O18" s="20" t="s">
        <v>80</v>
      </c>
      <c r="P18" s="26" t="s">
        <v>80</v>
      </c>
    </row>
    <row r="19" spans="1:16">
      <c r="A19" s="9" t="s">
        <v>168</v>
      </c>
      <c r="B19" s="15">
        <v>32.3173281051995</v>
      </c>
      <c r="C19" s="15">
        <v>38.617738122476297</v>
      </c>
      <c r="D19" s="24">
        <v>27.079142447917398</v>
      </c>
      <c r="E19" s="15">
        <v>35.262205302575502</v>
      </c>
      <c r="F19" s="15">
        <v>44.0111353033559</v>
      </c>
      <c r="G19" s="24">
        <v>27.8240242459662</v>
      </c>
      <c r="H19" s="15">
        <v>29.010528686732499</v>
      </c>
      <c r="I19" s="15">
        <v>32.343464240845798</v>
      </c>
      <c r="J19" s="24">
        <v>26.2790966936894</v>
      </c>
      <c r="K19" s="15">
        <v>36.559473266742103</v>
      </c>
      <c r="L19" s="20" t="s">
        <v>80</v>
      </c>
      <c r="M19" s="26" t="s">
        <v>80</v>
      </c>
      <c r="N19" s="15">
        <v>32.883023347604301</v>
      </c>
      <c r="O19" s="20" t="s">
        <v>80</v>
      </c>
      <c r="P19" s="26" t="s">
        <v>80</v>
      </c>
    </row>
    <row r="20" spans="1:16">
      <c r="A20" s="9" t="s">
        <v>169</v>
      </c>
      <c r="B20" s="15">
        <v>14.9509857990389</v>
      </c>
      <c r="C20" s="15">
        <v>17.489929996185499</v>
      </c>
      <c r="D20" s="24">
        <v>12.840097612133</v>
      </c>
      <c r="E20" s="15">
        <v>17.1156653363761</v>
      </c>
      <c r="F20" s="15">
        <v>21.8905193720272</v>
      </c>
      <c r="G20" s="24">
        <v>13.056171337351399</v>
      </c>
      <c r="H20" s="15">
        <v>12.1153259696831</v>
      </c>
      <c r="I20" s="15">
        <v>12.227847597986599</v>
      </c>
      <c r="J20" s="24">
        <v>12.023111412735499</v>
      </c>
      <c r="K20" s="20" t="s">
        <v>80</v>
      </c>
      <c r="L20" s="20" t="s">
        <v>80</v>
      </c>
      <c r="M20" s="26" t="s">
        <v>80</v>
      </c>
      <c r="N20" s="15">
        <v>20.462581281387202</v>
      </c>
      <c r="O20" s="20" t="s">
        <v>80</v>
      </c>
      <c r="P20" s="26" t="s">
        <v>80</v>
      </c>
    </row>
    <row r="21" spans="1:16">
      <c r="A21" s="9" t="s">
        <v>170</v>
      </c>
      <c r="B21" s="15">
        <v>9.3566466379445004</v>
      </c>
      <c r="C21" s="15">
        <v>11.595767812596501</v>
      </c>
      <c r="D21" s="24">
        <v>7.4950324906403898</v>
      </c>
      <c r="E21" s="15">
        <v>9.0685335710193993</v>
      </c>
      <c r="F21" s="15">
        <v>12.6308796381897</v>
      </c>
      <c r="G21" s="24">
        <v>6.0398917792175197</v>
      </c>
      <c r="H21" s="15">
        <v>9.6058193759301602</v>
      </c>
      <c r="I21" s="15">
        <v>10.101523440251</v>
      </c>
      <c r="J21" s="24">
        <v>9.1995763153055403</v>
      </c>
      <c r="K21" s="20" t="s">
        <v>80</v>
      </c>
      <c r="L21" s="20" t="s">
        <v>80</v>
      </c>
      <c r="M21" s="26" t="s">
        <v>80</v>
      </c>
      <c r="N21" s="20" t="s">
        <v>80</v>
      </c>
      <c r="O21" s="20" t="s">
        <v>80</v>
      </c>
      <c r="P21" s="26" t="s">
        <v>80</v>
      </c>
    </row>
    <row r="22" spans="1:16">
      <c r="A22" s="9" t="s">
        <v>171</v>
      </c>
      <c r="B22" s="15">
        <v>18.337399891126601</v>
      </c>
      <c r="C22" s="15">
        <v>23.819158485499699</v>
      </c>
      <c r="D22" s="24">
        <v>13.7798442452261</v>
      </c>
      <c r="E22" s="15">
        <v>25.3543683145977</v>
      </c>
      <c r="F22" s="15">
        <v>30.618680080283401</v>
      </c>
      <c r="G22" s="24">
        <v>20.878746261602</v>
      </c>
      <c r="H22" s="15">
        <v>10.6268710018646</v>
      </c>
      <c r="I22" s="15">
        <v>15.745887116516</v>
      </c>
      <c r="J22" s="24">
        <v>6.4316970594203102</v>
      </c>
      <c r="K22" s="20" t="s">
        <v>80</v>
      </c>
      <c r="L22" s="20" t="s">
        <v>80</v>
      </c>
      <c r="M22" s="26" t="s">
        <v>80</v>
      </c>
      <c r="N22" s="15">
        <v>22.003703643865101</v>
      </c>
      <c r="O22" s="20" t="s">
        <v>80</v>
      </c>
      <c r="P22" s="26" t="s">
        <v>80</v>
      </c>
    </row>
    <row r="23" spans="1:16">
      <c r="A23" s="9" t="s">
        <v>172</v>
      </c>
      <c r="B23" s="15">
        <v>19.371130845705199</v>
      </c>
      <c r="C23" s="15">
        <v>21.709958766768299</v>
      </c>
      <c r="D23" s="24">
        <v>17.426620117455901</v>
      </c>
      <c r="E23" s="15">
        <v>12.436322968087</v>
      </c>
      <c r="F23" s="15">
        <v>15.5346328386868</v>
      </c>
      <c r="G23" s="24">
        <v>9.8021963051756504</v>
      </c>
      <c r="H23" s="15">
        <v>26.751236934169299</v>
      </c>
      <c r="I23" s="15">
        <v>28.193029650986499</v>
      </c>
      <c r="J23" s="24">
        <v>25.569648304532901</v>
      </c>
      <c r="K23" s="20" t="s">
        <v>80</v>
      </c>
      <c r="L23" s="20" t="s">
        <v>80</v>
      </c>
      <c r="M23" s="26" t="s">
        <v>80</v>
      </c>
      <c r="N23" s="15">
        <v>21.501789863555999</v>
      </c>
      <c r="O23" s="20" t="s">
        <v>80</v>
      </c>
      <c r="P23" s="26" t="s">
        <v>80</v>
      </c>
    </row>
    <row r="24" spans="1:16">
      <c r="A24" s="9" t="s">
        <v>173</v>
      </c>
      <c r="B24" s="15">
        <v>43.476702185874899</v>
      </c>
      <c r="C24" s="15">
        <v>52.891063005835498</v>
      </c>
      <c r="D24" s="24">
        <v>35.649565589309098</v>
      </c>
      <c r="E24" s="15">
        <v>56.116542104501796</v>
      </c>
      <c r="F24" s="15">
        <v>64.221827779642496</v>
      </c>
      <c r="G24" s="24">
        <v>49.225575739259398</v>
      </c>
      <c r="H24" s="15">
        <v>30.845887660952101</v>
      </c>
      <c r="I24" s="15">
        <v>40.9385085118261</v>
      </c>
      <c r="J24" s="24">
        <v>22.574708384260202</v>
      </c>
      <c r="K24" s="20" t="s">
        <v>80</v>
      </c>
      <c r="L24" s="20" t="s">
        <v>80</v>
      </c>
      <c r="M24" s="26" t="s">
        <v>80</v>
      </c>
      <c r="N24" s="15">
        <v>33.1909939401529</v>
      </c>
      <c r="O24" s="15">
        <v>46.848420171950899</v>
      </c>
      <c r="P24" s="26" t="s">
        <v>80</v>
      </c>
    </row>
    <row r="25" spans="1:16">
      <c r="A25" s="9" t="s">
        <v>174</v>
      </c>
      <c r="B25" s="15">
        <v>4.6513845101390796</v>
      </c>
      <c r="C25" s="15">
        <v>6.4506399004458101</v>
      </c>
      <c r="D25" s="24">
        <v>3.1554765051921199</v>
      </c>
      <c r="E25" s="15">
        <v>5.58015721258404</v>
      </c>
      <c r="F25" s="15">
        <v>7.9779824309142402</v>
      </c>
      <c r="G25" s="24">
        <v>3.5415698522493901</v>
      </c>
      <c r="H25" s="15">
        <v>3.5395180065448999</v>
      </c>
      <c r="I25" s="15">
        <v>4.5136281667690801</v>
      </c>
      <c r="J25" s="24">
        <v>2.74120804429525</v>
      </c>
      <c r="K25" s="20" t="s">
        <v>80</v>
      </c>
      <c r="L25" s="20" t="s">
        <v>80</v>
      </c>
      <c r="M25" s="26" t="s">
        <v>80</v>
      </c>
      <c r="N25" s="20" t="s">
        <v>80</v>
      </c>
      <c r="O25" s="20" t="s">
        <v>80</v>
      </c>
      <c r="P25" s="26" t="s">
        <v>80</v>
      </c>
    </row>
    <row r="26" spans="1:16">
      <c r="A26" s="9" t="s">
        <v>175</v>
      </c>
      <c r="B26" s="15">
        <v>26.6052574302424</v>
      </c>
      <c r="C26" s="15">
        <v>32.199147681891901</v>
      </c>
      <c r="D26" s="24">
        <v>21.954475083657002</v>
      </c>
      <c r="E26" s="15">
        <v>32.708887903594899</v>
      </c>
      <c r="F26" s="15">
        <v>38.881906573233103</v>
      </c>
      <c r="G26" s="24">
        <v>27.460699779275402</v>
      </c>
      <c r="H26" s="15">
        <v>20.138494981527501</v>
      </c>
      <c r="I26" s="15">
        <v>24.3743038000765</v>
      </c>
      <c r="J26" s="24">
        <v>16.667133613882701</v>
      </c>
      <c r="K26" s="20" t="s">
        <v>80</v>
      </c>
      <c r="L26" s="20" t="s">
        <v>80</v>
      </c>
      <c r="M26" s="26" t="s">
        <v>80</v>
      </c>
      <c r="N26" s="15">
        <v>29.384477521224799</v>
      </c>
      <c r="O26" s="20" t="s">
        <v>80</v>
      </c>
      <c r="P26" s="26" t="s">
        <v>80</v>
      </c>
    </row>
    <row r="27" spans="1:16">
      <c r="A27" s="9" t="s">
        <v>176</v>
      </c>
      <c r="B27" s="15">
        <v>20.699360523360301</v>
      </c>
      <c r="C27" s="15">
        <v>28.823985667245399</v>
      </c>
      <c r="D27" s="24">
        <v>13.9445152382453</v>
      </c>
      <c r="E27" s="15">
        <v>7.96838976989123</v>
      </c>
      <c r="F27" s="15">
        <v>11.8547508748421</v>
      </c>
      <c r="G27" s="24">
        <v>4.6642762900245396</v>
      </c>
      <c r="H27" s="15">
        <v>34.498074596203899</v>
      </c>
      <c r="I27" s="15">
        <v>48.093358361661402</v>
      </c>
      <c r="J27" s="24">
        <v>23.356367104847902</v>
      </c>
      <c r="K27" s="20" t="s">
        <v>80</v>
      </c>
      <c r="L27" s="20" t="s">
        <v>80</v>
      </c>
      <c r="M27" s="26" t="s">
        <v>80</v>
      </c>
      <c r="N27" s="20" t="s">
        <v>80</v>
      </c>
      <c r="O27" s="20" t="s">
        <v>80</v>
      </c>
      <c r="P27" s="26" t="s">
        <v>80</v>
      </c>
    </row>
    <row r="28" spans="1:16">
      <c r="A28" s="9" t="s">
        <v>177</v>
      </c>
      <c r="B28" s="15">
        <v>27.6968163813135</v>
      </c>
      <c r="C28" s="15">
        <v>33.705454963437099</v>
      </c>
      <c r="D28" s="24">
        <v>22.701210642264101</v>
      </c>
      <c r="E28" s="15">
        <v>15.847619271259999</v>
      </c>
      <c r="F28" s="15">
        <v>21.099664892910599</v>
      </c>
      <c r="G28" s="24">
        <v>11.3824256706797</v>
      </c>
      <c r="H28" s="15">
        <v>40.191125871319201</v>
      </c>
      <c r="I28" s="15">
        <v>47.188564434541803</v>
      </c>
      <c r="J28" s="24">
        <v>34.456533272505901</v>
      </c>
      <c r="K28" s="20" t="s">
        <v>80</v>
      </c>
      <c r="L28" s="20" t="s">
        <v>80</v>
      </c>
      <c r="M28" s="26" t="s">
        <v>80</v>
      </c>
      <c r="N28" s="15">
        <v>34.793105702977101</v>
      </c>
      <c r="O28" s="20" t="s">
        <v>80</v>
      </c>
      <c r="P28" s="26" t="s">
        <v>80</v>
      </c>
    </row>
    <row r="29" spans="1:16">
      <c r="A29" s="9" t="s">
        <v>178</v>
      </c>
      <c r="B29" s="15">
        <v>10.303473902133099</v>
      </c>
      <c r="C29" s="15">
        <v>12.0112959477436</v>
      </c>
      <c r="D29" s="24">
        <v>8.8835839394202392</v>
      </c>
      <c r="E29" s="15">
        <v>10.994238578910201</v>
      </c>
      <c r="F29" s="15">
        <v>13.6013394517531</v>
      </c>
      <c r="G29" s="24">
        <v>8.7777288659145007</v>
      </c>
      <c r="H29" s="15">
        <v>9.5253147288168805</v>
      </c>
      <c r="I29" s="15">
        <v>10.007475632509101</v>
      </c>
      <c r="J29" s="24">
        <v>9.1301706593450902</v>
      </c>
      <c r="K29" s="20" t="s">
        <v>80</v>
      </c>
      <c r="L29" s="20" t="s">
        <v>80</v>
      </c>
      <c r="M29" s="26" t="s">
        <v>80</v>
      </c>
      <c r="N29" s="20" t="s">
        <v>80</v>
      </c>
      <c r="O29" s="20" t="s">
        <v>80</v>
      </c>
      <c r="P29" s="26" t="s">
        <v>80</v>
      </c>
    </row>
    <row r="30" spans="1:16">
      <c r="A30" s="9" t="s">
        <v>179</v>
      </c>
      <c r="B30" s="15">
        <v>16.668672081224202</v>
      </c>
      <c r="C30" s="15">
        <v>18.870789979993599</v>
      </c>
      <c r="D30" s="24">
        <v>14.8378226029605</v>
      </c>
      <c r="E30" s="15">
        <v>20.342845855575099</v>
      </c>
      <c r="F30" s="15">
        <v>23.152541672486201</v>
      </c>
      <c r="G30" s="24">
        <v>17.954093608349702</v>
      </c>
      <c r="H30" s="15">
        <v>12.6812199464655</v>
      </c>
      <c r="I30" s="15">
        <v>13.6314914422457</v>
      </c>
      <c r="J30" s="24">
        <v>11.9024464227927</v>
      </c>
      <c r="K30" s="20" t="s">
        <v>80</v>
      </c>
      <c r="L30" s="20" t="s">
        <v>80</v>
      </c>
      <c r="M30" s="26" t="s">
        <v>80</v>
      </c>
      <c r="N30" s="20" t="s">
        <v>80</v>
      </c>
      <c r="O30" s="20" t="s">
        <v>80</v>
      </c>
      <c r="P30" s="26" t="s">
        <v>80</v>
      </c>
    </row>
    <row r="31" spans="1:16">
      <c r="A31" s="9" t="s">
        <v>180</v>
      </c>
      <c r="B31" s="15">
        <v>23.985878127300001</v>
      </c>
      <c r="C31" s="15">
        <v>28.120483564276199</v>
      </c>
      <c r="D31" s="24">
        <v>20.548350912547299</v>
      </c>
      <c r="E31" s="15">
        <v>26.3611004378185</v>
      </c>
      <c r="F31" s="15">
        <v>32.636485139943197</v>
      </c>
      <c r="G31" s="24">
        <v>21.025882575735199</v>
      </c>
      <c r="H31" s="15">
        <v>20.9638596890867</v>
      </c>
      <c r="I31" s="15">
        <v>22.9435540681189</v>
      </c>
      <c r="J31" s="24">
        <v>19.3414459113398</v>
      </c>
      <c r="K31" s="20" t="s">
        <v>80</v>
      </c>
      <c r="L31" s="20" t="s">
        <v>80</v>
      </c>
      <c r="M31" s="26" t="s">
        <v>80</v>
      </c>
      <c r="N31" s="15">
        <v>29.002836638191901</v>
      </c>
      <c r="O31" s="20" t="s">
        <v>80</v>
      </c>
      <c r="P31" s="26" t="s">
        <v>80</v>
      </c>
    </row>
    <row r="32" spans="1:16">
      <c r="A32" s="9" t="s">
        <v>181</v>
      </c>
      <c r="B32" s="15">
        <v>5.4020806080666199</v>
      </c>
      <c r="C32" s="15">
        <v>5.3821459601930997</v>
      </c>
      <c r="D32" s="24">
        <v>5.4186543526781197</v>
      </c>
      <c r="E32" s="15">
        <v>4.7810573259721103</v>
      </c>
      <c r="F32" s="15">
        <v>5.5564037353728803</v>
      </c>
      <c r="G32" s="24">
        <v>4.1218719199624099</v>
      </c>
      <c r="H32" s="15">
        <v>5.8590273254851803</v>
      </c>
      <c r="I32" s="15">
        <v>4.9308898344925103</v>
      </c>
      <c r="J32" s="24">
        <v>6.6196614258689896</v>
      </c>
      <c r="K32" s="20" t="s">
        <v>80</v>
      </c>
      <c r="L32" s="20" t="s">
        <v>80</v>
      </c>
      <c r="M32" s="26" t="s">
        <v>80</v>
      </c>
      <c r="N32" s="20" t="s">
        <v>80</v>
      </c>
      <c r="O32" s="20" t="s">
        <v>80</v>
      </c>
      <c r="P32" s="26" t="s">
        <v>80</v>
      </c>
    </row>
    <row r="33" spans="1:16">
      <c r="A33" s="9" t="s">
        <v>182</v>
      </c>
      <c r="B33" s="15">
        <v>14.157435936346801</v>
      </c>
      <c r="C33" s="15">
        <v>15.9486201028389</v>
      </c>
      <c r="D33" s="24">
        <v>12.6682383786098</v>
      </c>
      <c r="E33" s="15">
        <v>11.735618242951499</v>
      </c>
      <c r="F33" s="15">
        <v>15.5997851286937</v>
      </c>
      <c r="G33" s="24">
        <v>8.4503738843223992</v>
      </c>
      <c r="H33" s="15">
        <v>16.747032124492598</v>
      </c>
      <c r="I33" s="15">
        <v>15.7815692257044</v>
      </c>
      <c r="J33" s="24">
        <v>17.538255419102001</v>
      </c>
      <c r="K33" s="20" t="s">
        <v>80</v>
      </c>
      <c r="L33" s="20" t="s">
        <v>80</v>
      </c>
      <c r="M33" s="26" t="s">
        <v>80</v>
      </c>
      <c r="N33" s="20" t="s">
        <v>80</v>
      </c>
      <c r="O33" s="20" t="s">
        <v>80</v>
      </c>
      <c r="P33" s="26" t="s">
        <v>80</v>
      </c>
    </row>
    <row r="34" spans="1:16">
      <c r="A34" s="9" t="s">
        <v>183</v>
      </c>
      <c r="B34" s="15">
        <v>32.887332289845297</v>
      </c>
      <c r="C34" s="15">
        <v>33.098584543835798</v>
      </c>
      <c r="D34" s="24">
        <v>32.711696335377702</v>
      </c>
      <c r="E34" s="15">
        <v>42.743511368881798</v>
      </c>
      <c r="F34" s="15">
        <v>42.569452735242102</v>
      </c>
      <c r="G34" s="24">
        <v>42.891492851344502</v>
      </c>
      <c r="H34" s="15">
        <v>22.384604898869</v>
      </c>
      <c r="I34" s="15">
        <v>22.3046733845635</v>
      </c>
      <c r="J34" s="24">
        <v>22.4501109645825</v>
      </c>
      <c r="K34" s="20" t="s">
        <v>80</v>
      </c>
      <c r="L34" s="20" t="s">
        <v>80</v>
      </c>
      <c r="M34" s="26" t="s">
        <v>80</v>
      </c>
      <c r="N34" s="15">
        <v>40.171265657281097</v>
      </c>
      <c r="O34" s="20" t="s">
        <v>80</v>
      </c>
      <c r="P34" s="26" t="s">
        <v>80</v>
      </c>
    </row>
    <row r="35" spans="1:16">
      <c r="A35" s="9" t="s">
        <v>184</v>
      </c>
      <c r="B35" s="15">
        <v>22.886412456759999</v>
      </c>
      <c r="C35" s="15">
        <v>25.057465695095502</v>
      </c>
      <c r="D35" s="24">
        <v>21.0813902593062</v>
      </c>
      <c r="E35" s="15">
        <v>30.204762517049399</v>
      </c>
      <c r="F35" s="15">
        <v>30.987539696898001</v>
      </c>
      <c r="G35" s="24">
        <v>29.539259605244698</v>
      </c>
      <c r="H35" s="15">
        <v>15.1336872971328</v>
      </c>
      <c r="I35" s="15">
        <v>17.871104580699399</v>
      </c>
      <c r="J35" s="24">
        <v>12.8902988411468</v>
      </c>
      <c r="K35" s="20" t="s">
        <v>80</v>
      </c>
      <c r="L35" s="20" t="s">
        <v>80</v>
      </c>
      <c r="M35" s="26" t="s">
        <v>80</v>
      </c>
      <c r="N35" s="15">
        <v>25.941665544545302</v>
      </c>
      <c r="O35" s="20" t="s">
        <v>80</v>
      </c>
      <c r="P35" s="26" t="s">
        <v>80</v>
      </c>
    </row>
    <row r="36" spans="1:16">
      <c r="A36" s="9" t="s">
        <v>185</v>
      </c>
      <c r="B36" s="15">
        <v>21.813534940415</v>
      </c>
      <c r="C36" s="15">
        <v>24.721193261595001</v>
      </c>
      <c r="D36" s="24">
        <v>19.396096381255099</v>
      </c>
      <c r="E36" s="15">
        <v>11.4880233391376</v>
      </c>
      <c r="F36" s="15">
        <v>18.583790659000901</v>
      </c>
      <c r="G36" s="24">
        <v>5.4553311063725101</v>
      </c>
      <c r="H36" s="15">
        <v>32.876719452113697</v>
      </c>
      <c r="I36" s="15">
        <v>31.0341617636231</v>
      </c>
      <c r="J36" s="24">
        <v>34.386745955074304</v>
      </c>
      <c r="K36" s="20" t="s">
        <v>80</v>
      </c>
      <c r="L36" s="20" t="s">
        <v>80</v>
      </c>
      <c r="M36" s="26" t="s">
        <v>80</v>
      </c>
      <c r="N36" s="15">
        <v>25.2466014816038</v>
      </c>
      <c r="O36" s="20" t="s">
        <v>80</v>
      </c>
      <c r="P36" s="26" t="s">
        <v>80</v>
      </c>
    </row>
    <row r="37" spans="1:16">
      <c r="A37" s="9" t="s">
        <v>186</v>
      </c>
      <c r="B37" s="15">
        <v>24.6693147944533</v>
      </c>
      <c r="C37" s="15">
        <v>25.919829976048099</v>
      </c>
      <c r="D37" s="24">
        <v>23.629631556301899</v>
      </c>
      <c r="E37" s="15">
        <v>20.5020856012118</v>
      </c>
      <c r="F37" s="15">
        <v>24.344981085292499</v>
      </c>
      <c r="G37" s="24">
        <v>17.234925801136999</v>
      </c>
      <c r="H37" s="15">
        <v>29.263515667670202</v>
      </c>
      <c r="I37" s="15">
        <v>27.302517263095499</v>
      </c>
      <c r="J37" s="24">
        <v>30.8706075821692</v>
      </c>
      <c r="K37" s="20" t="s">
        <v>80</v>
      </c>
      <c r="L37" s="20" t="s">
        <v>80</v>
      </c>
      <c r="M37" s="26" t="s">
        <v>80</v>
      </c>
      <c r="N37" s="15">
        <v>23.1837691346892</v>
      </c>
      <c r="O37" s="20" t="s">
        <v>80</v>
      </c>
      <c r="P37" s="26" t="s">
        <v>80</v>
      </c>
    </row>
    <row r="38" spans="1:16">
      <c r="A38" s="9" t="s">
        <v>187</v>
      </c>
      <c r="B38" s="15">
        <v>29.316687539551801</v>
      </c>
      <c r="C38" s="15">
        <v>39.359726867844699</v>
      </c>
      <c r="D38" s="24">
        <v>20.9668651596232</v>
      </c>
      <c r="E38" s="15">
        <v>33.794788065184299</v>
      </c>
      <c r="F38" s="15">
        <v>44.529293195296198</v>
      </c>
      <c r="G38" s="24">
        <v>24.668507170977801</v>
      </c>
      <c r="H38" s="15">
        <v>24.164345534026499</v>
      </c>
      <c r="I38" s="15">
        <v>32.857250577226701</v>
      </c>
      <c r="J38" s="24">
        <v>17.040271707222502</v>
      </c>
      <c r="K38" s="20" t="s">
        <v>80</v>
      </c>
      <c r="L38" s="20" t="s">
        <v>80</v>
      </c>
      <c r="M38" s="26" t="s">
        <v>80</v>
      </c>
      <c r="N38" s="15">
        <v>38.748702599936301</v>
      </c>
      <c r="O38" s="15">
        <v>55.131510572731898</v>
      </c>
      <c r="P38" s="26" t="s">
        <v>80</v>
      </c>
    </row>
    <row r="39" spans="1:16">
      <c r="A39" s="9" t="s">
        <v>188</v>
      </c>
      <c r="B39" s="15">
        <v>32.511699626252501</v>
      </c>
      <c r="C39" s="15">
        <v>32.256241970462703</v>
      </c>
      <c r="D39" s="24">
        <v>32.7240881255616</v>
      </c>
      <c r="E39" s="15">
        <v>41.906198273728101</v>
      </c>
      <c r="F39" s="15">
        <v>42.207541258806998</v>
      </c>
      <c r="G39" s="24">
        <v>41.650001952240203</v>
      </c>
      <c r="H39" s="15">
        <v>22.655973661926101</v>
      </c>
      <c r="I39" s="15">
        <v>21.466613515048699</v>
      </c>
      <c r="J39" s="24">
        <v>23.630686885055201</v>
      </c>
      <c r="K39" s="20" t="s">
        <v>80</v>
      </c>
      <c r="L39" s="20" t="s">
        <v>80</v>
      </c>
      <c r="M39" s="26" t="s">
        <v>80</v>
      </c>
      <c r="N39" s="15">
        <v>29.249185038383398</v>
      </c>
      <c r="O39" s="20" t="s">
        <v>80</v>
      </c>
      <c r="P39" s="26" t="s">
        <v>80</v>
      </c>
    </row>
    <row r="40" spans="1:16">
      <c r="A40" s="9" t="s">
        <v>189</v>
      </c>
      <c r="B40" s="15">
        <v>19.8008084227843</v>
      </c>
      <c r="C40" s="15">
        <v>23.6476010830301</v>
      </c>
      <c r="D40" s="24">
        <v>16.6025698820889</v>
      </c>
      <c r="E40" s="15">
        <v>11.9203266474966</v>
      </c>
      <c r="F40" s="15">
        <v>16.796252801821598</v>
      </c>
      <c r="G40" s="24">
        <v>7.77490297268265</v>
      </c>
      <c r="H40" s="15">
        <v>27.4027294821786</v>
      </c>
      <c r="I40" s="15">
        <v>30.435988860075099</v>
      </c>
      <c r="J40" s="24">
        <v>24.9168903252348</v>
      </c>
      <c r="K40" s="20" t="s">
        <v>80</v>
      </c>
      <c r="L40" s="20" t="s">
        <v>80</v>
      </c>
      <c r="M40" s="26" t="s">
        <v>80</v>
      </c>
      <c r="N40" s="15">
        <v>34.328484980246003</v>
      </c>
      <c r="O40" s="20" t="s">
        <v>80</v>
      </c>
      <c r="P40" s="26" t="s">
        <v>80</v>
      </c>
    </row>
    <row r="41" spans="1:16">
      <c r="A41" s="9" t="s">
        <v>190</v>
      </c>
      <c r="B41" s="15">
        <v>22.7113943611457</v>
      </c>
      <c r="C41" s="15">
        <v>25.074215101706301</v>
      </c>
      <c r="D41" s="24">
        <v>20.746935908442801</v>
      </c>
      <c r="E41" s="15">
        <v>25.5102598294683</v>
      </c>
      <c r="F41" s="15">
        <v>29.698050198254901</v>
      </c>
      <c r="G41" s="24">
        <v>21.949876675484798</v>
      </c>
      <c r="H41" s="15">
        <v>19.9531811987023</v>
      </c>
      <c r="I41" s="15">
        <v>20.004286357396602</v>
      </c>
      <c r="J41" s="24">
        <v>19.911299121115999</v>
      </c>
      <c r="K41" s="20" t="s">
        <v>80</v>
      </c>
      <c r="L41" s="20" t="s">
        <v>80</v>
      </c>
      <c r="M41" s="26" t="s">
        <v>80</v>
      </c>
      <c r="N41" s="20" t="s">
        <v>80</v>
      </c>
      <c r="O41" s="20" t="s">
        <v>80</v>
      </c>
      <c r="P41" s="26" t="s">
        <v>80</v>
      </c>
    </row>
    <row r="42" spans="1:16">
      <c r="A42" s="9" t="s">
        <v>191</v>
      </c>
      <c r="B42" s="15">
        <v>11.2579435001868</v>
      </c>
      <c r="C42" s="15">
        <v>13.920774707755699</v>
      </c>
      <c r="D42" s="24">
        <v>9.0440551657764594</v>
      </c>
      <c r="E42" s="15">
        <v>11.4523858469601</v>
      </c>
      <c r="F42" s="15">
        <v>14.26979042642</v>
      </c>
      <c r="G42" s="24">
        <v>9.0570797501147702</v>
      </c>
      <c r="H42" s="15">
        <v>10.759191120261899</v>
      </c>
      <c r="I42" s="15">
        <v>12.927916317797701</v>
      </c>
      <c r="J42" s="24">
        <v>8.9818614082134207</v>
      </c>
      <c r="K42" s="20" t="s">
        <v>80</v>
      </c>
      <c r="L42" s="20" t="s">
        <v>80</v>
      </c>
      <c r="M42" s="26" t="s">
        <v>80</v>
      </c>
      <c r="N42" s="20" t="s">
        <v>80</v>
      </c>
      <c r="O42" s="20" t="s">
        <v>80</v>
      </c>
      <c r="P42" s="26" t="s">
        <v>80</v>
      </c>
    </row>
    <row r="43" spans="1:16">
      <c r="A43" s="9" t="s">
        <v>192</v>
      </c>
      <c r="B43" s="15">
        <v>21.641246590602201</v>
      </c>
      <c r="C43" s="15">
        <v>25.2593417801633</v>
      </c>
      <c r="D43" s="24">
        <v>18.6331480261167</v>
      </c>
      <c r="E43" s="15">
        <v>30.507163623521301</v>
      </c>
      <c r="F43" s="15">
        <v>35.396978367329403</v>
      </c>
      <c r="G43" s="24">
        <v>26.349932122700402</v>
      </c>
      <c r="H43" s="15">
        <v>12.2857768708178</v>
      </c>
      <c r="I43" s="15">
        <v>13.7638378282434</v>
      </c>
      <c r="J43" s="24">
        <v>11.074465424427</v>
      </c>
      <c r="K43" s="20" t="s">
        <v>80</v>
      </c>
      <c r="L43" s="20" t="s">
        <v>80</v>
      </c>
      <c r="M43" s="26" t="s">
        <v>80</v>
      </c>
      <c r="N43" s="15">
        <v>23.212151112952998</v>
      </c>
      <c r="O43" s="20" t="s">
        <v>80</v>
      </c>
      <c r="P43" s="26" t="s">
        <v>80</v>
      </c>
    </row>
    <row r="44" spans="1:16">
      <c r="A44" s="9" t="s">
        <v>193</v>
      </c>
      <c r="B44" s="15">
        <v>37.259075046539699</v>
      </c>
      <c r="C44" s="15">
        <v>43.961194615337597</v>
      </c>
      <c r="D44" s="24">
        <v>31.686906488874801</v>
      </c>
      <c r="E44" s="15">
        <v>40.3700184928542</v>
      </c>
      <c r="F44" s="15">
        <v>49.536563444814597</v>
      </c>
      <c r="G44" s="24">
        <v>32.5767888053213</v>
      </c>
      <c r="H44" s="15">
        <v>34.242171071415299</v>
      </c>
      <c r="I44" s="15">
        <v>38.239123057026397</v>
      </c>
      <c r="J44" s="24">
        <v>30.966559421894502</v>
      </c>
      <c r="K44" s="15">
        <v>38.176166842907101</v>
      </c>
      <c r="L44" s="20" t="s">
        <v>80</v>
      </c>
      <c r="M44" s="26" t="s">
        <v>80</v>
      </c>
      <c r="N44" s="15">
        <v>30.052358555052599</v>
      </c>
      <c r="O44" s="20" t="s">
        <v>80</v>
      </c>
      <c r="P44" s="26" t="s">
        <v>80</v>
      </c>
    </row>
    <row r="45" spans="1:16">
      <c r="A45" s="9" t="s">
        <v>194</v>
      </c>
      <c r="B45" s="15">
        <v>12.6703638148047</v>
      </c>
      <c r="C45" s="15">
        <v>16.445901821154202</v>
      </c>
      <c r="D45" s="24">
        <v>9.5313666734833706</v>
      </c>
      <c r="E45" s="15">
        <v>13.942233109980499</v>
      </c>
      <c r="F45" s="15">
        <v>18.218399318025199</v>
      </c>
      <c r="G45" s="24">
        <v>10.306714425895301</v>
      </c>
      <c r="H45" s="15">
        <v>11.0852586966485</v>
      </c>
      <c r="I45" s="15">
        <v>14.091464096613301</v>
      </c>
      <c r="J45" s="24">
        <v>8.6215910157690292</v>
      </c>
      <c r="K45" s="20" t="s">
        <v>80</v>
      </c>
      <c r="L45" s="20" t="s">
        <v>80</v>
      </c>
      <c r="M45" s="26" t="s">
        <v>80</v>
      </c>
      <c r="N45" s="20" t="s">
        <v>80</v>
      </c>
      <c r="O45" s="20" t="s">
        <v>80</v>
      </c>
      <c r="P45" s="26" t="s">
        <v>80</v>
      </c>
    </row>
    <row r="46" spans="1:16">
      <c r="A46" s="9" t="s">
        <v>195</v>
      </c>
      <c r="B46" s="15">
        <v>25.765374990607501</v>
      </c>
      <c r="C46" s="15">
        <v>32.147567478684898</v>
      </c>
      <c r="D46" s="24">
        <v>20.459195065588801</v>
      </c>
      <c r="E46" s="15">
        <v>22.063679584416999</v>
      </c>
      <c r="F46" s="15">
        <v>30.473246468000699</v>
      </c>
      <c r="G46" s="24">
        <v>14.9140188736579</v>
      </c>
      <c r="H46" s="15">
        <v>28.812890033348701</v>
      </c>
      <c r="I46" s="15">
        <v>33.289362331342602</v>
      </c>
      <c r="J46" s="24">
        <v>25.1442983512738</v>
      </c>
      <c r="K46" s="20" t="s">
        <v>80</v>
      </c>
      <c r="L46" s="20" t="s">
        <v>80</v>
      </c>
      <c r="M46" s="26" t="s">
        <v>80</v>
      </c>
      <c r="N46" s="15">
        <v>41.894187787979199</v>
      </c>
      <c r="O46" s="20" t="s">
        <v>80</v>
      </c>
      <c r="P46" s="26" t="s">
        <v>80</v>
      </c>
    </row>
    <row r="47" spans="1:16">
      <c r="A47" s="9" t="s">
        <v>196</v>
      </c>
      <c r="B47" s="15">
        <v>22.175114244346702</v>
      </c>
      <c r="C47" s="15">
        <v>23.6232507250017</v>
      </c>
      <c r="D47" s="24">
        <v>20.971127881244499</v>
      </c>
      <c r="E47" s="15">
        <v>22.824730065133402</v>
      </c>
      <c r="F47" s="15">
        <v>25.5782864938808</v>
      </c>
      <c r="G47" s="24">
        <v>20.483706503990799</v>
      </c>
      <c r="H47" s="15">
        <v>21.598246660177299</v>
      </c>
      <c r="I47" s="15">
        <v>21.417308532761901</v>
      </c>
      <c r="J47" s="24">
        <v>21.746530412430999</v>
      </c>
      <c r="K47" s="20" t="s">
        <v>80</v>
      </c>
      <c r="L47" s="20" t="s">
        <v>80</v>
      </c>
      <c r="M47" s="26" t="s">
        <v>80</v>
      </c>
      <c r="N47" s="15">
        <v>23.454954688711901</v>
      </c>
      <c r="O47" s="20" t="s">
        <v>80</v>
      </c>
      <c r="P47" s="26" t="s">
        <v>80</v>
      </c>
    </row>
    <row r="48" spans="1:16">
      <c r="A48" s="9" t="s">
        <v>197</v>
      </c>
      <c r="B48" s="15">
        <v>12.777033121796901</v>
      </c>
      <c r="C48" s="15">
        <v>15.8146152090371</v>
      </c>
      <c r="D48" s="24">
        <v>10.2515754327629</v>
      </c>
      <c r="E48" s="15">
        <v>14.2767214799521</v>
      </c>
      <c r="F48" s="15">
        <v>17.233049115898101</v>
      </c>
      <c r="G48" s="24">
        <v>11.763305528874399</v>
      </c>
      <c r="H48" s="15">
        <v>11.1530114106793</v>
      </c>
      <c r="I48" s="15">
        <v>13.9008475594025</v>
      </c>
      <c r="J48" s="24">
        <v>8.9010844092705206</v>
      </c>
      <c r="K48" s="20" t="s">
        <v>80</v>
      </c>
      <c r="L48" s="20" t="s">
        <v>80</v>
      </c>
      <c r="M48" s="26" t="s">
        <v>80</v>
      </c>
      <c r="N48" s="20" t="s">
        <v>80</v>
      </c>
      <c r="O48" s="20" t="s">
        <v>80</v>
      </c>
      <c r="P48" s="26" t="s">
        <v>80</v>
      </c>
    </row>
    <row r="49" spans="1:16">
      <c r="A49" s="9" t="s">
        <v>198</v>
      </c>
      <c r="B49" s="15">
        <v>30.706293218390002</v>
      </c>
      <c r="C49" s="15">
        <v>32.802704220650497</v>
      </c>
      <c r="D49" s="24">
        <v>28.963328869451299</v>
      </c>
      <c r="E49" s="15">
        <v>27.8589648044555</v>
      </c>
      <c r="F49" s="15">
        <v>31.982094947821899</v>
      </c>
      <c r="G49" s="24">
        <v>24.353554597311799</v>
      </c>
      <c r="H49" s="15">
        <v>33.9891536015433</v>
      </c>
      <c r="I49" s="15">
        <v>33.569799779539103</v>
      </c>
      <c r="J49" s="24">
        <v>34.3328255469591</v>
      </c>
      <c r="K49" s="20" t="s">
        <v>80</v>
      </c>
      <c r="L49" s="20" t="s">
        <v>80</v>
      </c>
      <c r="M49" s="26" t="s">
        <v>80</v>
      </c>
      <c r="N49" s="15">
        <v>30.074782281679301</v>
      </c>
      <c r="O49" s="20" t="s">
        <v>80</v>
      </c>
      <c r="P49" s="26" t="s">
        <v>80</v>
      </c>
    </row>
    <row r="50" spans="1:16">
      <c r="A50" s="9" t="s">
        <v>199</v>
      </c>
      <c r="B50" s="15">
        <v>47.691560938583898</v>
      </c>
      <c r="C50" s="15">
        <v>57.982421924243397</v>
      </c>
      <c r="D50" s="24">
        <v>39.1356986584547</v>
      </c>
      <c r="E50" s="15">
        <v>45.663118411113999</v>
      </c>
      <c r="F50" s="15">
        <v>55.024947776174898</v>
      </c>
      <c r="G50" s="24">
        <v>37.703861469728899</v>
      </c>
      <c r="H50" s="15">
        <v>50.224742417470502</v>
      </c>
      <c r="I50" s="15">
        <v>61.093576200826199</v>
      </c>
      <c r="J50" s="24">
        <v>41.317435378098601</v>
      </c>
      <c r="K50" s="20" t="s">
        <v>80</v>
      </c>
      <c r="L50" s="20" t="s">
        <v>80</v>
      </c>
      <c r="M50" s="26" t="s">
        <v>80</v>
      </c>
      <c r="N50" s="15">
        <v>47.606214942635603</v>
      </c>
      <c r="O50" s="15">
        <v>57.517031406041902</v>
      </c>
      <c r="P50" s="26" t="s">
        <v>80</v>
      </c>
    </row>
    <row r="51" spans="1:16">
      <c r="A51" s="9" t="s">
        <v>200</v>
      </c>
      <c r="B51" s="15">
        <v>35.092449938665098</v>
      </c>
      <c r="C51" s="15">
        <v>36.223039154853097</v>
      </c>
      <c r="D51" s="24">
        <v>34.152473619620103</v>
      </c>
      <c r="E51" s="15">
        <v>39.393078761239501</v>
      </c>
      <c r="F51" s="15">
        <v>42.3458955776198</v>
      </c>
      <c r="G51" s="24">
        <v>36.882647645059897</v>
      </c>
      <c r="H51" s="15">
        <v>31.130398684817902</v>
      </c>
      <c r="I51" s="15">
        <v>30.049650067241402</v>
      </c>
      <c r="J51" s="24">
        <v>32.016101784249997</v>
      </c>
      <c r="K51" s="20" t="s">
        <v>80</v>
      </c>
      <c r="L51" s="20" t="s">
        <v>80</v>
      </c>
      <c r="M51" s="26" t="s">
        <v>80</v>
      </c>
      <c r="N51" s="15">
        <v>31.665682942334399</v>
      </c>
      <c r="O51" s="20" t="s">
        <v>80</v>
      </c>
      <c r="P51" s="26" t="s">
        <v>80</v>
      </c>
    </row>
    <row r="52" spans="1:16">
      <c r="A52" s="9" t="s">
        <v>201</v>
      </c>
      <c r="B52" s="15">
        <v>27.729393878407901</v>
      </c>
      <c r="C52" s="15">
        <v>27.871124769760101</v>
      </c>
      <c r="D52" s="24">
        <v>27.611558258148399</v>
      </c>
      <c r="E52" s="15">
        <v>31.8115251252995</v>
      </c>
      <c r="F52" s="15">
        <v>35.035929984398898</v>
      </c>
      <c r="G52" s="24">
        <v>29.070194798087801</v>
      </c>
      <c r="H52" s="15">
        <v>22.841735166931699</v>
      </c>
      <c r="I52" s="15">
        <v>19.4090442171786</v>
      </c>
      <c r="J52" s="24">
        <v>25.654919439520899</v>
      </c>
      <c r="K52" s="20" t="s">
        <v>80</v>
      </c>
      <c r="L52" s="20" t="s">
        <v>80</v>
      </c>
      <c r="M52" s="26" t="s">
        <v>80</v>
      </c>
      <c r="N52" s="15">
        <v>35.831500701788698</v>
      </c>
      <c r="O52" s="20" t="s">
        <v>80</v>
      </c>
      <c r="P52" s="26" t="s">
        <v>80</v>
      </c>
    </row>
    <row r="53" spans="1:16">
      <c r="A53" s="9" t="s">
        <v>202</v>
      </c>
      <c r="B53" s="15">
        <v>38.034541646619502</v>
      </c>
      <c r="C53" s="15">
        <v>40.462545216656203</v>
      </c>
      <c r="D53" s="24">
        <v>36.015889933235698</v>
      </c>
      <c r="E53" s="15">
        <v>39.732065674942298</v>
      </c>
      <c r="F53" s="15">
        <v>43.925269435461601</v>
      </c>
      <c r="G53" s="24">
        <v>36.167080153831101</v>
      </c>
      <c r="H53" s="15">
        <v>36.776414962077197</v>
      </c>
      <c r="I53" s="15">
        <v>36.736414837979197</v>
      </c>
      <c r="J53" s="24">
        <v>36.809196159587103</v>
      </c>
      <c r="K53" s="20" t="s">
        <v>80</v>
      </c>
      <c r="L53" s="20" t="s">
        <v>80</v>
      </c>
      <c r="M53" s="26" t="s">
        <v>80</v>
      </c>
      <c r="N53" s="15">
        <v>36.333498152523902</v>
      </c>
      <c r="O53" s="15">
        <v>43.354871307382503</v>
      </c>
      <c r="P53" s="26" t="s">
        <v>80</v>
      </c>
    </row>
    <row r="54" spans="1:16">
      <c r="A54" s="9" t="s">
        <v>203</v>
      </c>
      <c r="B54" s="15">
        <v>40.044988584778501</v>
      </c>
      <c r="C54" s="15">
        <v>50.145556345098001</v>
      </c>
      <c r="D54" s="24">
        <v>31.647336840300198</v>
      </c>
      <c r="E54" s="15">
        <v>35.819506273419599</v>
      </c>
      <c r="F54" s="15">
        <v>46.710389057788802</v>
      </c>
      <c r="G54" s="24">
        <v>26.560275943628302</v>
      </c>
      <c r="H54" s="15">
        <v>44.8155047456886</v>
      </c>
      <c r="I54" s="15">
        <v>54.212486704026198</v>
      </c>
      <c r="J54" s="24">
        <v>37.114420598599096</v>
      </c>
      <c r="K54" s="15">
        <v>35.729351496304503</v>
      </c>
      <c r="L54" s="20" t="s">
        <v>80</v>
      </c>
      <c r="M54" s="26" t="s">
        <v>80</v>
      </c>
      <c r="N54" s="15">
        <v>37.658800433186002</v>
      </c>
      <c r="O54" s="15">
        <v>46.727553040355701</v>
      </c>
      <c r="P54" s="26" t="s">
        <v>80</v>
      </c>
    </row>
    <row r="55" spans="1:16">
      <c r="A55" s="9" t="s">
        <v>204</v>
      </c>
      <c r="B55" s="15">
        <v>12.085223643947399</v>
      </c>
      <c r="C55" s="15">
        <v>14.912298044015699</v>
      </c>
      <c r="D55" s="24">
        <v>9.7347828736009099</v>
      </c>
      <c r="E55" s="15">
        <v>13.419254877757201</v>
      </c>
      <c r="F55" s="15">
        <v>16.992636269245999</v>
      </c>
      <c r="G55" s="24">
        <v>10.3812310540621</v>
      </c>
      <c r="H55" s="15">
        <v>10.893355009277901</v>
      </c>
      <c r="I55" s="15">
        <v>12.7501777604938</v>
      </c>
      <c r="J55" s="24">
        <v>9.3716378966195908</v>
      </c>
      <c r="K55" s="20" t="s">
        <v>80</v>
      </c>
      <c r="L55" s="20" t="s">
        <v>80</v>
      </c>
      <c r="M55" s="26" t="s">
        <v>80</v>
      </c>
      <c r="N55" s="20" t="s">
        <v>80</v>
      </c>
      <c r="O55" s="20" t="s">
        <v>80</v>
      </c>
      <c r="P55" s="26" t="s">
        <v>80</v>
      </c>
    </row>
    <row r="56" spans="1:16">
      <c r="A56" s="9" t="s">
        <v>205</v>
      </c>
      <c r="B56" s="15">
        <v>18.2332473675465</v>
      </c>
      <c r="C56" s="15">
        <v>19.216879981578899</v>
      </c>
      <c r="D56" s="24">
        <v>17.415451345266899</v>
      </c>
      <c r="E56" s="15">
        <v>16.8711068367389</v>
      </c>
      <c r="F56" s="15">
        <v>21.032460154237999</v>
      </c>
      <c r="G56" s="24">
        <v>13.3331999826071</v>
      </c>
      <c r="H56" s="15">
        <v>19.693912409698701</v>
      </c>
      <c r="I56" s="15">
        <v>16.995389768300601</v>
      </c>
      <c r="J56" s="24">
        <v>21.905425640901001</v>
      </c>
      <c r="K56" s="20" t="s">
        <v>80</v>
      </c>
      <c r="L56" s="20" t="s">
        <v>80</v>
      </c>
      <c r="M56" s="26" t="s">
        <v>80</v>
      </c>
      <c r="N56" s="20" t="s">
        <v>80</v>
      </c>
      <c r="O56" s="20" t="s">
        <v>80</v>
      </c>
      <c r="P56" s="26" t="s">
        <v>80</v>
      </c>
    </row>
    <row r="57" spans="1:16">
      <c r="A57" s="9" t="s">
        <v>206</v>
      </c>
      <c r="B57" s="15">
        <v>14.644579730549401</v>
      </c>
      <c r="C57" s="15">
        <v>18.045068723040899</v>
      </c>
      <c r="D57" s="24">
        <v>11.8173998137868</v>
      </c>
      <c r="E57" s="15">
        <v>13.7998701617247</v>
      </c>
      <c r="F57" s="15">
        <v>17.205793838441299</v>
      </c>
      <c r="G57" s="24">
        <v>10.904215839407399</v>
      </c>
      <c r="H57" s="15">
        <v>15.6773324165266</v>
      </c>
      <c r="I57" s="15">
        <v>19.064862433344999</v>
      </c>
      <c r="J57" s="24">
        <v>12.9011587656701</v>
      </c>
      <c r="K57" s="20" t="s">
        <v>80</v>
      </c>
      <c r="L57" s="20" t="s">
        <v>80</v>
      </c>
      <c r="M57" s="26" t="s">
        <v>80</v>
      </c>
      <c r="N57" s="20" t="s">
        <v>80</v>
      </c>
      <c r="O57" s="20" t="s">
        <v>80</v>
      </c>
      <c r="P57" s="26" t="s">
        <v>80</v>
      </c>
    </row>
    <row r="58" spans="1:16">
      <c r="A58" s="9" t="s">
        <v>207</v>
      </c>
      <c r="B58" s="15">
        <v>29.0339903364486</v>
      </c>
      <c r="C58" s="15">
        <v>25.963436500429101</v>
      </c>
      <c r="D58" s="24">
        <v>31.586860867040301</v>
      </c>
      <c r="E58" s="15">
        <v>38.9470941311804</v>
      </c>
      <c r="F58" s="15">
        <v>34.229810824310697</v>
      </c>
      <c r="G58" s="24">
        <v>42.957642544379098</v>
      </c>
      <c r="H58" s="15">
        <v>18.287077992976901</v>
      </c>
      <c r="I58" s="15">
        <v>16.5049612455811</v>
      </c>
      <c r="J58" s="24">
        <v>19.7475714889184</v>
      </c>
      <c r="K58" s="20" t="s">
        <v>80</v>
      </c>
      <c r="L58" s="20" t="s">
        <v>80</v>
      </c>
      <c r="M58" s="26" t="s">
        <v>80</v>
      </c>
      <c r="N58" s="15">
        <v>32.418259035398499</v>
      </c>
      <c r="O58" s="20" t="s">
        <v>80</v>
      </c>
      <c r="P58" s="26" t="s">
        <v>80</v>
      </c>
    </row>
    <row r="59" spans="1:16">
      <c r="A59" s="9" t="s">
        <v>208</v>
      </c>
      <c r="B59" s="15">
        <v>3.3404974765266902</v>
      </c>
      <c r="C59" s="15">
        <v>3.8537169568393499</v>
      </c>
      <c r="D59" s="24">
        <v>2.91380478296551</v>
      </c>
      <c r="E59" s="15">
        <v>3.71368482389583</v>
      </c>
      <c r="F59" s="15">
        <v>3.9849282927307002</v>
      </c>
      <c r="G59" s="24">
        <v>3.4830785633089301</v>
      </c>
      <c r="H59" s="15">
        <v>2.5095642682664501</v>
      </c>
      <c r="I59" s="15">
        <v>3.4281823178910802</v>
      </c>
      <c r="J59" s="24">
        <v>1.75673161087079</v>
      </c>
      <c r="K59" s="20" t="s">
        <v>80</v>
      </c>
      <c r="L59" s="20" t="s">
        <v>80</v>
      </c>
      <c r="M59" s="26" t="s">
        <v>80</v>
      </c>
      <c r="N59" s="20" t="s">
        <v>80</v>
      </c>
      <c r="O59" s="20" t="s">
        <v>80</v>
      </c>
      <c r="P59" s="26" t="s">
        <v>80</v>
      </c>
    </row>
    <row r="60" spans="1:16">
      <c r="A60" s="9" t="s">
        <v>209</v>
      </c>
      <c r="B60" s="15">
        <v>2.9975216306678698</v>
      </c>
      <c r="C60" s="15">
        <v>3.3149742460288198</v>
      </c>
      <c r="D60" s="24">
        <v>2.7335902782494399</v>
      </c>
      <c r="E60" s="15">
        <v>3.92024729487557</v>
      </c>
      <c r="F60" s="15">
        <v>3.9691156124906199</v>
      </c>
      <c r="G60" s="24">
        <v>3.8787003406399898</v>
      </c>
      <c r="H60" s="15">
        <v>1.7402434214367</v>
      </c>
      <c r="I60" s="15">
        <v>2.4452967843299298</v>
      </c>
      <c r="J60" s="26" t="s">
        <v>80</v>
      </c>
      <c r="K60" s="20" t="s">
        <v>80</v>
      </c>
      <c r="L60" s="20" t="s">
        <v>80</v>
      </c>
      <c r="M60" s="26" t="s">
        <v>80</v>
      </c>
      <c r="N60" s="20" t="s">
        <v>80</v>
      </c>
      <c r="O60" s="20" t="s">
        <v>80</v>
      </c>
      <c r="P60" s="26" t="s">
        <v>80</v>
      </c>
    </row>
    <row r="61" spans="1:16">
      <c r="A61" s="9" t="s">
        <v>210</v>
      </c>
      <c r="B61" s="15">
        <v>3.97114197208959</v>
      </c>
      <c r="C61" s="15">
        <v>4.7792697983107502</v>
      </c>
      <c r="D61" s="24">
        <v>3.2992613203614698</v>
      </c>
      <c r="E61" s="15">
        <v>4.4377537936344602</v>
      </c>
      <c r="F61" s="15">
        <v>4.9426566153180396</v>
      </c>
      <c r="G61" s="24">
        <v>4.0084946038432099</v>
      </c>
      <c r="H61" s="15">
        <v>3.1863194840938598</v>
      </c>
      <c r="I61" s="15">
        <v>4.5283946086887203</v>
      </c>
      <c r="J61" s="24">
        <v>2.0864521530674098</v>
      </c>
      <c r="K61" s="20" t="s">
        <v>80</v>
      </c>
      <c r="L61" s="20" t="s">
        <v>80</v>
      </c>
      <c r="M61" s="26" t="s">
        <v>80</v>
      </c>
      <c r="N61" s="20" t="s">
        <v>80</v>
      </c>
      <c r="O61" s="20" t="s">
        <v>80</v>
      </c>
      <c r="P61" s="26" t="s">
        <v>80</v>
      </c>
    </row>
    <row r="62" spans="1:16">
      <c r="A62" s="9" t="s">
        <v>211</v>
      </c>
      <c r="B62" s="15">
        <v>11.5087489391376</v>
      </c>
      <c r="C62" s="15">
        <v>13.8772414657886</v>
      </c>
      <c r="D62" s="24">
        <v>9.5395749411815007</v>
      </c>
      <c r="E62" s="15">
        <v>12.084918646612399</v>
      </c>
      <c r="F62" s="15">
        <v>15.330007811174299</v>
      </c>
      <c r="G62" s="24">
        <v>9.3260028993496107</v>
      </c>
      <c r="H62" s="15">
        <v>10.8607871634643</v>
      </c>
      <c r="I62" s="15">
        <v>12.0661661074588</v>
      </c>
      <c r="J62" s="24">
        <v>9.8729460972594705</v>
      </c>
      <c r="K62" s="20" t="s">
        <v>80</v>
      </c>
      <c r="L62" s="20" t="s">
        <v>80</v>
      </c>
      <c r="M62" s="26" t="s">
        <v>80</v>
      </c>
      <c r="N62" s="20" t="s">
        <v>80</v>
      </c>
      <c r="O62" s="20" t="s">
        <v>80</v>
      </c>
      <c r="P62" s="26" t="s">
        <v>80</v>
      </c>
    </row>
    <row r="63" spans="1:16">
      <c r="A63" s="9" t="s">
        <v>212</v>
      </c>
      <c r="B63" s="15">
        <v>17.5863311644455</v>
      </c>
      <c r="C63" s="15">
        <v>20.965400726892099</v>
      </c>
      <c r="D63" s="24">
        <v>14.776959446028799</v>
      </c>
      <c r="E63" s="15">
        <v>22.578203014149601</v>
      </c>
      <c r="F63" s="15">
        <v>28.425230407509499</v>
      </c>
      <c r="G63" s="24">
        <v>17.6071667398983</v>
      </c>
      <c r="H63" s="15">
        <v>12.339937459289599</v>
      </c>
      <c r="I63" s="15">
        <v>12.6192370768303</v>
      </c>
      <c r="J63" s="24">
        <v>12.1110437712452</v>
      </c>
      <c r="K63" s="20" t="s">
        <v>80</v>
      </c>
      <c r="L63" s="20" t="s">
        <v>80</v>
      </c>
      <c r="M63" s="26" t="s">
        <v>80</v>
      </c>
      <c r="N63" s="20" t="s">
        <v>80</v>
      </c>
      <c r="O63" s="20" t="s">
        <v>80</v>
      </c>
      <c r="P63" s="26" t="s">
        <v>80</v>
      </c>
    </row>
    <row r="64" spans="1:16">
      <c r="A64" s="11" t="s">
        <v>213</v>
      </c>
      <c r="B64" s="16">
        <v>4.2489882710255902</v>
      </c>
      <c r="C64" s="16">
        <v>6.8732513593103501</v>
      </c>
      <c r="D64" s="25">
        <v>2.0671656226117001</v>
      </c>
      <c r="E64" s="16">
        <v>3.9553457903138098</v>
      </c>
      <c r="F64" s="16">
        <v>6.0783565189234103</v>
      </c>
      <c r="G64" s="25">
        <v>2.1504007075307201</v>
      </c>
      <c r="H64" s="16">
        <v>4.2536399193461296</v>
      </c>
      <c r="I64" s="16">
        <v>7.0664333888813102</v>
      </c>
      <c r="J64" s="25">
        <v>1.94847861401293</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J71"/>
  <sheetViews>
    <sheetView zoomScale="55" workbookViewId="0"/>
  </sheetViews>
  <sheetFormatPr defaultColWidth="10.90625" defaultRowHeight="15"/>
  <cols>
    <col min="1" max="1" width="51.6796875" customWidth="1"/>
    <col min="2" max="35" width="13.6796875" customWidth="1"/>
  </cols>
  <sheetData>
    <row r="1" spans="1:36" ht="39.9" customHeight="1">
      <c r="A1" s="10" t="s">
        <v>246</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45">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9" t="s">
        <v>152</v>
      </c>
      <c r="B3" s="36">
        <v>34.828357577601501</v>
      </c>
      <c r="C3" s="32">
        <v>34.203328019150398</v>
      </c>
      <c r="D3" s="32">
        <v>36.120136146779799</v>
      </c>
      <c r="E3" s="32">
        <v>38.935976497752698</v>
      </c>
      <c r="F3" s="15">
        <v>36.885245901639301</v>
      </c>
      <c r="G3" s="15">
        <v>37.288135593220296</v>
      </c>
      <c r="H3" s="15">
        <v>27.710843373494001</v>
      </c>
      <c r="I3" s="15">
        <v>33.3333333333333</v>
      </c>
      <c r="J3" s="15">
        <v>55.357142857142897</v>
      </c>
      <c r="K3" s="15">
        <v>66.6666666666667</v>
      </c>
      <c r="L3" s="15">
        <v>40.776699029126199</v>
      </c>
      <c r="M3" s="15">
        <v>39.506172839506199</v>
      </c>
      <c r="N3" s="15">
        <v>38.983050847457598</v>
      </c>
      <c r="O3" s="15">
        <v>35.087719298245602</v>
      </c>
      <c r="P3" s="15">
        <v>46.341463414634099</v>
      </c>
      <c r="Q3" s="15">
        <v>28.8343558282209</v>
      </c>
      <c r="R3" s="15">
        <v>36.363636363636402</v>
      </c>
      <c r="S3" s="15">
        <v>36.486486486486498</v>
      </c>
      <c r="T3" s="15">
        <v>34.7222222222222</v>
      </c>
      <c r="U3" s="15">
        <v>28.688524590163901</v>
      </c>
      <c r="V3" s="15">
        <v>43.243243243243199</v>
      </c>
      <c r="W3" s="15">
        <v>44.318181818181799</v>
      </c>
      <c r="X3" s="15">
        <v>34.7826086956522</v>
      </c>
      <c r="Y3" s="15">
        <v>53.548387096774199</v>
      </c>
      <c r="Z3" s="15">
        <v>50</v>
      </c>
      <c r="AA3" s="32">
        <v>33.779035409015897</v>
      </c>
      <c r="AB3" s="15">
        <v>33.548387096774199</v>
      </c>
      <c r="AC3" s="15">
        <v>32.807570977917997</v>
      </c>
      <c r="AD3" s="15">
        <v>35.193133047210303</v>
      </c>
      <c r="AE3" s="15">
        <v>38.5113268608414</v>
      </c>
      <c r="AF3" s="15">
        <v>36.617842876165099</v>
      </c>
      <c r="AG3" s="15">
        <v>31.921824104234499</v>
      </c>
      <c r="AH3" s="15">
        <v>32.384341637010699</v>
      </c>
      <c r="AI3" s="24">
        <v>44.4444444444444</v>
      </c>
      <c r="AJ3" s="38"/>
    </row>
    <row r="4" spans="1:36">
      <c r="A4" s="9" t="s">
        <v>153</v>
      </c>
      <c r="B4" s="36">
        <v>22.326511545589302</v>
      </c>
      <c r="C4" s="32">
        <v>22.5986150405306</v>
      </c>
      <c r="D4" s="32">
        <v>23.267564836124201</v>
      </c>
      <c r="E4" s="32">
        <v>27.933710061496001</v>
      </c>
      <c r="F4" s="15">
        <v>27.868852459016399</v>
      </c>
      <c r="G4" s="15">
        <v>27.118644067796598</v>
      </c>
      <c r="H4" s="15">
        <v>34.939759036144601</v>
      </c>
      <c r="I4" s="15">
        <v>15.5555555555556</v>
      </c>
      <c r="J4" s="15">
        <v>35.714285714285701</v>
      </c>
      <c r="K4" s="15">
        <v>38.8888888888889</v>
      </c>
      <c r="L4" s="15">
        <v>34.951456310679603</v>
      </c>
      <c r="M4" s="15">
        <v>22.2222222222222</v>
      </c>
      <c r="N4" s="15">
        <v>37.288135593220296</v>
      </c>
      <c r="O4" s="15">
        <v>29.824561403508799</v>
      </c>
      <c r="P4" s="15">
        <v>34.146341463414601</v>
      </c>
      <c r="Q4" s="15">
        <v>25.766871165644201</v>
      </c>
      <c r="R4" s="15">
        <v>15.909090909090899</v>
      </c>
      <c r="S4" s="15">
        <v>18.918918918918902</v>
      </c>
      <c r="T4" s="15">
        <v>29.1666666666667</v>
      </c>
      <c r="U4" s="15">
        <v>14.7540983606557</v>
      </c>
      <c r="V4" s="15">
        <v>29.729729729729701</v>
      </c>
      <c r="W4" s="15">
        <v>42.045454545454497</v>
      </c>
      <c r="X4" s="15">
        <v>20.1086956521739</v>
      </c>
      <c r="Y4" s="15">
        <v>50.9677419354839</v>
      </c>
      <c r="Z4" s="15">
        <v>30.7017543859649</v>
      </c>
      <c r="AA4" s="32">
        <v>19.388113351647199</v>
      </c>
      <c r="AB4" s="15">
        <v>23.2258064516129</v>
      </c>
      <c r="AC4" s="15">
        <v>27.1293375394322</v>
      </c>
      <c r="AD4" s="15">
        <v>18.454935622317599</v>
      </c>
      <c r="AE4" s="15">
        <v>25.242718446601899</v>
      </c>
      <c r="AF4" s="15">
        <v>19.8402130492676</v>
      </c>
      <c r="AG4" s="15">
        <v>15.960912052117299</v>
      </c>
      <c r="AH4" s="15">
        <v>32.028469750889698</v>
      </c>
      <c r="AI4" s="24">
        <v>44.4444444444444</v>
      </c>
      <c r="AJ4" s="38"/>
    </row>
    <row r="5" spans="1:36">
      <c r="A5" s="9" t="s">
        <v>154</v>
      </c>
      <c r="B5" s="36">
        <v>27.130291813127599</v>
      </c>
      <c r="C5" s="32">
        <v>26.8245205866098</v>
      </c>
      <c r="D5" s="32">
        <v>30.433908842839202</v>
      </c>
      <c r="E5" s="32">
        <v>23.949332021985601</v>
      </c>
      <c r="F5" s="15">
        <v>22.131147540983601</v>
      </c>
      <c r="G5" s="15">
        <v>22.033898305084701</v>
      </c>
      <c r="H5" s="15">
        <v>22.891566265060199</v>
      </c>
      <c r="I5" s="15">
        <v>18.8888888888889</v>
      </c>
      <c r="J5" s="15">
        <v>30.3571428571429</v>
      </c>
      <c r="K5" s="15">
        <v>19.4444444444444</v>
      </c>
      <c r="L5" s="15">
        <v>29.126213592233</v>
      </c>
      <c r="M5" s="15">
        <v>16.049382716049401</v>
      </c>
      <c r="N5" s="15">
        <v>16.9491525423729</v>
      </c>
      <c r="O5" s="15">
        <v>28.0701754385965</v>
      </c>
      <c r="P5" s="15">
        <v>34.146341463414601</v>
      </c>
      <c r="Q5" s="15">
        <v>15.9509202453988</v>
      </c>
      <c r="R5" s="15">
        <v>13.636363636363599</v>
      </c>
      <c r="S5" s="15">
        <v>17.5675675675676</v>
      </c>
      <c r="T5" s="15">
        <v>20.8333333333333</v>
      </c>
      <c r="U5" s="15">
        <v>42.622950819672099</v>
      </c>
      <c r="V5" s="15">
        <v>27.027027027027</v>
      </c>
      <c r="W5" s="15">
        <v>26.136363636363601</v>
      </c>
      <c r="X5" s="15">
        <v>25.543478260869598</v>
      </c>
      <c r="Y5" s="15">
        <v>36.129032258064498</v>
      </c>
      <c r="Z5" s="15">
        <v>25.4385964912281</v>
      </c>
      <c r="AA5" s="32">
        <v>35.8252115046336</v>
      </c>
      <c r="AB5" s="15">
        <v>27.096774193548399</v>
      </c>
      <c r="AC5" s="15">
        <v>42.586750788643499</v>
      </c>
      <c r="AD5" s="15">
        <v>38.1974248927039</v>
      </c>
      <c r="AE5" s="15">
        <v>27.508090614886701</v>
      </c>
      <c r="AF5" s="15">
        <v>38.748335552596501</v>
      </c>
      <c r="AG5" s="15">
        <v>25.407166123778499</v>
      </c>
      <c r="AH5" s="15">
        <v>44.1281138790036</v>
      </c>
      <c r="AI5" s="26" t="s">
        <v>80</v>
      </c>
      <c r="AJ5" s="38"/>
    </row>
    <row r="6" spans="1:36">
      <c r="A6" s="9" t="s">
        <v>155</v>
      </c>
      <c r="B6" s="36">
        <v>46.087348451858396</v>
      </c>
      <c r="C6" s="32">
        <v>44.554265255603802</v>
      </c>
      <c r="D6" s="32">
        <v>46.967345981856496</v>
      </c>
      <c r="E6" s="32">
        <v>55.317268448407603</v>
      </c>
      <c r="F6" s="15">
        <v>41.8032786885246</v>
      </c>
      <c r="G6" s="15">
        <v>50.847457627118601</v>
      </c>
      <c r="H6" s="15">
        <v>51.807228915662698</v>
      </c>
      <c r="I6" s="15">
        <v>46.6666666666667</v>
      </c>
      <c r="J6" s="15">
        <v>60.714285714285701</v>
      </c>
      <c r="K6" s="15">
        <v>50</v>
      </c>
      <c r="L6" s="15">
        <v>57.2815533980583</v>
      </c>
      <c r="M6" s="15">
        <v>44.4444444444444</v>
      </c>
      <c r="N6" s="15">
        <v>45.762711864406803</v>
      </c>
      <c r="O6" s="15">
        <v>45.614035087719301</v>
      </c>
      <c r="P6" s="15">
        <v>57.317073170731703</v>
      </c>
      <c r="Q6" s="15">
        <v>48.466257668711698</v>
      </c>
      <c r="R6" s="15">
        <v>56.818181818181799</v>
      </c>
      <c r="S6" s="15">
        <v>47.297297297297298</v>
      </c>
      <c r="T6" s="15">
        <v>66.6666666666667</v>
      </c>
      <c r="U6" s="15">
        <v>56.557377049180303</v>
      </c>
      <c r="V6" s="15">
        <v>52.702702702702702</v>
      </c>
      <c r="W6" s="15">
        <v>77.272727272727295</v>
      </c>
      <c r="X6" s="15">
        <v>50</v>
      </c>
      <c r="Y6" s="15">
        <v>64.516129032258107</v>
      </c>
      <c r="Z6" s="15">
        <v>61.403508771929801</v>
      </c>
      <c r="AA6" s="32">
        <v>40.025187616961603</v>
      </c>
      <c r="AB6" s="15">
        <v>31.612903225806502</v>
      </c>
      <c r="AC6" s="15">
        <v>42.902208201892698</v>
      </c>
      <c r="AD6" s="15">
        <v>45.493562231759697</v>
      </c>
      <c r="AE6" s="15">
        <v>51.456310679611697</v>
      </c>
      <c r="AF6" s="15">
        <v>44.074567243675098</v>
      </c>
      <c r="AG6" s="15">
        <v>37.785016286645003</v>
      </c>
      <c r="AH6" s="15">
        <v>56.939501779359396</v>
      </c>
      <c r="AI6" s="24">
        <v>77.7777777777778</v>
      </c>
      <c r="AJ6" s="38"/>
    </row>
    <row r="7" spans="1:36">
      <c r="A7" s="9" t="s">
        <v>156</v>
      </c>
      <c r="B7" s="36">
        <v>24.199306116889499</v>
      </c>
      <c r="C7" s="32">
        <v>23.590412781819101</v>
      </c>
      <c r="D7" s="32">
        <v>25.310925114613401</v>
      </c>
      <c r="E7" s="32">
        <v>32.987218971982401</v>
      </c>
      <c r="F7" s="15">
        <v>23.770491803278698</v>
      </c>
      <c r="G7" s="15">
        <v>28.8135593220339</v>
      </c>
      <c r="H7" s="15">
        <v>38.554216867469897</v>
      </c>
      <c r="I7" s="15">
        <v>28.8888888888889</v>
      </c>
      <c r="J7" s="15">
        <v>39.285714285714299</v>
      </c>
      <c r="K7" s="15">
        <v>30.5555555555556</v>
      </c>
      <c r="L7" s="15">
        <v>26.213592233009699</v>
      </c>
      <c r="M7" s="15">
        <v>18.518518518518501</v>
      </c>
      <c r="N7" s="15">
        <v>30.508474576271201</v>
      </c>
      <c r="O7" s="15">
        <v>29.824561403508799</v>
      </c>
      <c r="P7" s="15">
        <v>39.024390243902403</v>
      </c>
      <c r="Q7" s="15">
        <v>27.607361963190201</v>
      </c>
      <c r="R7" s="15">
        <v>28.409090909090899</v>
      </c>
      <c r="S7" s="15">
        <v>40.540540540540498</v>
      </c>
      <c r="T7" s="15">
        <v>37.5</v>
      </c>
      <c r="U7" s="15">
        <v>38.524590163934398</v>
      </c>
      <c r="V7" s="15">
        <v>36.486486486486498</v>
      </c>
      <c r="W7" s="15">
        <v>34.090909090909101</v>
      </c>
      <c r="X7" s="15">
        <v>35.326086956521699</v>
      </c>
      <c r="Y7" s="15">
        <v>34.193548387096797</v>
      </c>
      <c r="Z7" s="15">
        <v>30.7017543859649</v>
      </c>
      <c r="AA7" s="32">
        <v>18.928824223641001</v>
      </c>
      <c r="AB7" s="15">
        <v>14.8387096774194</v>
      </c>
      <c r="AC7" s="15">
        <v>17.350157728706598</v>
      </c>
      <c r="AD7" s="15">
        <v>29.184549356223201</v>
      </c>
      <c r="AE7" s="15">
        <v>23.300970873786401</v>
      </c>
      <c r="AF7" s="15">
        <v>17.976031957390099</v>
      </c>
      <c r="AG7" s="15">
        <v>22.149837133550498</v>
      </c>
      <c r="AH7" s="15">
        <v>19.572953736654799</v>
      </c>
      <c r="AI7" s="24">
        <v>33.3333333333333</v>
      </c>
      <c r="AJ7" s="38"/>
    </row>
    <row r="8" spans="1:36">
      <c r="A8" s="9" t="s">
        <v>157</v>
      </c>
      <c r="B8" s="36">
        <v>3.2585078492217199</v>
      </c>
      <c r="C8" s="32">
        <v>2.94022370563119</v>
      </c>
      <c r="D8" s="32">
        <v>3.2283402959904102</v>
      </c>
      <c r="E8" s="32">
        <v>4.5544582124605997</v>
      </c>
      <c r="F8" s="20" t="s">
        <v>80</v>
      </c>
      <c r="G8" s="20" t="s">
        <v>80</v>
      </c>
      <c r="H8" s="15">
        <v>7.2289156626505999</v>
      </c>
      <c r="I8" s="20" t="s">
        <v>80</v>
      </c>
      <c r="J8" s="20" t="s">
        <v>80</v>
      </c>
      <c r="K8" s="20" t="s">
        <v>80</v>
      </c>
      <c r="L8" s="20" t="s">
        <v>80</v>
      </c>
      <c r="M8" s="20" t="s">
        <v>80</v>
      </c>
      <c r="N8" s="20" t="s">
        <v>80</v>
      </c>
      <c r="O8" s="20" t="s">
        <v>80</v>
      </c>
      <c r="P8" s="15">
        <v>6.0975609756097597</v>
      </c>
      <c r="Q8" s="20" t="s">
        <v>80</v>
      </c>
      <c r="R8" s="20" t="s">
        <v>80</v>
      </c>
      <c r="S8" s="15">
        <v>6.7567567567567597</v>
      </c>
      <c r="T8" s="20" t="s">
        <v>80</v>
      </c>
      <c r="U8" s="20" t="s">
        <v>80</v>
      </c>
      <c r="V8" s="20" t="s">
        <v>80</v>
      </c>
      <c r="W8" s="15">
        <v>11.363636363636401</v>
      </c>
      <c r="X8" s="15">
        <v>4.8913043478260896</v>
      </c>
      <c r="Y8" s="15">
        <v>9.67741935483871</v>
      </c>
      <c r="Z8" s="15">
        <v>9.6491228070175392</v>
      </c>
      <c r="AA8" s="32">
        <v>2.1258006468452502</v>
      </c>
      <c r="AB8" s="20" t="s">
        <v>80</v>
      </c>
      <c r="AC8" s="15">
        <v>1.8927444794952699</v>
      </c>
      <c r="AD8" s="15">
        <v>4.2918454935622297</v>
      </c>
      <c r="AE8" s="15">
        <v>2.2653721682847898</v>
      </c>
      <c r="AF8" s="15">
        <v>3.1957390146471401</v>
      </c>
      <c r="AG8" s="15">
        <v>3.5830618892508102</v>
      </c>
      <c r="AH8" s="15">
        <v>1.77935943060498</v>
      </c>
      <c r="AI8" s="24">
        <v>33.3333333333333</v>
      </c>
      <c r="AJ8" s="38"/>
    </row>
    <row r="9" spans="1:36">
      <c r="A9" s="9" t="s">
        <v>158</v>
      </c>
      <c r="B9" s="36">
        <v>13.4211726164566</v>
      </c>
      <c r="C9" s="32">
        <v>13.316606782085</v>
      </c>
      <c r="D9" s="32">
        <v>14.0966748467493</v>
      </c>
      <c r="E9" s="32">
        <v>20.072142378610899</v>
      </c>
      <c r="F9" s="15">
        <v>10.655737704918</v>
      </c>
      <c r="G9" s="15">
        <v>16.9491525423729</v>
      </c>
      <c r="H9" s="15">
        <v>24.096385542168701</v>
      </c>
      <c r="I9" s="15">
        <v>21.1111111111111</v>
      </c>
      <c r="J9" s="15">
        <v>32.142857142857103</v>
      </c>
      <c r="K9" s="15">
        <v>22.2222222222222</v>
      </c>
      <c r="L9" s="15">
        <v>15.5339805825243</v>
      </c>
      <c r="M9" s="15">
        <v>16.049382716049401</v>
      </c>
      <c r="N9" s="15">
        <v>15.254237288135601</v>
      </c>
      <c r="O9" s="15">
        <v>14.0350877192982</v>
      </c>
      <c r="P9" s="15">
        <v>21.951219512195099</v>
      </c>
      <c r="Q9" s="15">
        <v>11.656441717791401</v>
      </c>
      <c r="R9" s="15">
        <v>17.045454545454501</v>
      </c>
      <c r="S9" s="15">
        <v>14.8648648648649</v>
      </c>
      <c r="T9" s="15">
        <v>23.6111111111111</v>
      </c>
      <c r="U9" s="15">
        <v>13.934426229508199</v>
      </c>
      <c r="V9" s="15">
        <v>25.675675675675699</v>
      </c>
      <c r="W9" s="15">
        <v>30.681818181818201</v>
      </c>
      <c r="X9" s="15">
        <v>22.2826086956522</v>
      </c>
      <c r="Y9" s="15">
        <v>21.935483870967701</v>
      </c>
      <c r="Z9" s="15">
        <v>27.192982456140399</v>
      </c>
      <c r="AA9" s="32">
        <v>9.1286476492936508</v>
      </c>
      <c r="AB9" s="15">
        <v>5.1612903225806503</v>
      </c>
      <c r="AC9" s="15">
        <v>9.7791798107255499</v>
      </c>
      <c r="AD9" s="15">
        <v>12.8755364806867</v>
      </c>
      <c r="AE9" s="15">
        <v>11.0032362459547</v>
      </c>
      <c r="AF9" s="15">
        <v>9.7203728362183792</v>
      </c>
      <c r="AG9" s="15">
        <v>11.726384364820801</v>
      </c>
      <c r="AH9" s="15">
        <v>10.3202846975089</v>
      </c>
      <c r="AI9" s="26" t="s">
        <v>80</v>
      </c>
      <c r="AJ9" s="38"/>
    </row>
    <row r="10" spans="1:36">
      <c r="A10" s="9" t="s">
        <v>159</v>
      </c>
      <c r="B10" s="36">
        <v>29.959504091290501</v>
      </c>
      <c r="C10" s="32">
        <v>29.4594205633868</v>
      </c>
      <c r="D10" s="32">
        <v>30.330613830385001</v>
      </c>
      <c r="E10" s="32">
        <v>27.807195962751202</v>
      </c>
      <c r="F10" s="15">
        <v>18.032786885245901</v>
      </c>
      <c r="G10" s="15">
        <v>23.728813559321999</v>
      </c>
      <c r="H10" s="15">
        <v>59.036144578313298</v>
      </c>
      <c r="I10" s="15">
        <v>23.3333333333333</v>
      </c>
      <c r="J10" s="15">
        <v>25</v>
      </c>
      <c r="K10" s="20" t="s">
        <v>80</v>
      </c>
      <c r="L10" s="15">
        <v>26.213592233009699</v>
      </c>
      <c r="M10" s="15">
        <v>9.8765432098765409</v>
      </c>
      <c r="N10" s="15">
        <v>23.728813559321999</v>
      </c>
      <c r="O10" s="15">
        <v>15.789473684210501</v>
      </c>
      <c r="P10" s="15">
        <v>23.170731707317099</v>
      </c>
      <c r="Q10" s="15">
        <v>19.631901840490801</v>
      </c>
      <c r="R10" s="15">
        <v>19.318181818181799</v>
      </c>
      <c r="S10" s="15">
        <v>31.081081081081098</v>
      </c>
      <c r="T10" s="15">
        <v>43.0555555555556</v>
      </c>
      <c r="U10" s="15">
        <v>32.786885245901601</v>
      </c>
      <c r="V10" s="15">
        <v>31.081081081081098</v>
      </c>
      <c r="W10" s="15">
        <v>23.863636363636399</v>
      </c>
      <c r="X10" s="15">
        <v>23.369565217391301</v>
      </c>
      <c r="Y10" s="15">
        <v>34.838709677419402</v>
      </c>
      <c r="Z10" s="15">
        <v>30.7017543859649</v>
      </c>
      <c r="AA10" s="32">
        <v>32.428593365894898</v>
      </c>
      <c r="AB10" s="15">
        <v>23.870967741935502</v>
      </c>
      <c r="AC10" s="15">
        <v>26.498422712933799</v>
      </c>
      <c r="AD10" s="15">
        <v>33.047210300429199</v>
      </c>
      <c r="AE10" s="15">
        <v>33.009708737864102</v>
      </c>
      <c r="AF10" s="15">
        <v>31.025299600532598</v>
      </c>
      <c r="AG10" s="15">
        <v>38.436482084690603</v>
      </c>
      <c r="AH10" s="15">
        <v>29.893238434163699</v>
      </c>
      <c r="AI10" s="24">
        <v>38.8888888888889</v>
      </c>
      <c r="AJ10" s="38"/>
    </row>
    <row r="11" spans="1:36">
      <c r="A11" s="9" t="s">
        <v>160</v>
      </c>
      <c r="B11" s="36">
        <v>26.393896573835601</v>
      </c>
      <c r="C11" s="32">
        <v>26.397942793968301</v>
      </c>
      <c r="D11" s="32">
        <v>25.201528198210902</v>
      </c>
      <c r="E11" s="32">
        <v>28.739489964085301</v>
      </c>
      <c r="F11" s="15">
        <v>43.442622950819697</v>
      </c>
      <c r="G11" s="15">
        <v>30.508474576271201</v>
      </c>
      <c r="H11" s="15">
        <v>16.867469879518101</v>
      </c>
      <c r="I11" s="15">
        <v>28.8888888888889</v>
      </c>
      <c r="J11" s="15">
        <v>42.857142857142897</v>
      </c>
      <c r="K11" s="15">
        <v>61.1111111111111</v>
      </c>
      <c r="L11" s="15">
        <v>33.980582524271803</v>
      </c>
      <c r="M11" s="15">
        <v>29.629629629629601</v>
      </c>
      <c r="N11" s="15">
        <v>28.8135593220339</v>
      </c>
      <c r="O11" s="15">
        <v>38.596491228070199</v>
      </c>
      <c r="P11" s="15">
        <v>31.707317073170699</v>
      </c>
      <c r="Q11" s="15">
        <v>15.3374233128834</v>
      </c>
      <c r="R11" s="15">
        <v>17.045454545454501</v>
      </c>
      <c r="S11" s="15">
        <v>18.918918918918902</v>
      </c>
      <c r="T11" s="15">
        <v>33.3333333333333</v>
      </c>
      <c r="U11" s="15">
        <v>22.9508196721311</v>
      </c>
      <c r="V11" s="15">
        <v>28.3783783783784</v>
      </c>
      <c r="W11" s="15">
        <v>53.409090909090899</v>
      </c>
      <c r="X11" s="15">
        <v>35.869565217391298</v>
      </c>
      <c r="Y11" s="15">
        <v>58.064516129032299</v>
      </c>
      <c r="Z11" s="15">
        <v>45.614035087719301</v>
      </c>
      <c r="AA11" s="32">
        <v>22.260052877208398</v>
      </c>
      <c r="AB11" s="15">
        <v>20.645161290322601</v>
      </c>
      <c r="AC11" s="15">
        <v>32.492113564668799</v>
      </c>
      <c r="AD11" s="15">
        <v>16.7381974248927</v>
      </c>
      <c r="AE11" s="15">
        <v>22.006472491909399</v>
      </c>
      <c r="AF11" s="15">
        <v>23.968042609853502</v>
      </c>
      <c r="AG11" s="15">
        <v>19.218241042345301</v>
      </c>
      <c r="AH11" s="15">
        <v>35.587188612099602</v>
      </c>
      <c r="AI11" s="26" t="s">
        <v>80</v>
      </c>
      <c r="AJ11" s="38"/>
    </row>
    <row r="12" spans="1:36">
      <c r="A12" s="9" t="s">
        <v>161</v>
      </c>
      <c r="B12" s="36">
        <v>17.820153761404001</v>
      </c>
      <c r="C12" s="32">
        <v>15.7179305674542</v>
      </c>
      <c r="D12" s="32">
        <v>16.794309638278001</v>
      </c>
      <c r="E12" s="32">
        <v>20.554165884718198</v>
      </c>
      <c r="F12" s="15">
        <v>21.311475409836099</v>
      </c>
      <c r="G12" s="15">
        <v>13.559322033898299</v>
      </c>
      <c r="H12" s="15">
        <v>18.0722891566265</v>
      </c>
      <c r="I12" s="15">
        <v>14.4444444444444</v>
      </c>
      <c r="J12" s="15">
        <v>23.214285714285701</v>
      </c>
      <c r="K12" s="15">
        <v>22.2222222222222</v>
      </c>
      <c r="L12" s="15">
        <v>18.446601941747598</v>
      </c>
      <c r="M12" s="15">
        <v>16.049382716049401</v>
      </c>
      <c r="N12" s="15">
        <v>32.203389830508499</v>
      </c>
      <c r="O12" s="15">
        <v>19.2982456140351</v>
      </c>
      <c r="P12" s="15">
        <v>25.609756097561</v>
      </c>
      <c r="Q12" s="15">
        <v>12.8834355828221</v>
      </c>
      <c r="R12" s="15">
        <v>15.909090909090899</v>
      </c>
      <c r="S12" s="15">
        <v>29.729729729729701</v>
      </c>
      <c r="T12" s="15">
        <v>38.8888888888889</v>
      </c>
      <c r="U12" s="15">
        <v>10.655737704918</v>
      </c>
      <c r="V12" s="15">
        <v>8.1081081081081106</v>
      </c>
      <c r="W12" s="15">
        <v>21.590909090909101</v>
      </c>
      <c r="X12" s="15">
        <v>20.652173913043502</v>
      </c>
      <c r="Y12" s="15">
        <v>25.161290322580601</v>
      </c>
      <c r="Z12" s="15">
        <v>27.192982456140399</v>
      </c>
      <c r="AA12" s="32">
        <v>13.668350373795301</v>
      </c>
      <c r="AB12" s="15">
        <v>11.6129032258065</v>
      </c>
      <c r="AC12" s="15">
        <v>16.0883280757098</v>
      </c>
      <c r="AD12" s="15">
        <v>17.596566523605201</v>
      </c>
      <c r="AE12" s="15">
        <v>15.210355987054999</v>
      </c>
      <c r="AF12" s="15">
        <v>14.114513981358201</v>
      </c>
      <c r="AG12" s="15">
        <v>16.6123778501629</v>
      </c>
      <c r="AH12" s="15">
        <v>13.8790035587189</v>
      </c>
      <c r="AI12" s="26" t="s">
        <v>80</v>
      </c>
      <c r="AJ12" s="38"/>
    </row>
    <row r="13" spans="1:36">
      <c r="A13" s="9" t="s">
        <v>162</v>
      </c>
      <c r="B13" s="36">
        <v>13.810141970615</v>
      </c>
      <c r="C13" s="32">
        <v>12.9644772038895</v>
      </c>
      <c r="D13" s="32">
        <v>13.347003163472699</v>
      </c>
      <c r="E13" s="32">
        <v>17.392471922492099</v>
      </c>
      <c r="F13" s="15">
        <v>20.491803278688501</v>
      </c>
      <c r="G13" s="15">
        <v>15.254237288135601</v>
      </c>
      <c r="H13" s="15">
        <v>24.096385542168701</v>
      </c>
      <c r="I13" s="15">
        <v>12.2222222222222</v>
      </c>
      <c r="J13" s="15">
        <v>17.8571428571429</v>
      </c>
      <c r="K13" s="20" t="s">
        <v>80</v>
      </c>
      <c r="L13" s="15">
        <v>13.5922330097087</v>
      </c>
      <c r="M13" s="15">
        <v>17.283950617283899</v>
      </c>
      <c r="N13" s="15">
        <v>13.559322033898299</v>
      </c>
      <c r="O13" s="15">
        <v>24.5614035087719</v>
      </c>
      <c r="P13" s="15">
        <v>19.512195121951201</v>
      </c>
      <c r="Q13" s="15">
        <v>19.018404907975501</v>
      </c>
      <c r="R13" s="15">
        <v>12.5</v>
      </c>
      <c r="S13" s="15">
        <v>17.5675675675676</v>
      </c>
      <c r="T13" s="15">
        <v>22.2222222222222</v>
      </c>
      <c r="U13" s="15">
        <v>12.2950819672131</v>
      </c>
      <c r="V13" s="15">
        <v>18.918918918918902</v>
      </c>
      <c r="W13" s="15">
        <v>22.727272727272702</v>
      </c>
      <c r="X13" s="15">
        <v>20.652173913043502</v>
      </c>
      <c r="Y13" s="15">
        <v>23.870967741935502</v>
      </c>
      <c r="Z13" s="15">
        <v>25.4385964912281</v>
      </c>
      <c r="AA13" s="32">
        <v>9.9835845331979094</v>
      </c>
      <c r="AB13" s="15">
        <v>7.7419354838709697</v>
      </c>
      <c r="AC13" s="15">
        <v>17.981072555204999</v>
      </c>
      <c r="AD13" s="15">
        <v>10.300429184549399</v>
      </c>
      <c r="AE13" s="15">
        <v>13.2686084142395</v>
      </c>
      <c r="AF13" s="15">
        <v>9.4540612516644504</v>
      </c>
      <c r="AG13" s="15">
        <v>9.7719869706840399</v>
      </c>
      <c r="AH13" s="15">
        <v>12.0996441281139</v>
      </c>
      <c r="AI13" s="26" t="s">
        <v>80</v>
      </c>
      <c r="AJ13" s="38"/>
    </row>
    <row r="14" spans="1:36">
      <c r="A14" s="9" t="s">
        <v>163</v>
      </c>
      <c r="B14" s="36">
        <v>30.905186975040099</v>
      </c>
      <c r="C14" s="32">
        <v>30.276779315585401</v>
      </c>
      <c r="D14" s="32">
        <v>30.978386722887301</v>
      </c>
      <c r="E14" s="32">
        <v>37.067410180602501</v>
      </c>
      <c r="F14" s="15">
        <v>42.622950819672099</v>
      </c>
      <c r="G14" s="15">
        <v>40.677966101694899</v>
      </c>
      <c r="H14" s="15">
        <v>34.939759036144601</v>
      </c>
      <c r="I14" s="15">
        <v>31.1111111111111</v>
      </c>
      <c r="J14" s="15">
        <v>41.071428571428598</v>
      </c>
      <c r="K14" s="15">
        <v>52.7777777777778</v>
      </c>
      <c r="L14" s="15">
        <v>35.922330097087404</v>
      </c>
      <c r="M14" s="15">
        <v>41.975308641975303</v>
      </c>
      <c r="N14" s="15">
        <v>35.593220338983102</v>
      </c>
      <c r="O14" s="15">
        <v>47.368421052631597</v>
      </c>
      <c r="P14" s="15">
        <v>46.341463414634099</v>
      </c>
      <c r="Q14" s="15">
        <v>28.8343558282209</v>
      </c>
      <c r="R14" s="15">
        <v>25</v>
      </c>
      <c r="S14" s="15">
        <v>22.972972972973</v>
      </c>
      <c r="T14" s="15">
        <v>45.8333333333333</v>
      </c>
      <c r="U14" s="15">
        <v>32.786885245901601</v>
      </c>
      <c r="V14" s="15">
        <v>37.837837837837803</v>
      </c>
      <c r="W14" s="15">
        <v>45.454545454545503</v>
      </c>
      <c r="X14" s="15">
        <v>38.043478260869598</v>
      </c>
      <c r="Y14" s="15">
        <v>61.935483870967701</v>
      </c>
      <c r="Z14" s="15">
        <v>39.473684210526301</v>
      </c>
      <c r="AA14" s="32">
        <v>25.915948682252498</v>
      </c>
      <c r="AB14" s="15">
        <v>23.870967741935502</v>
      </c>
      <c r="AC14" s="15">
        <v>36.277602523659297</v>
      </c>
      <c r="AD14" s="15">
        <v>27.038626609442101</v>
      </c>
      <c r="AE14" s="15">
        <v>26.860841423948202</v>
      </c>
      <c r="AF14" s="15">
        <v>27.829560585885499</v>
      </c>
      <c r="AG14" s="15">
        <v>23.127035830618901</v>
      </c>
      <c r="AH14" s="15">
        <v>36.298932384341597</v>
      </c>
      <c r="AI14" s="26" t="s">
        <v>80</v>
      </c>
      <c r="AJ14" s="38"/>
    </row>
    <row r="15" spans="1:36">
      <c r="A15" s="9" t="s">
        <v>164</v>
      </c>
      <c r="B15" s="36">
        <v>24.819026304510398</v>
      </c>
      <c r="C15" s="32">
        <v>26.828003859420001</v>
      </c>
      <c r="D15" s="32">
        <v>25.290451297490399</v>
      </c>
      <c r="E15" s="32">
        <v>30.172788627671899</v>
      </c>
      <c r="F15" s="15">
        <v>20.491803278688501</v>
      </c>
      <c r="G15" s="15">
        <v>22.033898305084701</v>
      </c>
      <c r="H15" s="15">
        <v>28.9156626506024</v>
      </c>
      <c r="I15" s="15">
        <v>20</v>
      </c>
      <c r="J15" s="15">
        <v>48.214285714285701</v>
      </c>
      <c r="K15" s="15">
        <v>27.7777777777778</v>
      </c>
      <c r="L15" s="15">
        <v>42.7184466019417</v>
      </c>
      <c r="M15" s="15">
        <v>33.3333333333333</v>
      </c>
      <c r="N15" s="15">
        <v>32.203389830508499</v>
      </c>
      <c r="O15" s="15">
        <v>24.5614035087719</v>
      </c>
      <c r="P15" s="15">
        <v>41.463414634146297</v>
      </c>
      <c r="Q15" s="15">
        <v>49.693251533742298</v>
      </c>
      <c r="R15" s="15">
        <v>28.409090909090899</v>
      </c>
      <c r="S15" s="15">
        <v>25.675675675675699</v>
      </c>
      <c r="T15" s="15">
        <v>19.4444444444444</v>
      </c>
      <c r="U15" s="15">
        <v>12.2950819672131</v>
      </c>
      <c r="V15" s="15">
        <v>55.405405405405403</v>
      </c>
      <c r="W15" s="15">
        <v>65.909090909090907</v>
      </c>
      <c r="X15" s="15">
        <v>23.913043478260899</v>
      </c>
      <c r="Y15" s="15">
        <v>41.935483870967701</v>
      </c>
      <c r="Z15" s="15">
        <v>36.842105263157897</v>
      </c>
      <c r="AA15" s="32">
        <v>21.231256847154601</v>
      </c>
      <c r="AB15" s="15">
        <v>25.161290322580601</v>
      </c>
      <c r="AC15" s="15">
        <v>31.545741324921099</v>
      </c>
      <c r="AD15" s="15">
        <v>12.446351931330501</v>
      </c>
      <c r="AE15" s="15">
        <v>27.184466019417499</v>
      </c>
      <c r="AF15" s="15">
        <v>19.8402130492676</v>
      </c>
      <c r="AG15" s="15">
        <v>26.384364820846901</v>
      </c>
      <c r="AH15" s="15">
        <v>37.0106761565836</v>
      </c>
      <c r="AI15" s="24">
        <v>27.7777777777778</v>
      </c>
      <c r="AJ15" s="38"/>
    </row>
    <row r="16" spans="1:36">
      <c r="A16" s="9" t="s">
        <v>165</v>
      </c>
      <c r="B16" s="36">
        <v>6.6477960277303003</v>
      </c>
      <c r="C16" s="32">
        <v>6.8346599774847698</v>
      </c>
      <c r="D16" s="32">
        <v>7.8300066457731896</v>
      </c>
      <c r="E16" s="32">
        <v>11.3715191684709</v>
      </c>
      <c r="F16" s="15">
        <v>4.0983606557377001</v>
      </c>
      <c r="G16" s="20" t="s">
        <v>80</v>
      </c>
      <c r="H16" s="15">
        <v>31.325301204819301</v>
      </c>
      <c r="I16" s="15">
        <v>6.6666666666666696</v>
      </c>
      <c r="J16" s="15">
        <v>10.714285714285699</v>
      </c>
      <c r="K16" s="15">
        <v>13.8888888888889</v>
      </c>
      <c r="L16" s="15">
        <v>6.7961165048543704</v>
      </c>
      <c r="M16" s="15">
        <v>6.1728395061728403</v>
      </c>
      <c r="N16" s="20" t="s">
        <v>80</v>
      </c>
      <c r="O16" s="20" t="s">
        <v>80</v>
      </c>
      <c r="P16" s="15">
        <v>13.4146341463415</v>
      </c>
      <c r="Q16" s="15">
        <v>3.6809815950920202</v>
      </c>
      <c r="R16" s="15">
        <v>10.2272727272727</v>
      </c>
      <c r="S16" s="15">
        <v>14.8648648648649</v>
      </c>
      <c r="T16" s="15">
        <v>9.7222222222222197</v>
      </c>
      <c r="U16" s="15">
        <v>6.5573770491803298</v>
      </c>
      <c r="V16" s="15">
        <v>13.5135135135135</v>
      </c>
      <c r="W16" s="15">
        <v>21.590909090909101</v>
      </c>
      <c r="X16" s="15">
        <v>7.6086956521739104</v>
      </c>
      <c r="Y16" s="15">
        <v>18.709677419354801</v>
      </c>
      <c r="Z16" s="15">
        <v>21.9298245614035</v>
      </c>
      <c r="AA16" s="32">
        <v>4.8855792115887402</v>
      </c>
      <c r="AB16" s="20" t="s">
        <v>80</v>
      </c>
      <c r="AC16" s="15">
        <v>6.3091482649842296</v>
      </c>
      <c r="AD16" s="15">
        <v>6.8669527896995701</v>
      </c>
      <c r="AE16" s="15">
        <v>5.8252427184466002</v>
      </c>
      <c r="AF16" s="15">
        <v>4.7936085219707101</v>
      </c>
      <c r="AG16" s="15">
        <v>7.1661237785016301</v>
      </c>
      <c r="AH16" s="15">
        <v>5.3380782918149503</v>
      </c>
      <c r="AI16" s="24">
        <v>27.7777777777778</v>
      </c>
      <c r="AJ16" s="38"/>
    </row>
    <row r="17" spans="1:36">
      <c r="A17" s="9" t="s">
        <v>166</v>
      </c>
      <c r="B17" s="36">
        <v>44.407973507112999</v>
      </c>
      <c r="C17" s="32">
        <v>45.534619711583701</v>
      </c>
      <c r="D17" s="32">
        <v>44.451736565620202</v>
      </c>
      <c r="E17" s="32">
        <v>52.611768257383197</v>
      </c>
      <c r="F17" s="15">
        <v>46.721311475409799</v>
      </c>
      <c r="G17" s="15">
        <v>57.627118644067799</v>
      </c>
      <c r="H17" s="15">
        <v>59.036144578313298</v>
      </c>
      <c r="I17" s="15">
        <v>57.7777777777778</v>
      </c>
      <c r="J17" s="15">
        <v>60.714285714285701</v>
      </c>
      <c r="K17" s="15">
        <v>69.4444444444444</v>
      </c>
      <c r="L17" s="15">
        <v>49.514563106796103</v>
      </c>
      <c r="M17" s="15">
        <v>54.320987654321002</v>
      </c>
      <c r="N17" s="15">
        <v>35.593220338983102</v>
      </c>
      <c r="O17" s="15">
        <v>50.877192982456101</v>
      </c>
      <c r="P17" s="15">
        <v>62.195121951219498</v>
      </c>
      <c r="Q17" s="15">
        <v>51.533742331288302</v>
      </c>
      <c r="R17" s="15">
        <v>51.136363636363598</v>
      </c>
      <c r="S17" s="15">
        <v>48.648648648648702</v>
      </c>
      <c r="T17" s="15">
        <v>41.6666666666667</v>
      </c>
      <c r="U17" s="15">
        <v>47.540983606557397</v>
      </c>
      <c r="V17" s="15">
        <v>67.567567567567593</v>
      </c>
      <c r="W17" s="15">
        <v>62.5</v>
      </c>
      <c r="X17" s="15">
        <v>53.804347826087003</v>
      </c>
      <c r="Y17" s="15">
        <v>60.645161290322598</v>
      </c>
      <c r="Z17" s="15">
        <v>50.877192982456101</v>
      </c>
      <c r="AA17" s="32">
        <v>37.667454137405201</v>
      </c>
      <c r="AB17" s="15">
        <v>31.612903225806502</v>
      </c>
      <c r="AC17" s="15">
        <v>43.217665615142003</v>
      </c>
      <c r="AD17" s="15">
        <v>41.201716738197398</v>
      </c>
      <c r="AE17" s="15">
        <v>40.453074433657001</v>
      </c>
      <c r="AF17" s="15">
        <v>40.878828229028002</v>
      </c>
      <c r="AG17" s="15">
        <v>34.853420195439703</v>
      </c>
      <c r="AH17" s="15">
        <v>53.024911032028498</v>
      </c>
      <c r="AI17" s="24">
        <v>50</v>
      </c>
      <c r="AJ17" s="38"/>
    </row>
    <row r="18" spans="1:36">
      <c r="A18" s="9" t="s">
        <v>167</v>
      </c>
      <c r="B18" s="36">
        <v>24.769274471083701</v>
      </c>
      <c r="C18" s="32">
        <v>24.092400643990899</v>
      </c>
      <c r="D18" s="32">
        <v>24.499690623452601</v>
      </c>
      <c r="E18" s="32">
        <v>32.6550167632249</v>
      </c>
      <c r="F18" s="15">
        <v>31.967213114754099</v>
      </c>
      <c r="G18" s="15">
        <v>25.4237288135593</v>
      </c>
      <c r="H18" s="15">
        <v>45.783132530120497</v>
      </c>
      <c r="I18" s="15">
        <v>31.1111111111111</v>
      </c>
      <c r="J18" s="15">
        <v>35.714285714285701</v>
      </c>
      <c r="K18" s="15">
        <v>36.1111111111111</v>
      </c>
      <c r="L18" s="15">
        <v>27.184466019417499</v>
      </c>
      <c r="M18" s="15">
        <v>23.456790123456798</v>
      </c>
      <c r="N18" s="15">
        <v>22.033898305084701</v>
      </c>
      <c r="O18" s="15">
        <v>29.824561403508799</v>
      </c>
      <c r="P18" s="15">
        <v>30.487804878048799</v>
      </c>
      <c r="Q18" s="15">
        <v>27.607361963190201</v>
      </c>
      <c r="R18" s="15">
        <v>38.636363636363598</v>
      </c>
      <c r="S18" s="15">
        <v>29.729729729729701</v>
      </c>
      <c r="T18" s="15">
        <v>37.5</v>
      </c>
      <c r="U18" s="15">
        <v>31.1475409836066</v>
      </c>
      <c r="V18" s="15">
        <v>37.837837837837803</v>
      </c>
      <c r="W18" s="15">
        <v>39.772727272727302</v>
      </c>
      <c r="X18" s="15">
        <v>32.6086956521739</v>
      </c>
      <c r="Y18" s="15">
        <v>32.903225806451601</v>
      </c>
      <c r="Z18" s="15">
        <v>33.3333333333333</v>
      </c>
      <c r="AA18" s="32">
        <v>17.719320409661702</v>
      </c>
      <c r="AB18" s="15">
        <v>20.645161290322601</v>
      </c>
      <c r="AC18" s="15">
        <v>22.0820189274448</v>
      </c>
      <c r="AD18" s="15">
        <v>20.171673819742502</v>
      </c>
      <c r="AE18" s="15">
        <v>20.3883495145631</v>
      </c>
      <c r="AF18" s="15">
        <v>17.177097203728401</v>
      </c>
      <c r="AG18" s="15">
        <v>18.892508143322502</v>
      </c>
      <c r="AH18" s="15">
        <v>19.572953736654799</v>
      </c>
      <c r="AI18" s="24">
        <v>38.8888888888889</v>
      </c>
      <c r="AJ18" s="38"/>
    </row>
    <row r="19" spans="1:36">
      <c r="A19" s="9" t="s">
        <v>168</v>
      </c>
      <c r="B19" s="36">
        <v>32.355219979005803</v>
      </c>
      <c r="C19" s="32">
        <v>31.546658372975799</v>
      </c>
      <c r="D19" s="32">
        <v>32.3173281051995</v>
      </c>
      <c r="E19" s="32">
        <v>38.617738122476297</v>
      </c>
      <c r="F19" s="15">
        <v>37.7049180327869</v>
      </c>
      <c r="G19" s="15">
        <v>27.118644067796598</v>
      </c>
      <c r="H19" s="15">
        <v>46.987951807228903</v>
      </c>
      <c r="I19" s="15">
        <v>33.3333333333333</v>
      </c>
      <c r="J19" s="15">
        <v>55.357142857142897</v>
      </c>
      <c r="K19" s="15">
        <v>61.1111111111111</v>
      </c>
      <c r="L19" s="15">
        <v>41.747572815533999</v>
      </c>
      <c r="M19" s="15">
        <v>48.148148148148103</v>
      </c>
      <c r="N19" s="15">
        <v>35.593220338983102</v>
      </c>
      <c r="O19" s="15">
        <v>50.877192982456101</v>
      </c>
      <c r="P19" s="15">
        <v>48.780487804878</v>
      </c>
      <c r="Q19" s="15">
        <v>30.6748466257669</v>
      </c>
      <c r="R19" s="15">
        <v>20.454545454545499</v>
      </c>
      <c r="S19" s="15">
        <v>25.675675675675699</v>
      </c>
      <c r="T19" s="15">
        <v>31.9444444444444</v>
      </c>
      <c r="U19" s="15">
        <v>35.245901639344297</v>
      </c>
      <c r="V19" s="15">
        <v>36.486486486486498</v>
      </c>
      <c r="W19" s="15">
        <v>34.090909090909101</v>
      </c>
      <c r="X19" s="15">
        <v>28.260869565217401</v>
      </c>
      <c r="Y19" s="15">
        <v>39.354838709677402</v>
      </c>
      <c r="Z19" s="15">
        <v>26.315789473684202</v>
      </c>
      <c r="AA19" s="32">
        <v>27.079142447917398</v>
      </c>
      <c r="AB19" s="15">
        <v>23.2258064516129</v>
      </c>
      <c r="AC19" s="15">
        <v>31.861198738170302</v>
      </c>
      <c r="AD19" s="15">
        <v>29.184549356223201</v>
      </c>
      <c r="AE19" s="15">
        <v>32.362459546925599</v>
      </c>
      <c r="AF19" s="15">
        <v>27.563249001331599</v>
      </c>
      <c r="AG19" s="15">
        <v>24.755700325732899</v>
      </c>
      <c r="AH19" s="15">
        <v>27.046263345195701</v>
      </c>
      <c r="AI19" s="24">
        <v>55.5555555555556</v>
      </c>
      <c r="AJ19" s="38"/>
    </row>
    <row r="20" spans="1:36">
      <c r="A20" s="9" t="s">
        <v>169</v>
      </c>
      <c r="B20" s="36">
        <v>14.478615034573499</v>
      </c>
      <c r="C20" s="32">
        <v>13.452205782947701</v>
      </c>
      <c r="D20" s="32">
        <v>14.9509857990389</v>
      </c>
      <c r="E20" s="32">
        <v>17.489929996185499</v>
      </c>
      <c r="F20" s="15">
        <v>11.4754098360656</v>
      </c>
      <c r="G20" s="15">
        <v>15.254237288135601</v>
      </c>
      <c r="H20" s="15">
        <v>16.867469879518101</v>
      </c>
      <c r="I20" s="15">
        <v>10</v>
      </c>
      <c r="J20" s="15">
        <v>25</v>
      </c>
      <c r="K20" s="15">
        <v>25</v>
      </c>
      <c r="L20" s="15">
        <v>27.184466019417499</v>
      </c>
      <c r="M20" s="15">
        <v>9.8765432098765409</v>
      </c>
      <c r="N20" s="15">
        <v>16.9491525423729</v>
      </c>
      <c r="O20" s="15">
        <v>42.105263157894697</v>
      </c>
      <c r="P20" s="15">
        <v>25.609756097561</v>
      </c>
      <c r="Q20" s="15">
        <v>15.3374233128834</v>
      </c>
      <c r="R20" s="15">
        <v>15.909090909090899</v>
      </c>
      <c r="S20" s="15">
        <v>17.5675675675676</v>
      </c>
      <c r="T20" s="15">
        <v>18.0555555555556</v>
      </c>
      <c r="U20" s="15">
        <v>9.0163934426229506</v>
      </c>
      <c r="V20" s="15">
        <v>14.8648648648649</v>
      </c>
      <c r="W20" s="15">
        <v>22.727272727272702</v>
      </c>
      <c r="X20" s="15">
        <v>14.130434782608701</v>
      </c>
      <c r="Y20" s="15">
        <v>23.2258064516129</v>
      </c>
      <c r="Z20" s="15">
        <v>28.947368421052602</v>
      </c>
      <c r="AA20" s="32">
        <v>12.840097612133</v>
      </c>
      <c r="AB20" s="15">
        <v>8.3870967741935498</v>
      </c>
      <c r="AC20" s="15">
        <v>15.457413249211401</v>
      </c>
      <c r="AD20" s="15">
        <v>12.446351931330501</v>
      </c>
      <c r="AE20" s="15">
        <v>12.944983818770201</v>
      </c>
      <c r="AF20" s="15">
        <v>15.8455392809587</v>
      </c>
      <c r="AG20" s="15">
        <v>14.657980456026101</v>
      </c>
      <c r="AH20" s="15">
        <v>12.455516014234901</v>
      </c>
      <c r="AI20" s="26" t="s">
        <v>80</v>
      </c>
      <c r="AJ20" s="38"/>
    </row>
    <row r="21" spans="1:36">
      <c r="A21" s="9" t="s">
        <v>170</v>
      </c>
      <c r="B21" s="36">
        <v>10.4819656850404</v>
      </c>
      <c r="C21" s="32">
        <v>10.0906072660303</v>
      </c>
      <c r="D21" s="32">
        <v>9.3566466379445004</v>
      </c>
      <c r="E21" s="32">
        <v>11.595767812596501</v>
      </c>
      <c r="F21" s="15">
        <v>6.5573770491803298</v>
      </c>
      <c r="G21" s="20" t="s">
        <v>80</v>
      </c>
      <c r="H21" s="15">
        <v>13.253012048192801</v>
      </c>
      <c r="I21" s="15">
        <v>8.8888888888888893</v>
      </c>
      <c r="J21" s="15">
        <v>10.714285714285699</v>
      </c>
      <c r="K21" s="20" t="s">
        <v>80</v>
      </c>
      <c r="L21" s="15">
        <v>15.5339805825243</v>
      </c>
      <c r="M21" s="15">
        <v>11.1111111111111</v>
      </c>
      <c r="N21" s="15">
        <v>11.864406779661</v>
      </c>
      <c r="O21" s="15">
        <v>10.526315789473699</v>
      </c>
      <c r="P21" s="15">
        <v>17.0731707317073</v>
      </c>
      <c r="Q21" s="15">
        <v>4.2944785276073603</v>
      </c>
      <c r="R21" s="15">
        <v>7.9545454545454497</v>
      </c>
      <c r="S21" s="15">
        <v>6.7567567567567597</v>
      </c>
      <c r="T21" s="15">
        <v>6.9444444444444402</v>
      </c>
      <c r="U21" s="15">
        <v>4.9180327868852496</v>
      </c>
      <c r="V21" s="15">
        <v>12.1621621621622</v>
      </c>
      <c r="W21" s="15">
        <v>23.863636363636399</v>
      </c>
      <c r="X21" s="15">
        <v>20.652173913043502</v>
      </c>
      <c r="Y21" s="15">
        <v>29.677419354838701</v>
      </c>
      <c r="Z21" s="15">
        <v>21.052631578947398</v>
      </c>
      <c r="AA21" s="32">
        <v>7.4950324906403898</v>
      </c>
      <c r="AB21" s="15">
        <v>3.87096774193548</v>
      </c>
      <c r="AC21" s="15">
        <v>17.665615141955801</v>
      </c>
      <c r="AD21" s="15">
        <v>8.1545064377682408</v>
      </c>
      <c r="AE21" s="15">
        <v>6.4724919093851101</v>
      </c>
      <c r="AF21" s="15">
        <v>8.6551264980026605</v>
      </c>
      <c r="AG21" s="15">
        <v>6.8403908794788304</v>
      </c>
      <c r="AH21" s="15">
        <v>13.167259786476899</v>
      </c>
      <c r="AI21" s="26" t="s">
        <v>80</v>
      </c>
      <c r="AJ21" s="38"/>
    </row>
    <row r="22" spans="1:36">
      <c r="A22" s="9" t="s">
        <v>171</v>
      </c>
      <c r="B22" s="36">
        <v>18.5121454220392</v>
      </c>
      <c r="C22" s="32">
        <v>18.773043344847501</v>
      </c>
      <c r="D22" s="32">
        <v>18.337399891126601</v>
      </c>
      <c r="E22" s="32">
        <v>23.819158485499699</v>
      </c>
      <c r="F22" s="15">
        <v>10.655737704918</v>
      </c>
      <c r="G22" s="15">
        <v>23.728813559321999</v>
      </c>
      <c r="H22" s="15">
        <v>22.891566265060199</v>
      </c>
      <c r="I22" s="15">
        <v>16.6666666666667</v>
      </c>
      <c r="J22" s="15">
        <v>30.3571428571429</v>
      </c>
      <c r="K22" s="15">
        <v>36.1111111111111</v>
      </c>
      <c r="L22" s="15">
        <v>29.126213592233</v>
      </c>
      <c r="M22" s="15">
        <v>18.518518518518501</v>
      </c>
      <c r="N22" s="15">
        <v>22.033898305084701</v>
      </c>
      <c r="O22" s="15">
        <v>19.2982456140351</v>
      </c>
      <c r="P22" s="15">
        <v>23.170731707317099</v>
      </c>
      <c r="Q22" s="15">
        <v>18.404907975460102</v>
      </c>
      <c r="R22" s="15">
        <v>21.590909090909101</v>
      </c>
      <c r="S22" s="15">
        <v>24.324324324324301</v>
      </c>
      <c r="T22" s="15">
        <v>30.5555555555556</v>
      </c>
      <c r="U22" s="15">
        <v>26.229508196721302</v>
      </c>
      <c r="V22" s="15">
        <v>31.081081081081098</v>
      </c>
      <c r="W22" s="15">
        <v>36.363636363636402</v>
      </c>
      <c r="X22" s="15">
        <v>23.369565217391301</v>
      </c>
      <c r="Y22" s="15">
        <v>30.9677419354839</v>
      </c>
      <c r="Z22" s="15">
        <v>38.596491228070199</v>
      </c>
      <c r="AA22" s="32">
        <v>13.7798442452261</v>
      </c>
      <c r="AB22" s="15">
        <v>12.258064516129</v>
      </c>
      <c r="AC22" s="15">
        <v>13.249211356466899</v>
      </c>
      <c r="AD22" s="15">
        <v>20.171673819742502</v>
      </c>
      <c r="AE22" s="15">
        <v>15.5339805825243</v>
      </c>
      <c r="AF22" s="15">
        <v>11.4513981358189</v>
      </c>
      <c r="AG22" s="15">
        <v>16.9381107491857</v>
      </c>
      <c r="AH22" s="15">
        <v>14.9466192170818</v>
      </c>
      <c r="AI22" s="24">
        <v>27.7777777777778</v>
      </c>
      <c r="AJ22" s="38"/>
    </row>
    <row r="23" spans="1:36">
      <c r="A23" s="9" t="s">
        <v>172</v>
      </c>
      <c r="B23" s="36">
        <v>17.871181014412201</v>
      </c>
      <c r="C23" s="32">
        <v>18.443625914676101</v>
      </c>
      <c r="D23" s="32">
        <v>19.371130845705199</v>
      </c>
      <c r="E23" s="32">
        <v>21.709958766768299</v>
      </c>
      <c r="F23" s="15">
        <v>22.131147540983601</v>
      </c>
      <c r="G23" s="15">
        <v>18.644067796610202</v>
      </c>
      <c r="H23" s="15">
        <v>36.144578313253</v>
      </c>
      <c r="I23" s="15">
        <v>20</v>
      </c>
      <c r="J23" s="15">
        <v>19.6428571428571</v>
      </c>
      <c r="K23" s="15">
        <v>19.4444444444444</v>
      </c>
      <c r="L23" s="15">
        <v>14.5631067961165</v>
      </c>
      <c r="M23" s="15">
        <v>11.1111111111111</v>
      </c>
      <c r="N23" s="15">
        <v>16.9491525423729</v>
      </c>
      <c r="O23" s="15">
        <v>17.543859649122801</v>
      </c>
      <c r="P23" s="15">
        <v>19.512195121951201</v>
      </c>
      <c r="Q23" s="15">
        <v>16.564417177914098</v>
      </c>
      <c r="R23" s="15">
        <v>23.863636363636399</v>
      </c>
      <c r="S23" s="15">
        <v>27.027027027027</v>
      </c>
      <c r="T23" s="15">
        <v>27.7777777777778</v>
      </c>
      <c r="U23" s="15">
        <v>18.032786885245901</v>
      </c>
      <c r="V23" s="15">
        <v>21.6216216216216</v>
      </c>
      <c r="W23" s="15">
        <v>28.409090909090899</v>
      </c>
      <c r="X23" s="15">
        <v>19.565217391304301</v>
      </c>
      <c r="Y23" s="15">
        <v>29.677419354838701</v>
      </c>
      <c r="Z23" s="15">
        <v>22.8070175438597</v>
      </c>
      <c r="AA23" s="32">
        <v>17.426620117455901</v>
      </c>
      <c r="AB23" s="15">
        <v>16.129032258064498</v>
      </c>
      <c r="AC23" s="15">
        <v>22.397476340693999</v>
      </c>
      <c r="AD23" s="15">
        <v>20.171673819742502</v>
      </c>
      <c r="AE23" s="15">
        <v>17.1521035598706</v>
      </c>
      <c r="AF23" s="15">
        <v>15.8455392809587</v>
      </c>
      <c r="AG23" s="15">
        <v>15.3094462540717</v>
      </c>
      <c r="AH23" s="15">
        <v>25.6227758007117</v>
      </c>
      <c r="AI23" s="24">
        <v>33.3333333333333</v>
      </c>
      <c r="AJ23" s="38"/>
    </row>
    <row r="24" spans="1:36">
      <c r="A24" s="9" t="s">
        <v>173</v>
      </c>
      <c r="B24" s="36">
        <v>42.9094988306665</v>
      </c>
      <c r="C24" s="32">
        <v>42.889927961572702</v>
      </c>
      <c r="D24" s="32">
        <v>43.476702185874899</v>
      </c>
      <c r="E24" s="32">
        <v>52.891063005835498</v>
      </c>
      <c r="F24" s="15">
        <v>36.885245901639301</v>
      </c>
      <c r="G24" s="15">
        <v>44.067796610169502</v>
      </c>
      <c r="H24" s="15">
        <v>56.6265060240964</v>
      </c>
      <c r="I24" s="15">
        <v>46.6666666666667</v>
      </c>
      <c r="J24" s="15">
        <v>67.857142857142804</v>
      </c>
      <c r="K24" s="15">
        <v>58.3333333333333</v>
      </c>
      <c r="L24" s="15">
        <v>52.427184466019398</v>
      </c>
      <c r="M24" s="15">
        <v>55.5555555555556</v>
      </c>
      <c r="N24" s="15">
        <v>42.372881355932201</v>
      </c>
      <c r="O24" s="15">
        <v>68.421052631579002</v>
      </c>
      <c r="P24" s="15">
        <v>50</v>
      </c>
      <c r="Q24" s="15">
        <v>48.466257668711698</v>
      </c>
      <c r="R24" s="15">
        <v>44.318181818181799</v>
      </c>
      <c r="S24" s="15">
        <v>56.756756756756801</v>
      </c>
      <c r="T24" s="15">
        <v>51.3888888888889</v>
      </c>
      <c r="U24" s="15">
        <v>53.278688524590201</v>
      </c>
      <c r="V24" s="15">
        <v>60.8108108108108</v>
      </c>
      <c r="W24" s="15">
        <v>67.045454545454504</v>
      </c>
      <c r="X24" s="15">
        <v>47.2826086956522</v>
      </c>
      <c r="Y24" s="15">
        <v>63.225806451612897</v>
      </c>
      <c r="Z24" s="15">
        <v>52.631578947368403</v>
      </c>
      <c r="AA24" s="32">
        <v>35.649565589309098</v>
      </c>
      <c r="AB24" s="15">
        <v>30.9677419354839</v>
      </c>
      <c r="AC24" s="15">
        <v>42.902208201892698</v>
      </c>
      <c r="AD24" s="15">
        <v>35.193133047210303</v>
      </c>
      <c r="AE24" s="15">
        <v>41.100323624595497</v>
      </c>
      <c r="AF24" s="15">
        <v>33.422103861518003</v>
      </c>
      <c r="AG24" s="15">
        <v>35.504885993485303</v>
      </c>
      <c r="AH24" s="15">
        <v>39.145907473309599</v>
      </c>
      <c r="AI24" s="24">
        <v>55.5555555555556</v>
      </c>
      <c r="AJ24" s="38"/>
    </row>
    <row r="25" spans="1:36">
      <c r="A25" s="9" t="s">
        <v>174</v>
      </c>
      <c r="B25" s="36">
        <v>4.0444835170720701</v>
      </c>
      <c r="C25" s="32">
        <v>3.8417123607642099</v>
      </c>
      <c r="D25" s="32">
        <v>4.6513845101390796</v>
      </c>
      <c r="E25" s="32">
        <v>6.4506399004458101</v>
      </c>
      <c r="F25" s="20" t="s">
        <v>80</v>
      </c>
      <c r="G25" s="20" t="s">
        <v>80</v>
      </c>
      <c r="H25" s="15">
        <v>10.8433734939759</v>
      </c>
      <c r="I25" s="20" t="s">
        <v>80</v>
      </c>
      <c r="J25" s="20" t="s">
        <v>80</v>
      </c>
      <c r="K25" s="20" t="s">
        <v>80</v>
      </c>
      <c r="L25" s="15">
        <v>5.8252427184466002</v>
      </c>
      <c r="M25" s="20" t="s">
        <v>80</v>
      </c>
      <c r="N25" s="20" t="s">
        <v>80</v>
      </c>
      <c r="O25" s="20" t="s">
        <v>80</v>
      </c>
      <c r="P25" s="20" t="s">
        <v>80</v>
      </c>
      <c r="Q25" s="20" t="s">
        <v>80</v>
      </c>
      <c r="R25" s="20" t="s">
        <v>80</v>
      </c>
      <c r="S25" s="20" t="s">
        <v>80</v>
      </c>
      <c r="T25" s="15">
        <v>9.7222222222222197</v>
      </c>
      <c r="U25" s="15">
        <v>4.0983606557377001</v>
      </c>
      <c r="V25" s="20" t="s">
        <v>80</v>
      </c>
      <c r="W25" s="15">
        <v>12.5</v>
      </c>
      <c r="X25" s="15">
        <v>6.5217391304347796</v>
      </c>
      <c r="Y25" s="15">
        <v>13.548387096774199</v>
      </c>
      <c r="Z25" s="15">
        <v>12.280701754386</v>
      </c>
      <c r="AA25" s="32">
        <v>3.1554765051921199</v>
      </c>
      <c r="AB25" s="20" t="s">
        <v>80</v>
      </c>
      <c r="AC25" s="15">
        <v>2.20820189274448</v>
      </c>
      <c r="AD25" s="15">
        <v>5.15021459227468</v>
      </c>
      <c r="AE25" s="15">
        <v>4.8543689320388399</v>
      </c>
      <c r="AF25" s="15">
        <v>3.7283621837549901</v>
      </c>
      <c r="AG25" s="15">
        <v>5.2117263843648196</v>
      </c>
      <c r="AH25" s="15">
        <v>3.2028469750889701</v>
      </c>
      <c r="AI25" s="26" t="s">
        <v>80</v>
      </c>
      <c r="AJ25" s="38"/>
    </row>
    <row r="26" spans="1:36">
      <c r="A26" s="9" t="s">
        <v>175</v>
      </c>
      <c r="B26" s="36">
        <v>28.035472576459998</v>
      </c>
      <c r="C26" s="32">
        <v>27.627232551117601</v>
      </c>
      <c r="D26" s="32">
        <v>26.6052574302424</v>
      </c>
      <c r="E26" s="32">
        <v>32.199147681891901</v>
      </c>
      <c r="F26" s="15">
        <v>25.409836065573799</v>
      </c>
      <c r="G26" s="15">
        <v>25.4237288135593</v>
      </c>
      <c r="H26" s="15">
        <v>24.096385542168701</v>
      </c>
      <c r="I26" s="15">
        <v>28.8888888888889</v>
      </c>
      <c r="J26" s="15">
        <v>41.071428571428598</v>
      </c>
      <c r="K26" s="15">
        <v>44.4444444444444</v>
      </c>
      <c r="L26" s="15">
        <v>35.922330097087404</v>
      </c>
      <c r="M26" s="15">
        <v>29.629629629629601</v>
      </c>
      <c r="N26" s="15">
        <v>27.118644067796598</v>
      </c>
      <c r="O26" s="15">
        <v>33.3333333333333</v>
      </c>
      <c r="P26" s="15">
        <v>32.9268292682927</v>
      </c>
      <c r="Q26" s="15">
        <v>29.4478527607362</v>
      </c>
      <c r="R26" s="15">
        <v>30.681818181818201</v>
      </c>
      <c r="S26" s="15">
        <v>22.972972972973</v>
      </c>
      <c r="T26" s="15">
        <v>27.7777777777778</v>
      </c>
      <c r="U26" s="15">
        <v>28.688524590163901</v>
      </c>
      <c r="V26" s="15">
        <v>45.945945945945901</v>
      </c>
      <c r="W26" s="15">
        <v>43.181818181818201</v>
      </c>
      <c r="X26" s="15">
        <v>39.673913043478301</v>
      </c>
      <c r="Y26" s="15">
        <v>52.258064516128997</v>
      </c>
      <c r="Z26" s="15">
        <v>40.350877192982502</v>
      </c>
      <c r="AA26" s="32">
        <v>21.954475083657002</v>
      </c>
      <c r="AB26" s="15">
        <v>12.258064516129</v>
      </c>
      <c r="AC26" s="15">
        <v>24.6056782334385</v>
      </c>
      <c r="AD26" s="15">
        <v>18.025751072961398</v>
      </c>
      <c r="AE26" s="15">
        <v>24.9190938511327</v>
      </c>
      <c r="AF26" s="15">
        <v>18.641810918775001</v>
      </c>
      <c r="AG26" s="15">
        <v>24.1042345276873</v>
      </c>
      <c r="AH26" s="15">
        <v>29.537366548042701</v>
      </c>
      <c r="AI26" s="24">
        <v>44.4444444444444</v>
      </c>
      <c r="AJ26" s="38"/>
    </row>
    <row r="27" spans="1:36">
      <c r="A27" s="9" t="s">
        <v>176</v>
      </c>
      <c r="B27" s="36">
        <v>20.3353658627851</v>
      </c>
      <c r="C27" s="32">
        <v>19.988573970494102</v>
      </c>
      <c r="D27" s="32">
        <v>20.699360523360301</v>
      </c>
      <c r="E27" s="32">
        <v>28.823985667245399</v>
      </c>
      <c r="F27" s="15">
        <v>31.1475409836066</v>
      </c>
      <c r="G27" s="15">
        <v>25.4237288135593</v>
      </c>
      <c r="H27" s="15">
        <v>33.734939759036102</v>
      </c>
      <c r="I27" s="15">
        <v>23.3333333333333</v>
      </c>
      <c r="J27" s="15">
        <v>32.142857142857103</v>
      </c>
      <c r="K27" s="15">
        <v>25</v>
      </c>
      <c r="L27" s="15">
        <v>24.271844660194201</v>
      </c>
      <c r="M27" s="15">
        <v>23.456790123456798</v>
      </c>
      <c r="N27" s="15">
        <v>18.644067796610202</v>
      </c>
      <c r="O27" s="15">
        <v>35.087719298245602</v>
      </c>
      <c r="P27" s="15">
        <v>29.268292682926798</v>
      </c>
      <c r="Q27" s="15">
        <v>22.085889570552101</v>
      </c>
      <c r="R27" s="15">
        <v>29.545454545454501</v>
      </c>
      <c r="S27" s="15">
        <v>28.3783783783784</v>
      </c>
      <c r="T27" s="15">
        <v>33.3333333333333</v>
      </c>
      <c r="U27" s="15">
        <v>26.229508196721302</v>
      </c>
      <c r="V27" s="15">
        <v>20.270270270270299</v>
      </c>
      <c r="W27" s="15">
        <v>36.363636363636402</v>
      </c>
      <c r="X27" s="15">
        <v>30.978260869565201</v>
      </c>
      <c r="Y27" s="15">
        <v>37.419354838709701</v>
      </c>
      <c r="Z27" s="15">
        <v>35.964912280701803</v>
      </c>
      <c r="AA27" s="32">
        <v>13.9445152382453</v>
      </c>
      <c r="AB27" s="15">
        <v>18.064516129032299</v>
      </c>
      <c r="AC27" s="15">
        <v>17.981072555204999</v>
      </c>
      <c r="AD27" s="15">
        <v>14.5922746781116</v>
      </c>
      <c r="AE27" s="15">
        <v>18.446601941747598</v>
      </c>
      <c r="AF27" s="15">
        <v>14.647137150466</v>
      </c>
      <c r="AG27" s="15">
        <v>14.0065146579805</v>
      </c>
      <c r="AH27" s="15">
        <v>14.9466192170818</v>
      </c>
      <c r="AI27" s="24">
        <v>27.7777777777778</v>
      </c>
      <c r="AJ27" s="38"/>
    </row>
    <row r="28" spans="1:36">
      <c r="A28" s="9" t="s">
        <v>177</v>
      </c>
      <c r="B28" s="36">
        <v>27.792107356032101</v>
      </c>
      <c r="C28" s="32">
        <v>27.236339283375202</v>
      </c>
      <c r="D28" s="32">
        <v>27.6968163813135</v>
      </c>
      <c r="E28" s="32">
        <v>33.705454963437099</v>
      </c>
      <c r="F28" s="15">
        <v>31.967213114754099</v>
      </c>
      <c r="G28" s="15">
        <v>38.983050847457598</v>
      </c>
      <c r="H28" s="15">
        <v>27.710843373494001</v>
      </c>
      <c r="I28" s="15">
        <v>28.8888888888889</v>
      </c>
      <c r="J28" s="15">
        <v>44.642857142857103</v>
      </c>
      <c r="K28" s="15">
        <v>33.3333333333333</v>
      </c>
      <c r="L28" s="15">
        <v>35.922330097087404</v>
      </c>
      <c r="M28" s="15">
        <v>34.567901234567898</v>
      </c>
      <c r="N28" s="15">
        <v>25.4237288135593</v>
      </c>
      <c r="O28" s="15">
        <v>36.842105263157897</v>
      </c>
      <c r="P28" s="15">
        <v>35.365853658536601</v>
      </c>
      <c r="Q28" s="15">
        <v>23.312883435582801</v>
      </c>
      <c r="R28" s="15">
        <v>36.363636363636402</v>
      </c>
      <c r="S28" s="15">
        <v>28.3783783783784</v>
      </c>
      <c r="T28" s="15">
        <v>41.6666666666667</v>
      </c>
      <c r="U28" s="15">
        <v>36.885245901639301</v>
      </c>
      <c r="V28" s="15">
        <v>32.4324324324324</v>
      </c>
      <c r="W28" s="15">
        <v>46.590909090909101</v>
      </c>
      <c r="X28" s="15">
        <v>39.673913043478301</v>
      </c>
      <c r="Y28" s="15">
        <v>40</v>
      </c>
      <c r="Z28" s="15">
        <v>42.982456140350898</v>
      </c>
      <c r="AA28" s="32">
        <v>22.701210642264101</v>
      </c>
      <c r="AB28" s="15">
        <v>16.7741935483871</v>
      </c>
      <c r="AC28" s="15">
        <v>26.498422712933799</v>
      </c>
      <c r="AD28" s="15">
        <v>27.896995708154499</v>
      </c>
      <c r="AE28" s="15">
        <v>26.213592233009699</v>
      </c>
      <c r="AF28" s="15">
        <v>27.962716378162501</v>
      </c>
      <c r="AG28" s="15">
        <v>19.218241042345301</v>
      </c>
      <c r="AH28" s="15">
        <v>23.131672597864799</v>
      </c>
      <c r="AI28" s="24">
        <v>50</v>
      </c>
      <c r="AJ28" s="38"/>
    </row>
    <row r="29" spans="1:36">
      <c r="A29" s="9" t="s">
        <v>178</v>
      </c>
      <c r="B29" s="36">
        <v>10.542809903992699</v>
      </c>
      <c r="C29" s="32">
        <v>9.7405264246469407</v>
      </c>
      <c r="D29" s="32">
        <v>10.303473902133099</v>
      </c>
      <c r="E29" s="32">
        <v>12.0112959477436</v>
      </c>
      <c r="F29" s="15">
        <v>9.0163934426229506</v>
      </c>
      <c r="G29" s="20" t="s">
        <v>80</v>
      </c>
      <c r="H29" s="15">
        <v>13.253012048192801</v>
      </c>
      <c r="I29" s="15">
        <v>8.8888888888888893</v>
      </c>
      <c r="J29" s="15">
        <v>17.8571428571429</v>
      </c>
      <c r="K29" s="15">
        <v>16.6666666666667</v>
      </c>
      <c r="L29" s="15">
        <v>9.7087378640776691</v>
      </c>
      <c r="M29" s="15">
        <v>13.580246913580201</v>
      </c>
      <c r="N29" s="15">
        <v>15.254237288135601</v>
      </c>
      <c r="O29" s="20" t="s">
        <v>80</v>
      </c>
      <c r="P29" s="15">
        <v>12.1951219512195</v>
      </c>
      <c r="Q29" s="15">
        <v>7.3619631901840501</v>
      </c>
      <c r="R29" s="15">
        <v>5.6818181818181799</v>
      </c>
      <c r="S29" s="15">
        <v>9.4594594594594597</v>
      </c>
      <c r="T29" s="15">
        <v>12.5</v>
      </c>
      <c r="U29" s="15">
        <v>9.0163934426229506</v>
      </c>
      <c r="V29" s="15">
        <v>10.8108108108108</v>
      </c>
      <c r="W29" s="15">
        <v>19.318181818181799</v>
      </c>
      <c r="X29" s="15">
        <v>15.7608695652174</v>
      </c>
      <c r="Y29" s="15">
        <v>20</v>
      </c>
      <c r="Z29" s="15">
        <v>22.8070175438597</v>
      </c>
      <c r="AA29" s="32">
        <v>8.8835839394202392</v>
      </c>
      <c r="AB29" s="15">
        <v>4.5161290322580596</v>
      </c>
      <c r="AC29" s="15">
        <v>11.3564668769716</v>
      </c>
      <c r="AD29" s="15">
        <v>9.0128755364806903</v>
      </c>
      <c r="AE29" s="15">
        <v>8.7378640776699008</v>
      </c>
      <c r="AF29" s="15">
        <v>10.7856191744341</v>
      </c>
      <c r="AG29" s="15">
        <v>12.703583061889301</v>
      </c>
      <c r="AH29" s="15">
        <v>8.8967971530249095</v>
      </c>
      <c r="AI29" s="24">
        <v>27.7777777777778</v>
      </c>
      <c r="AJ29" s="38"/>
    </row>
    <row r="30" spans="1:36">
      <c r="A30" s="9" t="s">
        <v>179</v>
      </c>
      <c r="B30" s="36">
        <v>13.690403834283</v>
      </c>
      <c r="C30" s="32">
        <v>14.1133531553153</v>
      </c>
      <c r="D30" s="32">
        <v>16.668672081224202</v>
      </c>
      <c r="E30" s="32">
        <v>18.870789979993599</v>
      </c>
      <c r="F30" s="15">
        <v>9.0163934426229506</v>
      </c>
      <c r="G30" s="15">
        <v>18.644067796610202</v>
      </c>
      <c r="H30" s="15">
        <v>21.6867469879518</v>
      </c>
      <c r="I30" s="15">
        <v>16.6666666666667</v>
      </c>
      <c r="J30" s="15">
        <v>17.8571428571429</v>
      </c>
      <c r="K30" s="20" t="s">
        <v>80</v>
      </c>
      <c r="L30" s="15">
        <v>18.446601941747598</v>
      </c>
      <c r="M30" s="15">
        <v>13.580246913580201</v>
      </c>
      <c r="N30" s="15">
        <v>15.254237288135601</v>
      </c>
      <c r="O30" s="15">
        <v>8.7719298245614006</v>
      </c>
      <c r="P30" s="15">
        <v>25.609756097561</v>
      </c>
      <c r="Q30" s="15">
        <v>16.564417177914098</v>
      </c>
      <c r="R30" s="15">
        <v>13.636363636363599</v>
      </c>
      <c r="S30" s="15">
        <v>20.270270270270299</v>
      </c>
      <c r="T30" s="15">
        <v>23.6111111111111</v>
      </c>
      <c r="U30" s="15">
        <v>10.655737704918</v>
      </c>
      <c r="V30" s="15">
        <v>20.270270270270299</v>
      </c>
      <c r="W30" s="15">
        <v>17.045454545454501</v>
      </c>
      <c r="X30" s="15">
        <v>17.934782608695699</v>
      </c>
      <c r="Y30" s="15">
        <v>64.516129032258107</v>
      </c>
      <c r="Z30" s="15">
        <v>23.684210526315798</v>
      </c>
      <c r="AA30" s="32">
        <v>14.8378226029605</v>
      </c>
      <c r="AB30" s="15">
        <v>9.67741935483871</v>
      </c>
      <c r="AC30" s="15">
        <v>17.0347003154574</v>
      </c>
      <c r="AD30" s="15">
        <v>15.8798283261803</v>
      </c>
      <c r="AE30" s="15">
        <v>17.1521035598706</v>
      </c>
      <c r="AF30" s="15">
        <v>14.913448735019999</v>
      </c>
      <c r="AG30" s="15">
        <v>20.1954397394137</v>
      </c>
      <c r="AH30" s="15">
        <v>13.8790035587189</v>
      </c>
      <c r="AI30" s="26" t="s">
        <v>80</v>
      </c>
      <c r="AJ30" s="38"/>
    </row>
    <row r="31" spans="1:36">
      <c r="A31" s="9" t="s">
        <v>180</v>
      </c>
      <c r="B31" s="36">
        <v>22.086676376214999</v>
      </c>
      <c r="C31" s="32">
        <v>21.2065883927812</v>
      </c>
      <c r="D31" s="32">
        <v>23.985878127300001</v>
      </c>
      <c r="E31" s="32">
        <v>28.120483564276199</v>
      </c>
      <c r="F31" s="15">
        <v>23.770491803278698</v>
      </c>
      <c r="G31" s="15">
        <v>25.4237288135593</v>
      </c>
      <c r="H31" s="15">
        <v>34.939759036144601</v>
      </c>
      <c r="I31" s="15">
        <v>27.7777777777778</v>
      </c>
      <c r="J31" s="15">
        <v>26.785714285714299</v>
      </c>
      <c r="K31" s="15">
        <v>25</v>
      </c>
      <c r="L31" s="15">
        <v>23.300970873786401</v>
      </c>
      <c r="M31" s="15">
        <v>13.580246913580201</v>
      </c>
      <c r="N31" s="15">
        <v>23.728813559321999</v>
      </c>
      <c r="O31" s="15">
        <v>15.789473684210501</v>
      </c>
      <c r="P31" s="15">
        <v>25.609756097561</v>
      </c>
      <c r="Q31" s="15">
        <v>25.766871165644201</v>
      </c>
      <c r="R31" s="15">
        <v>27.272727272727298</v>
      </c>
      <c r="S31" s="15">
        <v>18.918918918918902</v>
      </c>
      <c r="T31" s="15">
        <v>34.7222222222222</v>
      </c>
      <c r="U31" s="15">
        <v>19.672131147540998</v>
      </c>
      <c r="V31" s="15">
        <v>24.324324324324301</v>
      </c>
      <c r="W31" s="15">
        <v>23.863636363636399</v>
      </c>
      <c r="X31" s="15">
        <v>29.8913043478261</v>
      </c>
      <c r="Y31" s="15">
        <v>39.354838709677402</v>
      </c>
      <c r="Z31" s="15">
        <v>37.719298245613999</v>
      </c>
      <c r="AA31" s="32">
        <v>20.548350912547299</v>
      </c>
      <c r="AB31" s="15">
        <v>21.290322580645199</v>
      </c>
      <c r="AC31" s="15">
        <v>20.189274447949501</v>
      </c>
      <c r="AD31" s="15">
        <v>25.751072961373399</v>
      </c>
      <c r="AE31" s="15">
        <v>22.006472491909399</v>
      </c>
      <c r="AF31" s="15">
        <v>23.834886817576599</v>
      </c>
      <c r="AG31" s="15">
        <v>19.543973941368101</v>
      </c>
      <c r="AH31" s="15">
        <v>22.0640569395018</v>
      </c>
      <c r="AI31" s="24">
        <v>27.7777777777778</v>
      </c>
      <c r="AJ31" s="38"/>
    </row>
    <row r="32" spans="1:36">
      <c r="A32" s="9" t="s">
        <v>181</v>
      </c>
      <c r="B32" s="36">
        <v>5.0232156705145004</v>
      </c>
      <c r="C32" s="32">
        <v>4.9297072956837296</v>
      </c>
      <c r="D32" s="32">
        <v>5.4020806080666199</v>
      </c>
      <c r="E32" s="32">
        <v>5.3821459601930997</v>
      </c>
      <c r="F32" s="15">
        <v>4.0983606557377001</v>
      </c>
      <c r="G32" s="20" t="s">
        <v>80</v>
      </c>
      <c r="H32" s="15">
        <v>8.4337349397590398</v>
      </c>
      <c r="I32" s="20" t="s">
        <v>80</v>
      </c>
      <c r="J32" s="20" t="s">
        <v>80</v>
      </c>
      <c r="K32" s="20" t="s">
        <v>80</v>
      </c>
      <c r="L32" s="20" t="s">
        <v>80</v>
      </c>
      <c r="M32" s="20" t="s">
        <v>80</v>
      </c>
      <c r="N32" s="20" t="s">
        <v>80</v>
      </c>
      <c r="O32" s="20" t="s">
        <v>80</v>
      </c>
      <c r="P32" s="20" t="s">
        <v>80</v>
      </c>
      <c r="Q32" s="20" t="s">
        <v>80</v>
      </c>
      <c r="R32" s="20" t="s">
        <v>80</v>
      </c>
      <c r="S32" s="20" t="s">
        <v>80</v>
      </c>
      <c r="T32" s="15">
        <v>6.9444444444444402</v>
      </c>
      <c r="U32" s="15">
        <v>4.0983606557377001</v>
      </c>
      <c r="V32" s="20" t="s">
        <v>80</v>
      </c>
      <c r="W32" s="15">
        <v>14.7727272727273</v>
      </c>
      <c r="X32" s="15">
        <v>3.8043478260869601</v>
      </c>
      <c r="Y32" s="15">
        <v>10.322580645161301</v>
      </c>
      <c r="Z32" s="15">
        <v>14.912280701754399</v>
      </c>
      <c r="AA32" s="32">
        <v>5.4186543526781197</v>
      </c>
      <c r="AB32" s="15">
        <v>3.87096774193548</v>
      </c>
      <c r="AC32" s="15">
        <v>7.5709779179810699</v>
      </c>
      <c r="AD32" s="15">
        <v>6.0085836909871198</v>
      </c>
      <c r="AE32" s="15">
        <v>5.1779935275080904</v>
      </c>
      <c r="AF32" s="15">
        <v>5.7256990679094502</v>
      </c>
      <c r="AG32" s="15">
        <v>8.1433224755700309</v>
      </c>
      <c r="AH32" s="15">
        <v>5.3380782918149503</v>
      </c>
      <c r="AI32" s="26" t="s">
        <v>80</v>
      </c>
      <c r="AJ32" s="38"/>
    </row>
    <row r="33" spans="1:36">
      <c r="A33" s="9" t="s">
        <v>182</v>
      </c>
      <c r="B33" s="36">
        <v>13.8148645650865</v>
      </c>
      <c r="C33" s="32">
        <v>14.0395196916487</v>
      </c>
      <c r="D33" s="32">
        <v>14.157435936346801</v>
      </c>
      <c r="E33" s="32">
        <v>15.9486201028389</v>
      </c>
      <c r="F33" s="15">
        <v>25.409836065573799</v>
      </c>
      <c r="G33" s="15">
        <v>10.1694915254237</v>
      </c>
      <c r="H33" s="15">
        <v>9.6385542168674707</v>
      </c>
      <c r="I33" s="15">
        <v>16.6666666666667</v>
      </c>
      <c r="J33" s="15">
        <v>21.428571428571399</v>
      </c>
      <c r="K33" s="20" t="s">
        <v>80</v>
      </c>
      <c r="L33" s="15">
        <v>17.475728155339802</v>
      </c>
      <c r="M33" s="15">
        <v>16.049382716049401</v>
      </c>
      <c r="N33" s="20" t="s">
        <v>80</v>
      </c>
      <c r="O33" s="15">
        <v>19.2982456140351</v>
      </c>
      <c r="P33" s="15">
        <v>24.390243902439</v>
      </c>
      <c r="Q33" s="15">
        <v>11.0429447852761</v>
      </c>
      <c r="R33" s="15">
        <v>15.909090909090899</v>
      </c>
      <c r="S33" s="15">
        <v>14.8648648648649</v>
      </c>
      <c r="T33" s="15">
        <v>22.2222222222222</v>
      </c>
      <c r="U33" s="15">
        <v>6.5573770491803298</v>
      </c>
      <c r="V33" s="15">
        <v>14.8648648648649</v>
      </c>
      <c r="W33" s="15">
        <v>20.454545454545499</v>
      </c>
      <c r="X33" s="15">
        <v>19.021739130434799</v>
      </c>
      <c r="Y33" s="15">
        <v>30.322580645161299</v>
      </c>
      <c r="Z33" s="15">
        <v>20.175438596491201</v>
      </c>
      <c r="AA33" s="32">
        <v>12.6682383786098</v>
      </c>
      <c r="AB33" s="15">
        <v>7.0967741935483897</v>
      </c>
      <c r="AC33" s="15">
        <v>21.1356466876972</v>
      </c>
      <c r="AD33" s="15">
        <v>13.3047210300429</v>
      </c>
      <c r="AE33" s="15">
        <v>12.621359223301001</v>
      </c>
      <c r="AF33" s="15">
        <v>13.981358189081201</v>
      </c>
      <c r="AG33" s="15">
        <v>10.0977198697068</v>
      </c>
      <c r="AH33" s="15">
        <v>18.5053380782918</v>
      </c>
      <c r="AI33" s="26" t="s">
        <v>80</v>
      </c>
      <c r="AJ33" s="38"/>
    </row>
    <row r="34" spans="1:36">
      <c r="A34" s="9" t="s">
        <v>183</v>
      </c>
      <c r="B34" s="36">
        <v>32.341964656762499</v>
      </c>
      <c r="C34" s="32">
        <v>33.573689501337803</v>
      </c>
      <c r="D34" s="32">
        <v>32.887332289845297</v>
      </c>
      <c r="E34" s="32">
        <v>33.098584543835798</v>
      </c>
      <c r="F34" s="15">
        <v>24.590163934426201</v>
      </c>
      <c r="G34" s="15">
        <v>27.118644067796598</v>
      </c>
      <c r="H34" s="15">
        <v>31.325301204819301</v>
      </c>
      <c r="I34" s="15">
        <v>26.6666666666667</v>
      </c>
      <c r="J34" s="15">
        <v>42.857142857142897</v>
      </c>
      <c r="K34" s="15">
        <v>33.3333333333333</v>
      </c>
      <c r="L34" s="15">
        <v>33.980582524271803</v>
      </c>
      <c r="M34" s="15">
        <v>29.629629629629601</v>
      </c>
      <c r="N34" s="15">
        <v>28.8135593220339</v>
      </c>
      <c r="O34" s="15">
        <v>29.824561403508799</v>
      </c>
      <c r="P34" s="15">
        <v>31.707317073170699</v>
      </c>
      <c r="Q34" s="15">
        <v>25.153374233128801</v>
      </c>
      <c r="R34" s="15">
        <v>23.863636363636399</v>
      </c>
      <c r="S34" s="15">
        <v>28.3783783783784</v>
      </c>
      <c r="T34" s="15">
        <v>34.7222222222222</v>
      </c>
      <c r="U34" s="15">
        <v>32.786885245901601</v>
      </c>
      <c r="V34" s="15">
        <v>40.540540540540498</v>
      </c>
      <c r="W34" s="15">
        <v>45.454545454545503</v>
      </c>
      <c r="X34" s="15">
        <v>36.956521739130402</v>
      </c>
      <c r="Y34" s="15">
        <v>44.5161290322581</v>
      </c>
      <c r="Z34" s="15">
        <v>41.228070175438603</v>
      </c>
      <c r="AA34" s="32">
        <v>32.711696335377702</v>
      </c>
      <c r="AB34" s="15">
        <v>29.0322580645161</v>
      </c>
      <c r="AC34" s="15">
        <v>32.492113564668799</v>
      </c>
      <c r="AD34" s="15">
        <v>33.905579399141601</v>
      </c>
      <c r="AE34" s="15">
        <v>34.3042071197411</v>
      </c>
      <c r="AF34" s="15">
        <v>29.294274300932098</v>
      </c>
      <c r="AG34" s="15">
        <v>36.156351791530902</v>
      </c>
      <c r="AH34" s="15">
        <v>30.604982206405701</v>
      </c>
      <c r="AI34" s="24">
        <v>33.3333333333333</v>
      </c>
      <c r="AJ34" s="38"/>
    </row>
    <row r="35" spans="1:36">
      <c r="A35" s="9" t="s">
        <v>184</v>
      </c>
      <c r="B35" s="36">
        <v>24.858609843316302</v>
      </c>
      <c r="C35" s="32">
        <v>24.3203816617482</v>
      </c>
      <c r="D35" s="32">
        <v>22.886412456759999</v>
      </c>
      <c r="E35" s="32">
        <v>25.057465695095502</v>
      </c>
      <c r="F35" s="15">
        <v>27.868852459016399</v>
      </c>
      <c r="G35" s="15">
        <v>22.033898305084701</v>
      </c>
      <c r="H35" s="15">
        <v>19.277108433734899</v>
      </c>
      <c r="I35" s="15">
        <v>26.6666666666667</v>
      </c>
      <c r="J35" s="15">
        <v>23.214285714285701</v>
      </c>
      <c r="K35" s="15">
        <v>41.6666666666667</v>
      </c>
      <c r="L35" s="15">
        <v>31.067961165048501</v>
      </c>
      <c r="M35" s="15">
        <v>20.987654320987701</v>
      </c>
      <c r="N35" s="15">
        <v>18.644067796610202</v>
      </c>
      <c r="O35" s="15">
        <v>28.0701754385965</v>
      </c>
      <c r="P35" s="15">
        <v>29.268292682926798</v>
      </c>
      <c r="Q35" s="15">
        <v>26.380368098159501</v>
      </c>
      <c r="R35" s="15">
        <v>19.318181818181799</v>
      </c>
      <c r="S35" s="15">
        <v>20.270270270270299</v>
      </c>
      <c r="T35" s="15">
        <v>27.7777777777778</v>
      </c>
      <c r="U35" s="15">
        <v>14.7540983606557</v>
      </c>
      <c r="V35" s="15">
        <v>32.4324324324324</v>
      </c>
      <c r="W35" s="15">
        <v>28.409090909090899</v>
      </c>
      <c r="X35" s="15">
        <v>31.521739130434799</v>
      </c>
      <c r="Y35" s="15">
        <v>36.129032258064498</v>
      </c>
      <c r="Z35" s="15">
        <v>31.578947368421101</v>
      </c>
      <c r="AA35" s="32">
        <v>21.0813902593062</v>
      </c>
      <c r="AB35" s="15">
        <v>13.548387096774199</v>
      </c>
      <c r="AC35" s="15">
        <v>29.022082018927399</v>
      </c>
      <c r="AD35" s="15">
        <v>21.4592274678112</v>
      </c>
      <c r="AE35" s="15">
        <v>25.5663430420712</v>
      </c>
      <c r="AF35" s="15">
        <v>18.508655126497999</v>
      </c>
      <c r="AG35" s="15">
        <v>22.801302931596101</v>
      </c>
      <c r="AH35" s="15">
        <v>28.113879003558701</v>
      </c>
      <c r="AI35" s="26" t="s">
        <v>80</v>
      </c>
      <c r="AJ35" s="38"/>
    </row>
    <row r="36" spans="1:36">
      <c r="A36" s="9" t="s">
        <v>185</v>
      </c>
      <c r="B36" s="36">
        <v>19.9339502820118</v>
      </c>
      <c r="C36" s="32">
        <v>21.0090081495572</v>
      </c>
      <c r="D36" s="32">
        <v>21.813534940415</v>
      </c>
      <c r="E36" s="32">
        <v>24.721193261595001</v>
      </c>
      <c r="F36" s="15">
        <v>27.868852459016399</v>
      </c>
      <c r="G36" s="15">
        <v>13.559322033898299</v>
      </c>
      <c r="H36" s="15">
        <v>32.530120481927703</v>
      </c>
      <c r="I36" s="15">
        <v>17.7777777777778</v>
      </c>
      <c r="J36" s="15">
        <v>41.071428571428598</v>
      </c>
      <c r="K36" s="15">
        <v>36.1111111111111</v>
      </c>
      <c r="L36" s="15">
        <v>28.1553398058252</v>
      </c>
      <c r="M36" s="15">
        <v>32.098765432098801</v>
      </c>
      <c r="N36" s="15">
        <v>32.203389830508499</v>
      </c>
      <c r="O36" s="15">
        <v>35.087719298245602</v>
      </c>
      <c r="P36" s="15">
        <v>29.268292682926798</v>
      </c>
      <c r="Q36" s="15">
        <v>19.018404907975501</v>
      </c>
      <c r="R36" s="15">
        <v>23.863636363636399</v>
      </c>
      <c r="S36" s="20" t="s">
        <v>80</v>
      </c>
      <c r="T36" s="15">
        <v>19.4444444444444</v>
      </c>
      <c r="U36" s="15">
        <v>20.491803278688501</v>
      </c>
      <c r="V36" s="15">
        <v>33.783783783783797</v>
      </c>
      <c r="W36" s="15">
        <v>35.227272727272698</v>
      </c>
      <c r="X36" s="15">
        <v>25</v>
      </c>
      <c r="Y36" s="15">
        <v>30.322580645161299</v>
      </c>
      <c r="Z36" s="15">
        <v>29.824561403508799</v>
      </c>
      <c r="AA36" s="32">
        <v>19.396096381255099</v>
      </c>
      <c r="AB36" s="15">
        <v>19.354838709677399</v>
      </c>
      <c r="AC36" s="15">
        <v>29.6529968454259</v>
      </c>
      <c r="AD36" s="15">
        <v>12.0171673819742</v>
      </c>
      <c r="AE36" s="15">
        <v>22.977346278317199</v>
      </c>
      <c r="AF36" s="15">
        <v>24.3675099866844</v>
      </c>
      <c r="AG36" s="15">
        <v>17.915309446254099</v>
      </c>
      <c r="AH36" s="15">
        <v>23.131672597864799</v>
      </c>
      <c r="AI36" s="24">
        <v>27.7777777777778</v>
      </c>
      <c r="AJ36" s="38"/>
    </row>
    <row r="37" spans="1:36">
      <c r="A37" s="9" t="s">
        <v>186</v>
      </c>
      <c r="B37" s="36">
        <v>23.045320647667999</v>
      </c>
      <c r="C37" s="32">
        <v>25.542653184215101</v>
      </c>
      <c r="D37" s="32">
        <v>24.6693147944533</v>
      </c>
      <c r="E37" s="32">
        <v>25.919829976048099</v>
      </c>
      <c r="F37" s="15">
        <v>39.344262295081997</v>
      </c>
      <c r="G37" s="15">
        <v>35.593220338983102</v>
      </c>
      <c r="H37" s="15">
        <v>12.048192771084301</v>
      </c>
      <c r="I37" s="15">
        <v>26.6666666666667</v>
      </c>
      <c r="J37" s="15">
        <v>41.071428571428598</v>
      </c>
      <c r="K37" s="15">
        <v>66.6666666666667</v>
      </c>
      <c r="L37" s="15">
        <v>49.514563106796103</v>
      </c>
      <c r="M37" s="15">
        <v>40.740740740740698</v>
      </c>
      <c r="N37" s="15">
        <v>23.728813559321999</v>
      </c>
      <c r="O37" s="15">
        <v>50.877192982456101</v>
      </c>
      <c r="P37" s="15">
        <v>37.804878048780502</v>
      </c>
      <c r="Q37" s="15">
        <v>16.564417177914098</v>
      </c>
      <c r="R37" s="15">
        <v>22.727272727272702</v>
      </c>
      <c r="S37" s="15">
        <v>17.5675675675676</v>
      </c>
      <c r="T37" s="15">
        <v>19.4444444444444</v>
      </c>
      <c r="U37" s="15">
        <v>13.934426229508199</v>
      </c>
      <c r="V37" s="15">
        <v>28.3783783783784</v>
      </c>
      <c r="W37" s="15">
        <v>38.636363636363598</v>
      </c>
      <c r="X37" s="15">
        <v>28.804347826087</v>
      </c>
      <c r="Y37" s="15">
        <v>41.290322580645203</v>
      </c>
      <c r="Z37" s="15">
        <v>38.596491228070199</v>
      </c>
      <c r="AA37" s="32">
        <v>23.629631556301899</v>
      </c>
      <c r="AB37" s="15">
        <v>20</v>
      </c>
      <c r="AC37" s="15">
        <v>47.003154574132502</v>
      </c>
      <c r="AD37" s="15">
        <v>10.7296137339056</v>
      </c>
      <c r="AE37" s="15">
        <v>23.300970873786401</v>
      </c>
      <c r="AF37" s="15">
        <v>25.565912117177099</v>
      </c>
      <c r="AG37" s="15">
        <v>17.589576547231299</v>
      </c>
      <c r="AH37" s="15">
        <v>44.1281138790036</v>
      </c>
      <c r="AI37" s="26" t="s">
        <v>80</v>
      </c>
      <c r="AJ37" s="38"/>
    </row>
    <row r="38" spans="1:36">
      <c r="A38" s="9" t="s">
        <v>187</v>
      </c>
      <c r="B38" s="36">
        <v>29.689677745083799</v>
      </c>
      <c r="C38" s="32">
        <v>28.767581090010601</v>
      </c>
      <c r="D38" s="32">
        <v>29.316687539551801</v>
      </c>
      <c r="E38" s="32">
        <v>39.359726867844699</v>
      </c>
      <c r="F38" s="15">
        <v>32.786885245901601</v>
      </c>
      <c r="G38" s="15">
        <v>38.983050847457598</v>
      </c>
      <c r="H38" s="15">
        <v>34.939759036144601</v>
      </c>
      <c r="I38" s="15">
        <v>31.1111111111111</v>
      </c>
      <c r="J38" s="15">
        <v>35.714285714285701</v>
      </c>
      <c r="K38" s="15">
        <v>38.8888888888889</v>
      </c>
      <c r="L38" s="15">
        <v>41.747572815533999</v>
      </c>
      <c r="M38" s="15">
        <v>37.037037037037003</v>
      </c>
      <c r="N38" s="15">
        <v>32.203389830508499</v>
      </c>
      <c r="O38" s="15">
        <v>38.596491228070199</v>
      </c>
      <c r="P38" s="15">
        <v>41.463414634146297</v>
      </c>
      <c r="Q38" s="15">
        <v>36.809815950920203</v>
      </c>
      <c r="R38" s="15">
        <v>38.636363636363598</v>
      </c>
      <c r="S38" s="15">
        <v>31.081081081081098</v>
      </c>
      <c r="T38" s="15">
        <v>44.4444444444444</v>
      </c>
      <c r="U38" s="15">
        <v>45.9016393442623</v>
      </c>
      <c r="V38" s="15">
        <v>29.729729729729701</v>
      </c>
      <c r="W38" s="15">
        <v>40.909090909090899</v>
      </c>
      <c r="X38" s="15">
        <v>43.478260869565197</v>
      </c>
      <c r="Y38" s="15">
        <v>54.193548387096797</v>
      </c>
      <c r="Z38" s="15">
        <v>56.140350877193001</v>
      </c>
      <c r="AA38" s="32">
        <v>20.9668651596232</v>
      </c>
      <c r="AB38" s="15">
        <v>17.419354838709701</v>
      </c>
      <c r="AC38" s="15">
        <v>22.712933753943201</v>
      </c>
      <c r="AD38" s="15">
        <v>21.0300429184549</v>
      </c>
      <c r="AE38" s="15">
        <v>22.977346278317199</v>
      </c>
      <c r="AF38" s="15">
        <v>24.6338215712384</v>
      </c>
      <c r="AG38" s="15">
        <v>23.7785016286645</v>
      </c>
      <c r="AH38" s="15">
        <v>21.708185053380799</v>
      </c>
      <c r="AI38" s="26" t="s">
        <v>80</v>
      </c>
      <c r="AJ38" s="38"/>
    </row>
    <row r="39" spans="1:36">
      <c r="A39" s="9" t="s">
        <v>188</v>
      </c>
      <c r="B39" s="36">
        <v>32.182801910492103</v>
      </c>
      <c r="C39" s="32">
        <v>32.475270092270897</v>
      </c>
      <c r="D39" s="32">
        <v>32.511699626252501</v>
      </c>
      <c r="E39" s="32">
        <v>32.256241970462703</v>
      </c>
      <c r="F39" s="15">
        <v>21.311475409836099</v>
      </c>
      <c r="G39" s="15">
        <v>30.508474576271201</v>
      </c>
      <c r="H39" s="15">
        <v>32.530120481927703</v>
      </c>
      <c r="I39" s="15">
        <v>35.5555555555556</v>
      </c>
      <c r="J39" s="15">
        <v>33.928571428571402</v>
      </c>
      <c r="K39" s="15">
        <v>52.7777777777778</v>
      </c>
      <c r="L39" s="15">
        <v>36.893203883495097</v>
      </c>
      <c r="M39" s="15">
        <v>22.2222222222222</v>
      </c>
      <c r="N39" s="15">
        <v>30.508474576271201</v>
      </c>
      <c r="O39" s="15">
        <v>26.315789473684202</v>
      </c>
      <c r="P39" s="15">
        <v>31.707317073170699</v>
      </c>
      <c r="Q39" s="15">
        <v>21.472392638036801</v>
      </c>
      <c r="R39" s="15">
        <v>27.272727272727298</v>
      </c>
      <c r="S39" s="15">
        <v>28.3783783783784</v>
      </c>
      <c r="T39" s="15">
        <v>29.1666666666667</v>
      </c>
      <c r="U39" s="15">
        <v>29.508196721311499</v>
      </c>
      <c r="V39" s="15">
        <v>37.837837837837803</v>
      </c>
      <c r="W39" s="15">
        <v>46.590909090909101</v>
      </c>
      <c r="X39" s="15">
        <v>34.7826086956522</v>
      </c>
      <c r="Y39" s="15">
        <v>45.806451612903203</v>
      </c>
      <c r="Z39" s="15">
        <v>42.982456140350898</v>
      </c>
      <c r="AA39" s="32">
        <v>32.7240881255616</v>
      </c>
      <c r="AB39" s="15">
        <v>25.806451612903199</v>
      </c>
      <c r="AC39" s="15">
        <v>29.337539432176701</v>
      </c>
      <c r="AD39" s="15">
        <v>36.480686695278997</v>
      </c>
      <c r="AE39" s="15">
        <v>36.245954692556602</v>
      </c>
      <c r="AF39" s="15">
        <v>24.500665778961402</v>
      </c>
      <c r="AG39" s="15">
        <v>35.830618892508099</v>
      </c>
      <c r="AH39" s="15">
        <v>38.434163701067597</v>
      </c>
      <c r="AI39" s="24">
        <v>38.8888888888889</v>
      </c>
      <c r="AJ39" s="38"/>
    </row>
    <row r="40" spans="1:36">
      <c r="A40" s="9" t="s">
        <v>189</v>
      </c>
      <c r="B40" s="36">
        <v>19.109923258119501</v>
      </c>
      <c r="C40" s="32">
        <v>18.784516550205201</v>
      </c>
      <c r="D40" s="32">
        <v>19.8008084227843</v>
      </c>
      <c r="E40" s="32">
        <v>23.6476010830301</v>
      </c>
      <c r="F40" s="15">
        <v>18.8524590163934</v>
      </c>
      <c r="G40" s="15">
        <v>18.644067796610202</v>
      </c>
      <c r="H40" s="15">
        <v>28.9156626506024</v>
      </c>
      <c r="I40" s="15">
        <v>18.8888888888889</v>
      </c>
      <c r="J40" s="15">
        <v>26.785714285714299</v>
      </c>
      <c r="K40" s="15">
        <v>30.5555555555556</v>
      </c>
      <c r="L40" s="15">
        <v>29.126213592233</v>
      </c>
      <c r="M40" s="15">
        <v>24.6913580246914</v>
      </c>
      <c r="N40" s="15">
        <v>18.644067796610202</v>
      </c>
      <c r="O40" s="15">
        <v>22.8070175438597</v>
      </c>
      <c r="P40" s="15">
        <v>30.487804878048799</v>
      </c>
      <c r="Q40" s="15">
        <v>17.791411042944802</v>
      </c>
      <c r="R40" s="15">
        <v>26.136363636363601</v>
      </c>
      <c r="S40" s="15">
        <v>20.270270270270299</v>
      </c>
      <c r="T40" s="15">
        <v>29.1666666666667</v>
      </c>
      <c r="U40" s="15">
        <v>24.590163934426201</v>
      </c>
      <c r="V40" s="15">
        <v>17.5675675675676</v>
      </c>
      <c r="W40" s="15">
        <v>25</v>
      </c>
      <c r="X40" s="15">
        <v>21.739130434782599</v>
      </c>
      <c r="Y40" s="15">
        <v>30.322580645161299</v>
      </c>
      <c r="Z40" s="15">
        <v>26.315789473684202</v>
      </c>
      <c r="AA40" s="32">
        <v>16.6025698820889</v>
      </c>
      <c r="AB40" s="15">
        <v>11.6129032258065</v>
      </c>
      <c r="AC40" s="15">
        <v>19.5583596214511</v>
      </c>
      <c r="AD40" s="15">
        <v>15.8798283261803</v>
      </c>
      <c r="AE40" s="15">
        <v>18.446601941747598</v>
      </c>
      <c r="AF40" s="15">
        <v>18.641810918775001</v>
      </c>
      <c r="AG40" s="15">
        <v>15.960912052117299</v>
      </c>
      <c r="AH40" s="15">
        <v>17.081850533807799</v>
      </c>
      <c r="AI40" s="26" t="s">
        <v>80</v>
      </c>
      <c r="AJ40" s="38"/>
    </row>
    <row r="41" spans="1:36">
      <c r="A41" s="9" t="s">
        <v>190</v>
      </c>
      <c r="B41" s="36">
        <v>22.321807527942301</v>
      </c>
      <c r="C41" s="32">
        <v>23.361248092777501</v>
      </c>
      <c r="D41" s="32">
        <v>22.7113943611457</v>
      </c>
      <c r="E41" s="32">
        <v>25.074215101706301</v>
      </c>
      <c r="F41" s="15">
        <v>26.229508196721302</v>
      </c>
      <c r="G41" s="15">
        <v>23.728813559321999</v>
      </c>
      <c r="H41" s="15">
        <v>28.9156626506024</v>
      </c>
      <c r="I41" s="15">
        <v>15.5555555555556</v>
      </c>
      <c r="J41" s="15">
        <v>35.714285714285701</v>
      </c>
      <c r="K41" s="15">
        <v>41.6666666666667</v>
      </c>
      <c r="L41" s="15">
        <v>31.067961165048501</v>
      </c>
      <c r="M41" s="15">
        <v>27.160493827160501</v>
      </c>
      <c r="N41" s="15">
        <v>20.338983050847499</v>
      </c>
      <c r="O41" s="15">
        <v>31.578947368421101</v>
      </c>
      <c r="P41" s="15">
        <v>45.121951219512198</v>
      </c>
      <c r="Q41" s="15">
        <v>24.539877300613501</v>
      </c>
      <c r="R41" s="15">
        <v>10.2272727272727</v>
      </c>
      <c r="S41" s="15">
        <v>17.5675675675676</v>
      </c>
      <c r="T41" s="15">
        <v>26.3888888888889</v>
      </c>
      <c r="U41" s="15">
        <v>12.2950819672131</v>
      </c>
      <c r="V41" s="15">
        <v>39.1891891891892</v>
      </c>
      <c r="W41" s="15">
        <v>35.227272727272698</v>
      </c>
      <c r="X41" s="15">
        <v>15.2173913043478</v>
      </c>
      <c r="Y41" s="15">
        <v>41.935483870967701</v>
      </c>
      <c r="Z41" s="15">
        <v>22.8070175438597</v>
      </c>
      <c r="AA41" s="32">
        <v>20.746935908442801</v>
      </c>
      <c r="AB41" s="15">
        <v>14.193548387096801</v>
      </c>
      <c r="AC41" s="15">
        <v>23.974763406940099</v>
      </c>
      <c r="AD41" s="15">
        <v>15.450643776824</v>
      </c>
      <c r="AE41" s="15">
        <v>32.362459546925599</v>
      </c>
      <c r="AF41" s="15">
        <v>24.3675099866844</v>
      </c>
      <c r="AG41" s="15">
        <v>19.218241042345301</v>
      </c>
      <c r="AH41" s="15">
        <v>27.046263345195701</v>
      </c>
      <c r="AI41" s="24">
        <v>27.7777777777778</v>
      </c>
      <c r="AJ41" s="38"/>
    </row>
    <row r="42" spans="1:36">
      <c r="A42" s="9" t="s">
        <v>191</v>
      </c>
      <c r="B42" s="36">
        <v>11.439386042220599</v>
      </c>
      <c r="C42" s="32">
        <v>11.325044288168501</v>
      </c>
      <c r="D42" s="32">
        <v>11.2579435001868</v>
      </c>
      <c r="E42" s="32">
        <v>13.920774707755699</v>
      </c>
      <c r="F42" s="15">
        <v>13.934426229508199</v>
      </c>
      <c r="G42" s="15">
        <v>13.559322033898299</v>
      </c>
      <c r="H42" s="15">
        <v>16.867469879518101</v>
      </c>
      <c r="I42" s="15">
        <v>12.2222222222222</v>
      </c>
      <c r="J42" s="15">
        <v>23.214285714285701</v>
      </c>
      <c r="K42" s="15">
        <v>22.2222222222222</v>
      </c>
      <c r="L42" s="15">
        <v>12.621359223301001</v>
      </c>
      <c r="M42" s="15">
        <v>11.1111111111111</v>
      </c>
      <c r="N42" s="15">
        <v>18.644067796610202</v>
      </c>
      <c r="O42" s="15">
        <v>14.0350877192982</v>
      </c>
      <c r="P42" s="15">
        <v>18.292682926829301</v>
      </c>
      <c r="Q42" s="15">
        <v>4.9079754601227004</v>
      </c>
      <c r="R42" s="15">
        <v>7.9545454545454497</v>
      </c>
      <c r="S42" s="15">
        <v>9.4594594594594597</v>
      </c>
      <c r="T42" s="15">
        <v>8.3333333333333304</v>
      </c>
      <c r="U42" s="15">
        <v>9.8360655737704903</v>
      </c>
      <c r="V42" s="15">
        <v>14.8648648648649</v>
      </c>
      <c r="W42" s="15">
        <v>34.090909090909101</v>
      </c>
      <c r="X42" s="15">
        <v>13.586956521739101</v>
      </c>
      <c r="Y42" s="15">
        <v>30.9677419354839</v>
      </c>
      <c r="Z42" s="15">
        <v>30.7017543859649</v>
      </c>
      <c r="AA42" s="32">
        <v>9.0440551657764594</v>
      </c>
      <c r="AB42" s="15">
        <v>7.0967741935483897</v>
      </c>
      <c r="AC42" s="15">
        <v>12.3028391167192</v>
      </c>
      <c r="AD42" s="15">
        <v>8.5836909871244593</v>
      </c>
      <c r="AE42" s="15">
        <v>10.032362459546899</v>
      </c>
      <c r="AF42" s="15">
        <v>8.9214380825565893</v>
      </c>
      <c r="AG42" s="15">
        <v>10.0977198697068</v>
      </c>
      <c r="AH42" s="15">
        <v>12.8113879003559</v>
      </c>
      <c r="AI42" s="24">
        <v>33.3333333333333</v>
      </c>
      <c r="AJ42" s="38"/>
    </row>
    <row r="43" spans="1:36">
      <c r="A43" s="9" t="s">
        <v>192</v>
      </c>
      <c r="B43" s="36">
        <v>21.495499806940298</v>
      </c>
      <c r="C43" s="32">
        <v>24.2023574079975</v>
      </c>
      <c r="D43" s="32">
        <v>21.641246590602201</v>
      </c>
      <c r="E43" s="32">
        <v>25.2593417801633</v>
      </c>
      <c r="F43" s="15">
        <v>18.032786885245901</v>
      </c>
      <c r="G43" s="15">
        <v>18.644067796610202</v>
      </c>
      <c r="H43" s="15">
        <v>25.3012048192771</v>
      </c>
      <c r="I43" s="15">
        <v>27.7777777777778</v>
      </c>
      <c r="J43" s="15">
        <v>35.714285714285701</v>
      </c>
      <c r="K43" s="15">
        <v>50</v>
      </c>
      <c r="L43" s="15">
        <v>31.067961165048501</v>
      </c>
      <c r="M43" s="15">
        <v>23.456790123456798</v>
      </c>
      <c r="N43" s="15">
        <v>28.8135593220339</v>
      </c>
      <c r="O43" s="15">
        <v>26.315789473684202</v>
      </c>
      <c r="P43" s="15">
        <v>30.487804878048799</v>
      </c>
      <c r="Q43" s="15">
        <v>20.245398773006102</v>
      </c>
      <c r="R43" s="15">
        <v>17.045454545454501</v>
      </c>
      <c r="S43" s="15">
        <v>17.5675675675676</v>
      </c>
      <c r="T43" s="15">
        <v>19.4444444444444</v>
      </c>
      <c r="U43" s="15">
        <v>18.8524590163934</v>
      </c>
      <c r="V43" s="15">
        <v>36.486486486486498</v>
      </c>
      <c r="W43" s="15">
        <v>32.954545454545503</v>
      </c>
      <c r="X43" s="15">
        <v>32.065217391304301</v>
      </c>
      <c r="Y43" s="15">
        <v>38.064516129032299</v>
      </c>
      <c r="Z43" s="15">
        <v>33.3333333333333</v>
      </c>
      <c r="AA43" s="32">
        <v>18.6331480261167</v>
      </c>
      <c r="AB43" s="15">
        <v>18.064516129032299</v>
      </c>
      <c r="AC43" s="15">
        <v>29.968454258675099</v>
      </c>
      <c r="AD43" s="15">
        <v>10.7296137339056</v>
      </c>
      <c r="AE43" s="15">
        <v>24.595469255663399</v>
      </c>
      <c r="AF43" s="15">
        <v>15.8455392809587</v>
      </c>
      <c r="AG43" s="15">
        <v>17.2638436482085</v>
      </c>
      <c r="AH43" s="15">
        <v>24.5551601423488</v>
      </c>
      <c r="AI43" s="24">
        <v>38.8888888888889</v>
      </c>
      <c r="AJ43" s="38"/>
    </row>
    <row r="44" spans="1:36">
      <c r="A44" s="9" t="s">
        <v>193</v>
      </c>
      <c r="B44" s="36">
        <v>36.960989177524603</v>
      </c>
      <c r="C44" s="32">
        <v>37.856600622986399</v>
      </c>
      <c r="D44" s="32">
        <v>37.259075046539699</v>
      </c>
      <c r="E44" s="32">
        <v>43.961194615337597</v>
      </c>
      <c r="F44" s="15">
        <v>30.327868852459002</v>
      </c>
      <c r="G44" s="15">
        <v>55.932203389830498</v>
      </c>
      <c r="H44" s="15">
        <v>43.3734939759036</v>
      </c>
      <c r="I44" s="15">
        <v>41.1111111111111</v>
      </c>
      <c r="J44" s="15">
        <v>48.214285714285701</v>
      </c>
      <c r="K44" s="15">
        <v>52.7777777777778</v>
      </c>
      <c r="L44" s="15">
        <v>43.6893203883495</v>
      </c>
      <c r="M44" s="15">
        <v>46.913580246913597</v>
      </c>
      <c r="N44" s="15">
        <v>42.372881355932201</v>
      </c>
      <c r="O44" s="15">
        <v>45.614035087719301</v>
      </c>
      <c r="P44" s="15">
        <v>48.780487804878</v>
      </c>
      <c r="Q44" s="15">
        <v>40.490797546012303</v>
      </c>
      <c r="R44" s="15">
        <v>52.272727272727302</v>
      </c>
      <c r="S44" s="15">
        <v>33.783783783783797</v>
      </c>
      <c r="T44" s="15">
        <v>48.6111111111111</v>
      </c>
      <c r="U44" s="15">
        <v>43.442622950819697</v>
      </c>
      <c r="V44" s="15">
        <v>47.297297297297298</v>
      </c>
      <c r="W44" s="15">
        <v>38.636363636363598</v>
      </c>
      <c r="X44" s="15">
        <v>38.586956521739097</v>
      </c>
      <c r="Y44" s="15">
        <v>56.129032258064498</v>
      </c>
      <c r="Z44" s="15">
        <v>46.491228070175403</v>
      </c>
      <c r="AA44" s="32">
        <v>31.686906488874801</v>
      </c>
      <c r="AB44" s="15">
        <v>26.451612903225801</v>
      </c>
      <c r="AC44" s="15">
        <v>36.908517350157702</v>
      </c>
      <c r="AD44" s="15">
        <v>33.905579399141601</v>
      </c>
      <c r="AE44" s="15">
        <v>37.540453074433699</v>
      </c>
      <c r="AF44" s="15">
        <v>28.6284953395473</v>
      </c>
      <c r="AG44" s="15">
        <v>31.2703583061889</v>
      </c>
      <c r="AH44" s="15">
        <v>43.772241992882599</v>
      </c>
      <c r="AI44" s="24">
        <v>44.4444444444444</v>
      </c>
      <c r="AJ44" s="38"/>
    </row>
    <row r="45" spans="1:36">
      <c r="A45" s="9" t="s">
        <v>194</v>
      </c>
      <c r="B45" s="36">
        <v>11.9713357810746</v>
      </c>
      <c r="C45" s="32">
        <v>12.0650803416504</v>
      </c>
      <c r="D45" s="32">
        <v>12.6703638148047</v>
      </c>
      <c r="E45" s="32">
        <v>16.445901821154202</v>
      </c>
      <c r="F45" s="15">
        <v>19.672131147540998</v>
      </c>
      <c r="G45" s="15">
        <v>15.254237288135601</v>
      </c>
      <c r="H45" s="15">
        <v>8.4337349397590398</v>
      </c>
      <c r="I45" s="15">
        <v>13.3333333333333</v>
      </c>
      <c r="J45" s="15">
        <v>30.3571428571429</v>
      </c>
      <c r="K45" s="15">
        <v>25</v>
      </c>
      <c r="L45" s="15">
        <v>16.504854368932001</v>
      </c>
      <c r="M45" s="15">
        <v>16.049382716049401</v>
      </c>
      <c r="N45" s="15">
        <v>20.338983050847499</v>
      </c>
      <c r="O45" s="15">
        <v>15.789473684210501</v>
      </c>
      <c r="P45" s="15">
        <v>14.634146341463399</v>
      </c>
      <c r="Q45" s="15">
        <v>7.9754601226993902</v>
      </c>
      <c r="R45" s="15">
        <v>12.5</v>
      </c>
      <c r="S45" s="15">
        <v>16.2162162162162</v>
      </c>
      <c r="T45" s="15">
        <v>22.2222222222222</v>
      </c>
      <c r="U45" s="15">
        <v>13.934426229508199</v>
      </c>
      <c r="V45" s="15">
        <v>22.972972972973</v>
      </c>
      <c r="W45" s="15">
        <v>25</v>
      </c>
      <c r="X45" s="15">
        <v>14.130434782608701</v>
      </c>
      <c r="Y45" s="15">
        <v>21.290322580645199</v>
      </c>
      <c r="Z45" s="15">
        <v>22.8070175438597</v>
      </c>
      <c r="AA45" s="32">
        <v>9.5313666734833706</v>
      </c>
      <c r="AB45" s="15">
        <v>4.5161290322580596</v>
      </c>
      <c r="AC45" s="15">
        <v>16.0883280757098</v>
      </c>
      <c r="AD45" s="15">
        <v>10.300429184549399</v>
      </c>
      <c r="AE45" s="15">
        <v>8.7378640776699008</v>
      </c>
      <c r="AF45" s="15">
        <v>9.8535286284953401</v>
      </c>
      <c r="AG45" s="15">
        <v>11.726384364820801</v>
      </c>
      <c r="AH45" s="15">
        <v>13.8790035587189</v>
      </c>
      <c r="AI45" s="26" t="s">
        <v>80</v>
      </c>
      <c r="AJ45" s="38"/>
    </row>
    <row r="46" spans="1:36">
      <c r="A46" s="9" t="s">
        <v>195</v>
      </c>
      <c r="B46" s="36">
        <v>23.372055116721601</v>
      </c>
      <c r="C46" s="32">
        <v>23.6097667571666</v>
      </c>
      <c r="D46" s="32">
        <v>25.765374990607501</v>
      </c>
      <c r="E46" s="32">
        <v>32.147567478684898</v>
      </c>
      <c r="F46" s="15">
        <v>30.327868852459002</v>
      </c>
      <c r="G46" s="15">
        <v>28.8135593220339</v>
      </c>
      <c r="H46" s="15">
        <v>40.963855421686802</v>
      </c>
      <c r="I46" s="15">
        <v>33.3333333333333</v>
      </c>
      <c r="J46" s="15">
        <v>35.714285714285701</v>
      </c>
      <c r="K46" s="15">
        <v>38.8888888888889</v>
      </c>
      <c r="L46" s="15">
        <v>46.601941747572802</v>
      </c>
      <c r="M46" s="15">
        <v>38.271604938271601</v>
      </c>
      <c r="N46" s="15">
        <v>25.4237288135593</v>
      </c>
      <c r="O46" s="15">
        <v>35.087719298245602</v>
      </c>
      <c r="P46" s="15">
        <v>42.682926829268297</v>
      </c>
      <c r="Q46" s="15">
        <v>21.472392638036801</v>
      </c>
      <c r="R46" s="15">
        <v>23.863636363636399</v>
      </c>
      <c r="S46" s="15">
        <v>21.6216216216216</v>
      </c>
      <c r="T46" s="15">
        <v>45.8333333333333</v>
      </c>
      <c r="U46" s="15">
        <v>28.688524590163901</v>
      </c>
      <c r="V46" s="15">
        <v>28.3783783783784</v>
      </c>
      <c r="W46" s="15">
        <v>27.272727272727298</v>
      </c>
      <c r="X46" s="15">
        <v>33.152173913043498</v>
      </c>
      <c r="Y46" s="15">
        <v>37.419354838709701</v>
      </c>
      <c r="Z46" s="15">
        <v>38.596491228070199</v>
      </c>
      <c r="AA46" s="32">
        <v>20.459195065588801</v>
      </c>
      <c r="AB46" s="15">
        <v>12.258064516129</v>
      </c>
      <c r="AC46" s="15">
        <v>26.813880126183001</v>
      </c>
      <c r="AD46" s="15">
        <v>22.317596566523601</v>
      </c>
      <c r="AE46" s="15">
        <v>24.271844660194201</v>
      </c>
      <c r="AF46" s="15">
        <v>26.498002663115798</v>
      </c>
      <c r="AG46" s="15">
        <v>19.543973941368101</v>
      </c>
      <c r="AH46" s="15">
        <v>25.6227758007117</v>
      </c>
      <c r="AI46" s="26" t="s">
        <v>80</v>
      </c>
      <c r="AJ46" s="38"/>
    </row>
    <row r="47" spans="1:36">
      <c r="A47" s="9" t="s">
        <v>196</v>
      </c>
      <c r="B47" s="36">
        <v>20.858055729713801</v>
      </c>
      <c r="C47" s="32">
        <v>21.127006742747199</v>
      </c>
      <c r="D47" s="32">
        <v>22.175114244346702</v>
      </c>
      <c r="E47" s="32">
        <v>23.6232507250017</v>
      </c>
      <c r="F47" s="15">
        <v>37.7049180327869</v>
      </c>
      <c r="G47" s="15">
        <v>11.864406779661</v>
      </c>
      <c r="H47" s="15">
        <v>15.662650602409601</v>
      </c>
      <c r="I47" s="15">
        <v>17.7777777777778</v>
      </c>
      <c r="J47" s="15">
        <v>37.5</v>
      </c>
      <c r="K47" s="15">
        <v>44.4444444444444</v>
      </c>
      <c r="L47" s="15">
        <v>33.009708737864102</v>
      </c>
      <c r="M47" s="15">
        <v>29.629629629629601</v>
      </c>
      <c r="N47" s="15">
        <v>18.644067796610202</v>
      </c>
      <c r="O47" s="15">
        <v>31.578947368421101</v>
      </c>
      <c r="P47" s="15">
        <v>28.048780487804901</v>
      </c>
      <c r="Q47" s="15">
        <v>14.1104294478528</v>
      </c>
      <c r="R47" s="15">
        <v>19.318181818181799</v>
      </c>
      <c r="S47" s="15">
        <v>18.918918918918902</v>
      </c>
      <c r="T47" s="15">
        <v>23.6111111111111</v>
      </c>
      <c r="U47" s="15">
        <v>16.393442622950801</v>
      </c>
      <c r="V47" s="15">
        <v>17.5675675675676</v>
      </c>
      <c r="W47" s="15">
        <v>36.363636363636402</v>
      </c>
      <c r="X47" s="15">
        <v>28.260869565217401</v>
      </c>
      <c r="Y47" s="15">
        <v>35.4838709677419</v>
      </c>
      <c r="Z47" s="15">
        <v>39.473684210526301</v>
      </c>
      <c r="AA47" s="32">
        <v>20.971127881244499</v>
      </c>
      <c r="AB47" s="15">
        <v>12.9032258064516</v>
      </c>
      <c r="AC47" s="15">
        <v>35.6466876971609</v>
      </c>
      <c r="AD47" s="15">
        <v>16.309012875536499</v>
      </c>
      <c r="AE47" s="15">
        <v>21.035598705501599</v>
      </c>
      <c r="AF47" s="15">
        <v>23.035952063914799</v>
      </c>
      <c r="AG47" s="15">
        <v>18.241042345276899</v>
      </c>
      <c r="AH47" s="15">
        <v>28.113879003558701</v>
      </c>
      <c r="AI47" s="24">
        <v>27.7777777777778</v>
      </c>
      <c r="AJ47" s="38"/>
    </row>
    <row r="48" spans="1:36">
      <c r="A48" s="9" t="s">
        <v>197</v>
      </c>
      <c r="B48" s="36">
        <v>12.5778288117999</v>
      </c>
      <c r="C48" s="32">
        <v>12.0135309339417</v>
      </c>
      <c r="D48" s="32">
        <v>12.777033121796901</v>
      </c>
      <c r="E48" s="32">
        <v>15.8146152090371</v>
      </c>
      <c r="F48" s="15">
        <v>7.3770491803278704</v>
      </c>
      <c r="G48" s="15">
        <v>11.864406779661</v>
      </c>
      <c r="H48" s="15">
        <v>18.0722891566265</v>
      </c>
      <c r="I48" s="15">
        <v>10</v>
      </c>
      <c r="J48" s="15">
        <v>12.5</v>
      </c>
      <c r="K48" s="20" t="s">
        <v>80</v>
      </c>
      <c r="L48" s="15">
        <v>10.6796116504854</v>
      </c>
      <c r="M48" s="20" t="s">
        <v>80</v>
      </c>
      <c r="N48" s="15">
        <v>8.4745762711864394</v>
      </c>
      <c r="O48" s="20" t="s">
        <v>80</v>
      </c>
      <c r="P48" s="15">
        <v>18.292682926829301</v>
      </c>
      <c r="Q48" s="15">
        <v>6.74846625766871</v>
      </c>
      <c r="R48" s="15">
        <v>9.0909090909090899</v>
      </c>
      <c r="S48" s="15">
        <v>12.1621621621622</v>
      </c>
      <c r="T48" s="15">
        <v>12.5</v>
      </c>
      <c r="U48" s="15">
        <v>15.5737704918033</v>
      </c>
      <c r="V48" s="15">
        <v>10.8108108108108</v>
      </c>
      <c r="W48" s="15">
        <v>47.727272727272698</v>
      </c>
      <c r="X48" s="15">
        <v>16.304347826087</v>
      </c>
      <c r="Y48" s="15">
        <v>58.709677419354797</v>
      </c>
      <c r="Z48" s="15">
        <v>19.2982456140351</v>
      </c>
      <c r="AA48" s="32">
        <v>10.2515754327629</v>
      </c>
      <c r="AB48" s="15">
        <v>7.0967741935483897</v>
      </c>
      <c r="AC48" s="15">
        <v>13.249211356466899</v>
      </c>
      <c r="AD48" s="15">
        <v>10.300429184549399</v>
      </c>
      <c r="AE48" s="15">
        <v>14.5631067961165</v>
      </c>
      <c r="AF48" s="15">
        <v>11.5845539280959</v>
      </c>
      <c r="AG48" s="15">
        <v>10.7491856677524</v>
      </c>
      <c r="AH48" s="15">
        <v>14.9466192170818</v>
      </c>
      <c r="AI48" s="26" t="s">
        <v>80</v>
      </c>
      <c r="AJ48" s="38"/>
    </row>
    <row r="49" spans="1:36">
      <c r="A49" s="9" t="s">
        <v>198</v>
      </c>
      <c r="B49" s="36">
        <v>25.520505170376001</v>
      </c>
      <c r="C49" s="32">
        <v>29.8071499020582</v>
      </c>
      <c r="D49" s="32">
        <v>30.706293218390002</v>
      </c>
      <c r="E49" s="32">
        <v>32.802704220650497</v>
      </c>
      <c r="F49" s="15">
        <v>47.540983606557397</v>
      </c>
      <c r="G49" s="15">
        <v>40.677966101694899</v>
      </c>
      <c r="H49" s="15">
        <v>22.891566265060199</v>
      </c>
      <c r="I49" s="15">
        <v>30</v>
      </c>
      <c r="J49" s="15">
        <v>46.428571428571402</v>
      </c>
      <c r="K49" s="15">
        <v>55.5555555555556</v>
      </c>
      <c r="L49" s="15">
        <v>53.398058252427198</v>
      </c>
      <c r="M49" s="15">
        <v>38.271604938271601</v>
      </c>
      <c r="N49" s="15">
        <v>33.8983050847458</v>
      </c>
      <c r="O49" s="15">
        <v>47.368421052631597</v>
      </c>
      <c r="P49" s="15">
        <v>45.121951219512198</v>
      </c>
      <c r="Q49" s="15">
        <v>18.404907975460102</v>
      </c>
      <c r="R49" s="15">
        <v>29.545454545454501</v>
      </c>
      <c r="S49" s="15">
        <v>24.324324324324301</v>
      </c>
      <c r="T49" s="15">
        <v>29.1666666666667</v>
      </c>
      <c r="U49" s="15">
        <v>18.032786885245901</v>
      </c>
      <c r="V49" s="15">
        <v>25.675675675675699</v>
      </c>
      <c r="W49" s="15">
        <v>38.636363636363598</v>
      </c>
      <c r="X49" s="15">
        <v>35.326086956521699</v>
      </c>
      <c r="Y49" s="15">
        <v>41.290322580645203</v>
      </c>
      <c r="Z49" s="15">
        <v>47.368421052631597</v>
      </c>
      <c r="AA49" s="32">
        <v>28.963328869451299</v>
      </c>
      <c r="AB49" s="15">
        <v>28.387096774193498</v>
      </c>
      <c r="AC49" s="15">
        <v>46.056782334384899</v>
      </c>
      <c r="AD49" s="15">
        <v>22.746781115879799</v>
      </c>
      <c r="AE49" s="15">
        <v>31.391585760517799</v>
      </c>
      <c r="AF49" s="15">
        <v>32.623169107856199</v>
      </c>
      <c r="AG49" s="15">
        <v>22.801302931596101</v>
      </c>
      <c r="AH49" s="15">
        <v>41.281138790035598</v>
      </c>
      <c r="AI49" s="24">
        <v>27.7777777777778</v>
      </c>
      <c r="AJ49" s="38"/>
    </row>
    <row r="50" spans="1:36">
      <c r="A50" s="9" t="s">
        <v>199</v>
      </c>
      <c r="B50" s="36">
        <v>48.440299269119002</v>
      </c>
      <c r="C50" s="32">
        <v>47.8789201849143</v>
      </c>
      <c r="D50" s="32">
        <v>47.691560938583898</v>
      </c>
      <c r="E50" s="32">
        <v>57.982421924243397</v>
      </c>
      <c r="F50" s="15">
        <v>48.360655737704903</v>
      </c>
      <c r="G50" s="15">
        <v>62.711864406779704</v>
      </c>
      <c r="H50" s="15">
        <v>62.650602409638601</v>
      </c>
      <c r="I50" s="15">
        <v>56.6666666666667</v>
      </c>
      <c r="J50" s="15">
        <v>64.285714285714306</v>
      </c>
      <c r="K50" s="15">
        <v>75</v>
      </c>
      <c r="L50" s="15">
        <v>55.339805825242699</v>
      </c>
      <c r="M50" s="15">
        <v>51.851851851851798</v>
      </c>
      <c r="N50" s="15">
        <v>50.847457627118601</v>
      </c>
      <c r="O50" s="15">
        <v>64.912280701754398</v>
      </c>
      <c r="P50" s="15">
        <v>47.560975609756099</v>
      </c>
      <c r="Q50" s="15">
        <v>50.920245398772998</v>
      </c>
      <c r="R50" s="15">
        <v>60.227272727272698</v>
      </c>
      <c r="S50" s="15">
        <v>52.702702702702702</v>
      </c>
      <c r="T50" s="15">
        <v>58.3333333333333</v>
      </c>
      <c r="U50" s="15">
        <v>56.557377049180303</v>
      </c>
      <c r="V50" s="15">
        <v>56.756756756756801</v>
      </c>
      <c r="W50" s="15">
        <v>64.772727272727295</v>
      </c>
      <c r="X50" s="15">
        <v>62.5</v>
      </c>
      <c r="Y50" s="15">
        <v>62.580645161290299</v>
      </c>
      <c r="Z50" s="15">
        <v>63.157894736842103</v>
      </c>
      <c r="AA50" s="32">
        <v>39.1356986584547</v>
      </c>
      <c r="AB50" s="15">
        <v>38.709677419354797</v>
      </c>
      <c r="AC50" s="15">
        <v>44.479495268138798</v>
      </c>
      <c r="AD50" s="15">
        <v>39.914163090128802</v>
      </c>
      <c r="AE50" s="15">
        <v>41.423948220064702</v>
      </c>
      <c r="AF50" s="15">
        <v>40.745672436751001</v>
      </c>
      <c r="AG50" s="15">
        <v>31.921824104234499</v>
      </c>
      <c r="AH50" s="15">
        <v>48.398576512455499</v>
      </c>
      <c r="AI50" s="24">
        <v>77.7777777777778</v>
      </c>
      <c r="AJ50" s="38"/>
    </row>
    <row r="51" spans="1:36">
      <c r="A51" s="9" t="s">
        <v>200</v>
      </c>
      <c r="B51" s="36">
        <v>32.186628592877398</v>
      </c>
      <c r="C51" s="32">
        <v>32.382723918595602</v>
      </c>
      <c r="D51" s="32">
        <v>35.092449938665098</v>
      </c>
      <c r="E51" s="32">
        <v>36.223039154853097</v>
      </c>
      <c r="F51" s="15">
        <v>34.426229508196698</v>
      </c>
      <c r="G51" s="15">
        <v>33.8983050847458</v>
      </c>
      <c r="H51" s="15">
        <v>27.710843373494001</v>
      </c>
      <c r="I51" s="15">
        <v>28.8888888888889</v>
      </c>
      <c r="J51" s="15">
        <v>42.857142857142897</v>
      </c>
      <c r="K51" s="15">
        <v>47.2222222222222</v>
      </c>
      <c r="L51" s="15">
        <v>49.514563106796103</v>
      </c>
      <c r="M51" s="15">
        <v>38.271604938271601</v>
      </c>
      <c r="N51" s="15">
        <v>20.338983050847499</v>
      </c>
      <c r="O51" s="15">
        <v>31.578947368421101</v>
      </c>
      <c r="P51" s="15">
        <v>43.902439024390198</v>
      </c>
      <c r="Q51" s="15">
        <v>24.539877300613501</v>
      </c>
      <c r="R51" s="15">
        <v>21.590909090909101</v>
      </c>
      <c r="S51" s="15">
        <v>27.027027027027</v>
      </c>
      <c r="T51" s="15">
        <v>34.7222222222222</v>
      </c>
      <c r="U51" s="15">
        <v>31.967213114754099</v>
      </c>
      <c r="V51" s="15">
        <v>43.243243243243199</v>
      </c>
      <c r="W51" s="15">
        <v>70.454545454545496</v>
      </c>
      <c r="X51" s="15">
        <v>36.956521739130402</v>
      </c>
      <c r="Y51" s="15">
        <v>49.0322580645161</v>
      </c>
      <c r="Z51" s="15">
        <v>45.614035087719301</v>
      </c>
      <c r="AA51" s="32">
        <v>34.152473619620103</v>
      </c>
      <c r="AB51" s="15">
        <v>21.935483870967701</v>
      </c>
      <c r="AC51" s="15">
        <v>43.533123028391202</v>
      </c>
      <c r="AD51" s="15">
        <v>27.896995708154499</v>
      </c>
      <c r="AE51" s="15">
        <v>34.3042071197411</v>
      </c>
      <c r="AF51" s="15">
        <v>38.482023968042597</v>
      </c>
      <c r="AG51" s="15">
        <v>33.550488599348498</v>
      </c>
      <c r="AH51" s="15">
        <v>35.231316725978601</v>
      </c>
      <c r="AI51" s="24">
        <v>44.4444444444444</v>
      </c>
      <c r="AJ51" s="38"/>
    </row>
    <row r="52" spans="1:36">
      <c r="A52" s="9" t="s">
        <v>201</v>
      </c>
      <c r="B52" s="36">
        <v>27.210214309519301</v>
      </c>
      <c r="C52" s="32">
        <v>26.8221782238648</v>
      </c>
      <c r="D52" s="32">
        <v>27.729393878407901</v>
      </c>
      <c r="E52" s="32">
        <v>27.871124769760101</v>
      </c>
      <c r="F52" s="15">
        <v>19.672131147540998</v>
      </c>
      <c r="G52" s="15">
        <v>22.033898305084701</v>
      </c>
      <c r="H52" s="15">
        <v>27.710843373494001</v>
      </c>
      <c r="I52" s="15">
        <v>24.4444444444444</v>
      </c>
      <c r="J52" s="15">
        <v>41.071428571428598</v>
      </c>
      <c r="K52" s="15">
        <v>30.5555555555556</v>
      </c>
      <c r="L52" s="15">
        <v>32.038834951456302</v>
      </c>
      <c r="M52" s="15">
        <v>23.456790123456798</v>
      </c>
      <c r="N52" s="15">
        <v>28.8135593220339</v>
      </c>
      <c r="O52" s="15">
        <v>38.596491228070199</v>
      </c>
      <c r="P52" s="15">
        <v>29.268292682926798</v>
      </c>
      <c r="Q52" s="15">
        <v>25.766871165644201</v>
      </c>
      <c r="R52" s="15">
        <v>23.863636363636399</v>
      </c>
      <c r="S52" s="15">
        <v>20.270270270270299</v>
      </c>
      <c r="T52" s="15">
        <v>31.9444444444444</v>
      </c>
      <c r="U52" s="15">
        <v>19.672131147540998</v>
      </c>
      <c r="V52" s="15">
        <v>36.486486486486498</v>
      </c>
      <c r="W52" s="15">
        <v>25</v>
      </c>
      <c r="X52" s="15">
        <v>26.086956521739101</v>
      </c>
      <c r="Y52" s="15">
        <v>38.064516129032299</v>
      </c>
      <c r="Z52" s="15">
        <v>37.719298245613999</v>
      </c>
      <c r="AA52" s="32">
        <v>27.611558258148399</v>
      </c>
      <c r="AB52" s="15">
        <v>25.806451612903199</v>
      </c>
      <c r="AC52" s="15">
        <v>27.444794952681399</v>
      </c>
      <c r="AD52" s="15">
        <v>26.1802575107296</v>
      </c>
      <c r="AE52" s="15">
        <v>33.980582524271803</v>
      </c>
      <c r="AF52" s="15">
        <v>29.1611185086551</v>
      </c>
      <c r="AG52" s="15">
        <v>27.035830618892501</v>
      </c>
      <c r="AH52" s="15">
        <v>25.6227758007117</v>
      </c>
      <c r="AI52" s="24">
        <v>44.4444444444444</v>
      </c>
      <c r="AJ52" s="38"/>
    </row>
    <row r="53" spans="1:36">
      <c r="A53" s="9" t="s">
        <v>202</v>
      </c>
      <c r="B53" s="36">
        <v>37.786350904544499</v>
      </c>
      <c r="C53" s="32">
        <v>38.111072715052202</v>
      </c>
      <c r="D53" s="32">
        <v>38.034541646619502</v>
      </c>
      <c r="E53" s="32">
        <v>40.462545216656203</v>
      </c>
      <c r="F53" s="15">
        <v>43.442622950819697</v>
      </c>
      <c r="G53" s="15">
        <v>38.983050847457598</v>
      </c>
      <c r="H53" s="15">
        <v>27.710843373494001</v>
      </c>
      <c r="I53" s="15">
        <v>34.4444444444444</v>
      </c>
      <c r="J53" s="15">
        <v>48.214285714285701</v>
      </c>
      <c r="K53" s="15">
        <v>52.7777777777778</v>
      </c>
      <c r="L53" s="15">
        <v>46.601941747572802</v>
      </c>
      <c r="M53" s="15">
        <v>48.148148148148103</v>
      </c>
      <c r="N53" s="15">
        <v>28.8135593220339</v>
      </c>
      <c r="O53" s="15">
        <v>35.087719298245602</v>
      </c>
      <c r="P53" s="15">
        <v>53.658536585365901</v>
      </c>
      <c r="Q53" s="15">
        <v>33.128834355828197</v>
      </c>
      <c r="R53" s="15">
        <v>42.045454545454497</v>
      </c>
      <c r="S53" s="15">
        <v>41.891891891891902</v>
      </c>
      <c r="T53" s="15">
        <v>38.8888888888889</v>
      </c>
      <c r="U53" s="15">
        <v>31.967213114754099</v>
      </c>
      <c r="V53" s="15">
        <v>56.756756756756801</v>
      </c>
      <c r="W53" s="15">
        <v>54.545454545454497</v>
      </c>
      <c r="X53" s="15">
        <v>35.869565217391298</v>
      </c>
      <c r="Y53" s="15">
        <v>54.193548387096797</v>
      </c>
      <c r="Z53" s="15">
        <v>42.105263157894697</v>
      </c>
      <c r="AA53" s="32">
        <v>36.015889933235698</v>
      </c>
      <c r="AB53" s="15">
        <v>23.870967741935502</v>
      </c>
      <c r="AC53" s="15">
        <v>44.479495268138798</v>
      </c>
      <c r="AD53" s="15">
        <v>33.905579399141601</v>
      </c>
      <c r="AE53" s="15">
        <v>38.5113268608414</v>
      </c>
      <c r="AF53" s="15">
        <v>39.280958721704401</v>
      </c>
      <c r="AG53" s="15">
        <v>32.573289902280102</v>
      </c>
      <c r="AH53" s="15">
        <v>57.295373665480398</v>
      </c>
      <c r="AI53" s="24">
        <v>55.5555555555556</v>
      </c>
      <c r="AJ53" s="38"/>
    </row>
    <row r="54" spans="1:36">
      <c r="A54" s="9" t="s">
        <v>203</v>
      </c>
      <c r="B54" s="36">
        <v>40.428610396401503</v>
      </c>
      <c r="C54" s="32">
        <v>39.213249897089497</v>
      </c>
      <c r="D54" s="32">
        <v>40.044988584778501</v>
      </c>
      <c r="E54" s="32">
        <v>50.145556345098001</v>
      </c>
      <c r="F54" s="15">
        <v>52.459016393442603</v>
      </c>
      <c r="G54" s="15">
        <v>42.372881355932201</v>
      </c>
      <c r="H54" s="15">
        <v>62.650602409638601</v>
      </c>
      <c r="I54" s="15">
        <v>43.3333333333333</v>
      </c>
      <c r="J54" s="15">
        <v>53.571428571428598</v>
      </c>
      <c r="K54" s="15">
        <v>69.4444444444444</v>
      </c>
      <c r="L54" s="15">
        <v>44.660194174757301</v>
      </c>
      <c r="M54" s="15">
        <v>45.679012345678998</v>
      </c>
      <c r="N54" s="15">
        <v>44.067796610169502</v>
      </c>
      <c r="O54" s="15">
        <v>63.157894736842103</v>
      </c>
      <c r="P54" s="15">
        <v>52.439024390243901</v>
      </c>
      <c r="Q54" s="15">
        <v>41.104294478527599</v>
      </c>
      <c r="R54" s="15">
        <v>50</v>
      </c>
      <c r="S54" s="15">
        <v>27.027027027027</v>
      </c>
      <c r="T54" s="15">
        <v>50</v>
      </c>
      <c r="U54" s="15">
        <v>50</v>
      </c>
      <c r="V54" s="15">
        <v>44.594594594594597</v>
      </c>
      <c r="W54" s="15">
        <v>60.227272727272698</v>
      </c>
      <c r="X54" s="15">
        <v>58.695652173912997</v>
      </c>
      <c r="Y54" s="15">
        <v>63.225806451612897</v>
      </c>
      <c r="Z54" s="15">
        <v>57.017543859649102</v>
      </c>
      <c r="AA54" s="32">
        <v>31.647336840300198</v>
      </c>
      <c r="AB54" s="15">
        <v>27.741935483871</v>
      </c>
      <c r="AC54" s="15">
        <v>44.794952681387997</v>
      </c>
      <c r="AD54" s="15">
        <v>36.480686695278997</v>
      </c>
      <c r="AE54" s="15">
        <v>37.864077669902898</v>
      </c>
      <c r="AF54" s="15">
        <v>35.019973368841498</v>
      </c>
      <c r="AG54" s="15">
        <v>27.035830618892501</v>
      </c>
      <c r="AH54" s="15">
        <v>34.519572953736699</v>
      </c>
      <c r="AI54" s="24">
        <v>55.5555555555556</v>
      </c>
      <c r="AJ54" s="38"/>
    </row>
    <row r="55" spans="1:36">
      <c r="A55" s="9" t="s">
        <v>204</v>
      </c>
      <c r="B55" s="36">
        <v>9.7911944015172097</v>
      </c>
      <c r="C55" s="32">
        <v>10.9903951564719</v>
      </c>
      <c r="D55" s="32">
        <v>12.085223643947399</v>
      </c>
      <c r="E55" s="32">
        <v>14.912298044015699</v>
      </c>
      <c r="F55" s="15">
        <v>9.8360655737704903</v>
      </c>
      <c r="G55" s="15">
        <v>8.4745762711864394</v>
      </c>
      <c r="H55" s="15">
        <v>26.506024096385499</v>
      </c>
      <c r="I55" s="15">
        <v>13.3333333333333</v>
      </c>
      <c r="J55" s="15">
        <v>14.285714285714301</v>
      </c>
      <c r="K55" s="15">
        <v>19.4444444444444</v>
      </c>
      <c r="L55" s="15">
        <v>14.5631067961165</v>
      </c>
      <c r="M55" s="15">
        <v>7.4074074074074101</v>
      </c>
      <c r="N55" s="15">
        <v>8.4745762711864394</v>
      </c>
      <c r="O55" s="15">
        <v>12.280701754386</v>
      </c>
      <c r="P55" s="15">
        <v>12.1951219512195</v>
      </c>
      <c r="Q55" s="15">
        <v>12.269938650306701</v>
      </c>
      <c r="R55" s="15">
        <v>10.2272727272727</v>
      </c>
      <c r="S55" s="15">
        <v>12.1621621621622</v>
      </c>
      <c r="T55" s="15">
        <v>13.8888888888889</v>
      </c>
      <c r="U55" s="15">
        <v>9.8360655737704903</v>
      </c>
      <c r="V55" s="15">
        <v>13.5135135135135</v>
      </c>
      <c r="W55" s="15">
        <v>45.454545454545503</v>
      </c>
      <c r="X55" s="15">
        <v>21.195652173913</v>
      </c>
      <c r="Y55" s="15">
        <v>20</v>
      </c>
      <c r="Z55" s="15">
        <v>22.8070175438597</v>
      </c>
      <c r="AA55" s="32">
        <v>9.7347828736009099</v>
      </c>
      <c r="AB55" s="15">
        <v>4.5161290322580596</v>
      </c>
      <c r="AC55" s="15">
        <v>14.8264984227129</v>
      </c>
      <c r="AD55" s="15">
        <v>8.5836909871244593</v>
      </c>
      <c r="AE55" s="15">
        <v>14.886731391585799</v>
      </c>
      <c r="AF55" s="15">
        <v>9.4540612516644504</v>
      </c>
      <c r="AG55" s="15">
        <v>9.7719869706840399</v>
      </c>
      <c r="AH55" s="15">
        <v>14.234875444839901</v>
      </c>
      <c r="AI55" s="26" t="s">
        <v>80</v>
      </c>
      <c r="AJ55" s="38"/>
    </row>
    <row r="56" spans="1:36">
      <c r="A56" s="9" t="s">
        <v>205</v>
      </c>
      <c r="B56" s="36">
        <v>16.335106745216098</v>
      </c>
      <c r="C56" s="32">
        <v>16.690420040354699</v>
      </c>
      <c r="D56" s="32">
        <v>18.2332473675465</v>
      </c>
      <c r="E56" s="32">
        <v>19.216879981578899</v>
      </c>
      <c r="F56" s="15">
        <v>15.5737704918033</v>
      </c>
      <c r="G56" s="15">
        <v>8.4745762711864394</v>
      </c>
      <c r="H56" s="15">
        <v>22.891566265060199</v>
      </c>
      <c r="I56" s="15">
        <v>14.4444444444444</v>
      </c>
      <c r="J56" s="15">
        <v>25</v>
      </c>
      <c r="K56" s="15">
        <v>27.7777777777778</v>
      </c>
      <c r="L56" s="15">
        <v>19.417475728155299</v>
      </c>
      <c r="M56" s="15">
        <v>20.987654320987701</v>
      </c>
      <c r="N56" s="15">
        <v>13.559322033898299</v>
      </c>
      <c r="O56" s="15">
        <v>21.052631578947398</v>
      </c>
      <c r="P56" s="15">
        <v>24.390243902439</v>
      </c>
      <c r="Q56" s="15">
        <v>11.656441717791401</v>
      </c>
      <c r="R56" s="15">
        <v>10.2272727272727</v>
      </c>
      <c r="S56" s="15">
        <v>8.1081081081081106</v>
      </c>
      <c r="T56" s="15">
        <v>29.1666666666667</v>
      </c>
      <c r="U56" s="15">
        <v>22.9508196721311</v>
      </c>
      <c r="V56" s="15">
        <v>17.5675675675676</v>
      </c>
      <c r="W56" s="15">
        <v>25</v>
      </c>
      <c r="X56" s="15">
        <v>19.565217391304301</v>
      </c>
      <c r="Y56" s="15">
        <v>28.387096774193498</v>
      </c>
      <c r="Z56" s="15">
        <v>23.684210526315798</v>
      </c>
      <c r="AA56" s="32">
        <v>17.415451345266899</v>
      </c>
      <c r="AB56" s="15">
        <v>11.6129032258065</v>
      </c>
      <c r="AC56" s="15">
        <v>21.766561514195601</v>
      </c>
      <c r="AD56" s="15">
        <v>14.1630901287554</v>
      </c>
      <c r="AE56" s="15">
        <v>16.828478964401299</v>
      </c>
      <c r="AF56" s="15">
        <v>17.976031957390099</v>
      </c>
      <c r="AG56" s="15">
        <v>17.589576547231299</v>
      </c>
      <c r="AH56" s="15">
        <v>18.861209964412801</v>
      </c>
      <c r="AI56" s="26" t="s">
        <v>80</v>
      </c>
      <c r="AJ56" s="38"/>
    </row>
    <row r="57" spans="1:36">
      <c r="A57" s="9" t="s">
        <v>206</v>
      </c>
      <c r="B57" s="36">
        <v>13.7379250945341</v>
      </c>
      <c r="C57" s="32">
        <v>13.476736591051401</v>
      </c>
      <c r="D57" s="32">
        <v>14.644579730549401</v>
      </c>
      <c r="E57" s="32">
        <v>18.045068723040899</v>
      </c>
      <c r="F57" s="15">
        <v>11.4754098360656</v>
      </c>
      <c r="G57" s="15">
        <v>20.338983050847499</v>
      </c>
      <c r="H57" s="15">
        <v>24.096385542168701</v>
      </c>
      <c r="I57" s="15">
        <v>11.1111111111111</v>
      </c>
      <c r="J57" s="15">
        <v>23.214285714285701</v>
      </c>
      <c r="K57" s="15">
        <v>22.2222222222222</v>
      </c>
      <c r="L57" s="15">
        <v>16.504854368932001</v>
      </c>
      <c r="M57" s="15">
        <v>9.8765432098765409</v>
      </c>
      <c r="N57" s="15">
        <v>16.9491525423729</v>
      </c>
      <c r="O57" s="15">
        <v>28.0701754385965</v>
      </c>
      <c r="P57" s="15">
        <v>14.634146341463399</v>
      </c>
      <c r="Q57" s="15">
        <v>10.429447852760701</v>
      </c>
      <c r="R57" s="15">
        <v>7.9545454545454497</v>
      </c>
      <c r="S57" s="15">
        <v>14.8648648648649</v>
      </c>
      <c r="T57" s="15">
        <v>16.6666666666667</v>
      </c>
      <c r="U57" s="15">
        <v>18.032786885245901</v>
      </c>
      <c r="V57" s="15">
        <v>12.1621621621622</v>
      </c>
      <c r="W57" s="15">
        <v>31.818181818181799</v>
      </c>
      <c r="X57" s="15">
        <v>19.565217391304301</v>
      </c>
      <c r="Y57" s="15">
        <v>27.096774193548399</v>
      </c>
      <c r="Z57" s="15">
        <v>28.0701754385965</v>
      </c>
      <c r="AA57" s="32">
        <v>11.8173998137868</v>
      </c>
      <c r="AB57" s="15">
        <v>7.7419354838709697</v>
      </c>
      <c r="AC57" s="15">
        <v>14.195583596214499</v>
      </c>
      <c r="AD57" s="15">
        <v>11.587982832618</v>
      </c>
      <c r="AE57" s="15">
        <v>17.799352750809099</v>
      </c>
      <c r="AF57" s="15">
        <v>16.245006657789599</v>
      </c>
      <c r="AG57" s="15">
        <v>14.0065146579805</v>
      </c>
      <c r="AH57" s="15">
        <v>11.387900355871899</v>
      </c>
      <c r="AI57" s="26" t="s">
        <v>80</v>
      </c>
      <c r="AJ57" s="38"/>
    </row>
    <row r="58" spans="1:36">
      <c r="A58" s="9" t="s">
        <v>207</v>
      </c>
      <c r="B58" s="36">
        <v>28.341441952680299</v>
      </c>
      <c r="C58" s="32">
        <v>29.543842200310198</v>
      </c>
      <c r="D58" s="32">
        <v>29.0339903364486</v>
      </c>
      <c r="E58" s="32">
        <v>25.963436500429101</v>
      </c>
      <c r="F58" s="15">
        <v>13.934426229508199</v>
      </c>
      <c r="G58" s="15">
        <v>32.203389830508499</v>
      </c>
      <c r="H58" s="15">
        <v>30.120481927710799</v>
      </c>
      <c r="I58" s="15">
        <v>21.1111111111111</v>
      </c>
      <c r="J58" s="15">
        <v>26.785714285714299</v>
      </c>
      <c r="K58" s="15">
        <v>16.6666666666667</v>
      </c>
      <c r="L58" s="15">
        <v>28.1553398058252</v>
      </c>
      <c r="M58" s="15">
        <v>16.049382716049401</v>
      </c>
      <c r="N58" s="15">
        <v>23.728813559321999</v>
      </c>
      <c r="O58" s="15">
        <v>21.052631578947398</v>
      </c>
      <c r="P58" s="15">
        <v>36.585365853658502</v>
      </c>
      <c r="Q58" s="15">
        <v>19.631901840490801</v>
      </c>
      <c r="R58" s="15">
        <v>31.818181818181799</v>
      </c>
      <c r="S58" s="15">
        <v>22.972972972973</v>
      </c>
      <c r="T58" s="15">
        <v>30.5555555555556</v>
      </c>
      <c r="U58" s="15">
        <v>18.032786885245901</v>
      </c>
      <c r="V58" s="15">
        <v>32.4324324324324</v>
      </c>
      <c r="W58" s="15">
        <v>36.363636363636402</v>
      </c>
      <c r="X58" s="15">
        <v>32.065217391304301</v>
      </c>
      <c r="Y58" s="15">
        <v>34.193548387096797</v>
      </c>
      <c r="Z58" s="15">
        <v>26.315789473684202</v>
      </c>
      <c r="AA58" s="32">
        <v>31.586860867040301</v>
      </c>
      <c r="AB58" s="15">
        <v>21.935483870967701</v>
      </c>
      <c r="AC58" s="15">
        <v>31.545741324921099</v>
      </c>
      <c r="AD58" s="15">
        <v>29.184549356223201</v>
      </c>
      <c r="AE58" s="15">
        <v>33.3333333333333</v>
      </c>
      <c r="AF58" s="15">
        <v>25.699067909454101</v>
      </c>
      <c r="AG58" s="15">
        <v>39.087947882736202</v>
      </c>
      <c r="AH58" s="15">
        <v>30.2491103202847</v>
      </c>
      <c r="AI58" s="24">
        <v>27.7777777777778</v>
      </c>
      <c r="AJ58" s="38"/>
    </row>
    <row r="59" spans="1:36">
      <c r="A59" s="9" t="s">
        <v>208</v>
      </c>
      <c r="B59" s="36">
        <v>3.2935584346224198</v>
      </c>
      <c r="C59" s="32">
        <v>3.0994556334127901</v>
      </c>
      <c r="D59" s="32">
        <v>3.3404974765266902</v>
      </c>
      <c r="E59" s="32">
        <v>3.8537169568393499</v>
      </c>
      <c r="F59" s="20" t="s">
        <v>80</v>
      </c>
      <c r="G59" s="20" t="s">
        <v>80</v>
      </c>
      <c r="H59" s="15">
        <v>9.6385542168674707</v>
      </c>
      <c r="I59" s="20" t="s">
        <v>80</v>
      </c>
      <c r="J59" s="20" t="s">
        <v>80</v>
      </c>
      <c r="K59" s="20" t="s">
        <v>80</v>
      </c>
      <c r="L59" s="20" t="s">
        <v>80</v>
      </c>
      <c r="M59" s="20" t="s">
        <v>80</v>
      </c>
      <c r="N59" s="20" t="s">
        <v>80</v>
      </c>
      <c r="O59" s="20" t="s">
        <v>80</v>
      </c>
      <c r="P59" s="15">
        <v>6.0975609756097597</v>
      </c>
      <c r="Q59" s="20" t="s">
        <v>80</v>
      </c>
      <c r="R59" s="20" t="s">
        <v>80</v>
      </c>
      <c r="S59" s="20" t="s">
        <v>80</v>
      </c>
      <c r="T59" s="20" t="s">
        <v>80</v>
      </c>
      <c r="U59" s="20" t="s">
        <v>80</v>
      </c>
      <c r="V59" s="20" t="s">
        <v>80</v>
      </c>
      <c r="W59" s="15">
        <v>11.363636363636401</v>
      </c>
      <c r="X59" s="15">
        <v>4.3478260869565197</v>
      </c>
      <c r="Y59" s="15">
        <v>6.4516129032258096</v>
      </c>
      <c r="Z59" s="15">
        <v>8.7719298245614006</v>
      </c>
      <c r="AA59" s="32">
        <v>2.91380478296551</v>
      </c>
      <c r="AB59" s="20" t="s">
        <v>80</v>
      </c>
      <c r="AC59" s="15">
        <v>2.20820189274448</v>
      </c>
      <c r="AD59" s="15">
        <v>3.0042918454935599</v>
      </c>
      <c r="AE59" s="15">
        <v>4.2071197411003203</v>
      </c>
      <c r="AF59" s="15">
        <v>3.4620505992010702</v>
      </c>
      <c r="AG59" s="15">
        <v>4.8859934853420199</v>
      </c>
      <c r="AH59" s="15">
        <v>2.1352313167259802</v>
      </c>
      <c r="AI59" s="24">
        <v>33.3333333333333</v>
      </c>
      <c r="AJ59" s="38"/>
    </row>
    <row r="60" spans="1:36">
      <c r="A60" s="9" t="s">
        <v>209</v>
      </c>
      <c r="B60" s="36">
        <v>3.12136901906756</v>
      </c>
      <c r="C60" s="32">
        <v>3.05542214564879</v>
      </c>
      <c r="D60" s="32">
        <v>2.9975216306678698</v>
      </c>
      <c r="E60" s="32">
        <v>3.3149742460288198</v>
      </c>
      <c r="F60" s="20" t="s">
        <v>80</v>
      </c>
      <c r="G60" s="20" t="s">
        <v>80</v>
      </c>
      <c r="H60" s="15">
        <v>8.4337349397590398</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15">
        <v>10.2272727272727</v>
      </c>
      <c r="X60" s="15">
        <v>3.8043478260869601</v>
      </c>
      <c r="Y60" s="15">
        <v>7.0967741935483897</v>
      </c>
      <c r="Z60" s="15">
        <v>8.7719298245614006</v>
      </c>
      <c r="AA60" s="32">
        <v>2.7335902782494399</v>
      </c>
      <c r="AB60" s="20" t="s">
        <v>80</v>
      </c>
      <c r="AC60" s="15">
        <v>2.20820189274448</v>
      </c>
      <c r="AD60" s="15">
        <v>3.0042918454935599</v>
      </c>
      <c r="AE60" s="15">
        <v>4.2071197411003203</v>
      </c>
      <c r="AF60" s="15">
        <v>3.0625832223701699</v>
      </c>
      <c r="AG60" s="15">
        <v>3.90879478827362</v>
      </c>
      <c r="AH60" s="15">
        <v>1.77935943060498</v>
      </c>
      <c r="AI60" s="24">
        <v>33.3333333333333</v>
      </c>
      <c r="AJ60" s="38"/>
    </row>
    <row r="61" spans="1:36">
      <c r="A61" s="9" t="s">
        <v>210</v>
      </c>
      <c r="B61" s="36">
        <v>4.30825136490677</v>
      </c>
      <c r="C61" s="32">
        <v>4.0717527447509401</v>
      </c>
      <c r="D61" s="32">
        <v>3.97114197208959</v>
      </c>
      <c r="E61" s="32">
        <v>4.7792697983107502</v>
      </c>
      <c r="F61" s="20" t="s">
        <v>80</v>
      </c>
      <c r="G61" s="20" t="s">
        <v>80</v>
      </c>
      <c r="H61" s="15">
        <v>8.4337349397590398</v>
      </c>
      <c r="I61" s="20" t="s">
        <v>80</v>
      </c>
      <c r="J61" s="20" t="s">
        <v>80</v>
      </c>
      <c r="K61" s="20" t="s">
        <v>80</v>
      </c>
      <c r="L61" s="20" t="s">
        <v>80</v>
      </c>
      <c r="M61" s="20" t="s">
        <v>80</v>
      </c>
      <c r="N61" s="20" t="s">
        <v>80</v>
      </c>
      <c r="O61" s="20" t="s">
        <v>80</v>
      </c>
      <c r="P61" s="15">
        <v>6.0975609756097597</v>
      </c>
      <c r="Q61" s="20" t="s">
        <v>80</v>
      </c>
      <c r="R61" s="20" t="s">
        <v>80</v>
      </c>
      <c r="S61" s="15">
        <v>9.4594594594594597</v>
      </c>
      <c r="T61" s="20" t="s">
        <v>80</v>
      </c>
      <c r="U61" s="15">
        <v>4.9180327868852496</v>
      </c>
      <c r="V61" s="20" t="s">
        <v>80</v>
      </c>
      <c r="W61" s="15">
        <v>9.0909090909090899</v>
      </c>
      <c r="X61" s="15">
        <v>4.8913043478260896</v>
      </c>
      <c r="Y61" s="15">
        <v>6.4516129032258096</v>
      </c>
      <c r="Z61" s="15">
        <v>7.0175438596491198</v>
      </c>
      <c r="AA61" s="32">
        <v>3.2992613203614698</v>
      </c>
      <c r="AB61" s="20" t="s">
        <v>80</v>
      </c>
      <c r="AC61" s="15">
        <v>2.5236593059936898</v>
      </c>
      <c r="AD61" s="15">
        <v>4.2918454935622297</v>
      </c>
      <c r="AE61" s="15">
        <v>3.8834951456310698</v>
      </c>
      <c r="AF61" s="15">
        <v>4.1278295605858899</v>
      </c>
      <c r="AG61" s="15">
        <v>5.5374592833876202</v>
      </c>
      <c r="AH61" s="15">
        <v>3.5587188612099601</v>
      </c>
      <c r="AI61" s="24">
        <v>27.7777777777778</v>
      </c>
      <c r="AJ61" s="38"/>
    </row>
    <row r="62" spans="1:36">
      <c r="A62" s="9" t="s">
        <v>211</v>
      </c>
      <c r="B62" s="36">
        <v>11.167208743126301</v>
      </c>
      <c r="C62" s="32">
        <v>11.1182190804487</v>
      </c>
      <c r="D62" s="32">
        <v>11.5087489391376</v>
      </c>
      <c r="E62" s="32">
        <v>13.8772414657886</v>
      </c>
      <c r="F62" s="15">
        <v>18.8524590163934</v>
      </c>
      <c r="G62" s="15">
        <v>10.1694915254237</v>
      </c>
      <c r="H62" s="15">
        <v>12.048192771084301</v>
      </c>
      <c r="I62" s="15">
        <v>13.3333333333333</v>
      </c>
      <c r="J62" s="15">
        <v>21.428571428571399</v>
      </c>
      <c r="K62" s="15">
        <v>19.4444444444444</v>
      </c>
      <c r="L62" s="15">
        <v>12.621359223301001</v>
      </c>
      <c r="M62" s="15">
        <v>12.3456790123457</v>
      </c>
      <c r="N62" s="15">
        <v>11.864406779661</v>
      </c>
      <c r="O62" s="20" t="s">
        <v>80</v>
      </c>
      <c r="P62" s="15">
        <v>9.7560975609756095</v>
      </c>
      <c r="Q62" s="15">
        <v>9.2024539877300597</v>
      </c>
      <c r="R62" s="15">
        <v>7.9545454545454497</v>
      </c>
      <c r="S62" s="15">
        <v>14.8648648648649</v>
      </c>
      <c r="T62" s="15">
        <v>22.2222222222222</v>
      </c>
      <c r="U62" s="15">
        <v>9.8360655737704903</v>
      </c>
      <c r="V62" s="15">
        <v>13.5135135135135</v>
      </c>
      <c r="W62" s="15">
        <v>19.318181818181799</v>
      </c>
      <c r="X62" s="15">
        <v>14.673913043478301</v>
      </c>
      <c r="Y62" s="15">
        <v>23.870967741935502</v>
      </c>
      <c r="Z62" s="15">
        <v>20.175438596491201</v>
      </c>
      <c r="AA62" s="32">
        <v>9.5395749411815007</v>
      </c>
      <c r="AB62" s="15">
        <v>6.4516129032258096</v>
      </c>
      <c r="AC62" s="15">
        <v>15.141955835962101</v>
      </c>
      <c r="AD62" s="15">
        <v>10.300429184549399</v>
      </c>
      <c r="AE62" s="15">
        <v>9.7087378640776691</v>
      </c>
      <c r="AF62" s="15">
        <v>9.8535286284953401</v>
      </c>
      <c r="AG62" s="15">
        <v>9.7719869706840399</v>
      </c>
      <c r="AH62" s="15">
        <v>10.676156583629901</v>
      </c>
      <c r="AI62" s="26" t="s">
        <v>80</v>
      </c>
      <c r="AJ62" s="38"/>
    </row>
    <row r="63" spans="1:36">
      <c r="A63" s="9" t="s">
        <v>212</v>
      </c>
      <c r="B63" s="36">
        <v>17.6682163190065</v>
      </c>
      <c r="C63" s="32">
        <v>16.674275137087101</v>
      </c>
      <c r="D63" s="32">
        <v>17.5863311644455</v>
      </c>
      <c r="E63" s="32">
        <v>20.965400726892099</v>
      </c>
      <c r="F63" s="15">
        <v>18.8524590163934</v>
      </c>
      <c r="G63" s="15">
        <v>20.338983050847499</v>
      </c>
      <c r="H63" s="15">
        <v>32.530120481927703</v>
      </c>
      <c r="I63" s="15">
        <v>15.5555555555556</v>
      </c>
      <c r="J63" s="15">
        <v>12.5</v>
      </c>
      <c r="K63" s="20" t="s">
        <v>80</v>
      </c>
      <c r="L63" s="15">
        <v>18.446601941747598</v>
      </c>
      <c r="M63" s="15">
        <v>8.6419753086419693</v>
      </c>
      <c r="N63" s="15">
        <v>22.033898305084701</v>
      </c>
      <c r="O63" s="15">
        <v>19.2982456140351</v>
      </c>
      <c r="P63" s="15">
        <v>18.292682926829301</v>
      </c>
      <c r="Q63" s="15">
        <v>20.245398773006102</v>
      </c>
      <c r="R63" s="15">
        <v>14.7727272727273</v>
      </c>
      <c r="S63" s="15">
        <v>20.270270270270299</v>
      </c>
      <c r="T63" s="15">
        <v>30.5555555555556</v>
      </c>
      <c r="U63" s="15">
        <v>18.032786885245901</v>
      </c>
      <c r="V63" s="15">
        <v>28.3783783783784</v>
      </c>
      <c r="W63" s="15">
        <v>20.454545454545499</v>
      </c>
      <c r="X63" s="15">
        <v>23.913043478260899</v>
      </c>
      <c r="Y63" s="15">
        <v>27.741935483871</v>
      </c>
      <c r="Z63" s="15">
        <v>21.052631578947398</v>
      </c>
      <c r="AA63" s="32">
        <v>14.776959446028799</v>
      </c>
      <c r="AB63" s="15">
        <v>12.9032258064516</v>
      </c>
      <c r="AC63" s="15">
        <v>15.457413249211401</v>
      </c>
      <c r="AD63" s="15">
        <v>16.7381974248927</v>
      </c>
      <c r="AE63" s="15">
        <v>17.1521035598706</v>
      </c>
      <c r="AF63" s="15">
        <v>15.4460719041278</v>
      </c>
      <c r="AG63" s="15">
        <v>18.241042345276899</v>
      </c>
      <c r="AH63" s="15">
        <v>10.676156583629901</v>
      </c>
      <c r="AI63" s="24">
        <v>33.3333333333333</v>
      </c>
      <c r="AJ63" s="38"/>
    </row>
    <row r="64" spans="1:36">
      <c r="A64" s="11" t="s">
        <v>213</v>
      </c>
      <c r="B64" s="37">
        <v>3.62854876642167</v>
      </c>
      <c r="C64" s="33">
        <v>3.6591985963411</v>
      </c>
      <c r="D64" s="33">
        <v>4.2489882710255902</v>
      </c>
      <c r="E64" s="33">
        <v>6.8732513593103501</v>
      </c>
      <c r="F64" s="16">
        <v>4.9180327868852496</v>
      </c>
      <c r="G64" s="16">
        <v>11.864406779661</v>
      </c>
      <c r="H64" s="16">
        <v>12.048192771084301</v>
      </c>
      <c r="I64" s="16">
        <v>6.6666666666666696</v>
      </c>
      <c r="J64" s="28" t="s">
        <v>80</v>
      </c>
      <c r="K64" s="28" t="s">
        <v>80</v>
      </c>
      <c r="L64" s="28" t="s">
        <v>80</v>
      </c>
      <c r="M64" s="16">
        <v>9.8765432098765409</v>
      </c>
      <c r="N64" s="28" t="s">
        <v>80</v>
      </c>
      <c r="O64" s="28" t="s">
        <v>80</v>
      </c>
      <c r="P64" s="16">
        <v>12.1951219512195</v>
      </c>
      <c r="Q64" s="16">
        <v>7.3619631901840501</v>
      </c>
      <c r="R64" s="28" t="s">
        <v>80</v>
      </c>
      <c r="S64" s="16">
        <v>9.4594594594594597</v>
      </c>
      <c r="T64" s="16">
        <v>11.1111111111111</v>
      </c>
      <c r="U64" s="16">
        <v>9.8360655737704903</v>
      </c>
      <c r="V64" s="28" t="s">
        <v>80</v>
      </c>
      <c r="W64" s="28" t="s">
        <v>80</v>
      </c>
      <c r="X64" s="16">
        <v>3.8043478260869601</v>
      </c>
      <c r="Y64" s="16">
        <v>9.0322580645161299</v>
      </c>
      <c r="Z64" s="16">
        <v>5.2631578947368398</v>
      </c>
      <c r="AA64" s="33">
        <v>2.0671656226117001</v>
      </c>
      <c r="AB64" s="28" t="s">
        <v>80</v>
      </c>
      <c r="AC64" s="16">
        <v>2.8391167192429001</v>
      </c>
      <c r="AD64" s="28" t="s">
        <v>80</v>
      </c>
      <c r="AE64" s="16">
        <v>1.94174757281553</v>
      </c>
      <c r="AF64" s="16">
        <v>3.4620505992010702</v>
      </c>
      <c r="AG64" s="28" t="s">
        <v>80</v>
      </c>
      <c r="AH64" s="16">
        <v>2.1352313167259802</v>
      </c>
      <c r="AI64" s="29" t="s">
        <v>80</v>
      </c>
      <c r="AJ64" s="38"/>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71"/>
  <sheetViews>
    <sheetView zoomScale="70" workbookViewId="0"/>
  </sheetViews>
  <sheetFormatPr defaultColWidth="10.90625" defaultRowHeight="15"/>
  <cols>
    <col min="1" max="1" width="51.6796875" customWidth="1"/>
    <col min="2" max="4" width="15.90625" customWidth="1"/>
  </cols>
  <sheetData>
    <row r="1" spans="1:4" ht="39.9" customHeight="1">
      <c r="A1" s="10" t="s">
        <v>247</v>
      </c>
      <c r="B1" s="12"/>
      <c r="C1" s="12"/>
      <c r="D1" s="12"/>
    </row>
    <row r="2" spans="1:4" ht="45">
      <c r="A2" s="7" t="s">
        <v>2</v>
      </c>
      <c r="B2" s="6" t="s">
        <v>18</v>
      </c>
      <c r="C2" s="6" t="s">
        <v>19</v>
      </c>
      <c r="D2" s="8" t="s">
        <v>20</v>
      </c>
    </row>
    <row r="3" spans="1:4">
      <c r="A3" s="9" t="s">
        <v>152</v>
      </c>
      <c r="B3" s="15">
        <v>36.905422439664299</v>
      </c>
      <c r="C3" s="15">
        <v>38.597533730202898</v>
      </c>
      <c r="D3" s="24">
        <v>38.564928188823302</v>
      </c>
    </row>
    <row r="4" spans="1:4">
      <c r="A4" s="9" t="s">
        <v>153</v>
      </c>
      <c r="B4" s="15">
        <v>20.5455108671155</v>
      </c>
      <c r="C4" s="15">
        <v>21.603166363373798</v>
      </c>
      <c r="D4" s="24">
        <v>21.8536863656714</v>
      </c>
    </row>
    <row r="5" spans="1:4">
      <c r="A5" s="9" t="s">
        <v>154</v>
      </c>
      <c r="B5" s="15">
        <v>25.979778082061902</v>
      </c>
      <c r="C5" s="15">
        <v>28.617715823013199</v>
      </c>
      <c r="D5" s="24">
        <v>31.1288531059541</v>
      </c>
    </row>
    <row r="6" spans="1:4">
      <c r="A6" s="9" t="s">
        <v>155</v>
      </c>
      <c r="B6" s="15">
        <v>45.049265183138097</v>
      </c>
      <c r="C6" s="15">
        <v>45.959930653830398</v>
      </c>
      <c r="D6" s="24">
        <v>48.951313613120199</v>
      </c>
    </row>
    <row r="7" spans="1:4">
      <c r="A7" s="9" t="s">
        <v>156</v>
      </c>
      <c r="B7" s="15">
        <v>29.304471416193099</v>
      </c>
      <c r="C7" s="15">
        <v>28.989780275738401</v>
      </c>
      <c r="D7" s="24">
        <v>28.7012299164927</v>
      </c>
    </row>
    <row r="8" spans="1:4">
      <c r="A8" s="9" t="s">
        <v>157</v>
      </c>
      <c r="B8" s="15">
        <v>7.3609573381902003</v>
      </c>
      <c r="C8" s="15">
        <v>5.5247612976016098</v>
      </c>
      <c r="D8" s="26" t="s">
        <v>80</v>
      </c>
    </row>
    <row r="9" spans="1:4">
      <c r="A9" s="9" t="s">
        <v>158</v>
      </c>
      <c r="B9" s="15">
        <v>16.015315661131201</v>
      </c>
      <c r="C9" s="15">
        <v>17.965007754442698</v>
      </c>
      <c r="D9" s="24">
        <v>16.770868165379099</v>
      </c>
    </row>
    <row r="10" spans="1:4">
      <c r="A10" s="9" t="s">
        <v>159</v>
      </c>
      <c r="B10" s="15">
        <v>34.168957855860597</v>
      </c>
      <c r="C10" s="15">
        <v>35.104821382041898</v>
      </c>
      <c r="D10" s="24">
        <v>37.6187440978672</v>
      </c>
    </row>
    <row r="11" spans="1:4">
      <c r="A11" s="9" t="s">
        <v>160</v>
      </c>
      <c r="B11" s="15">
        <v>26.608919592796401</v>
      </c>
      <c r="C11" s="15">
        <v>25.886978730075398</v>
      </c>
      <c r="D11" s="24">
        <v>24.628839903380001</v>
      </c>
    </row>
    <row r="12" spans="1:4">
      <c r="A12" s="9" t="s">
        <v>161</v>
      </c>
      <c r="B12" s="15">
        <v>21.680614083781201</v>
      </c>
      <c r="C12" s="15">
        <v>21.624094485610801</v>
      </c>
      <c r="D12" s="24">
        <v>22.764921958603001</v>
      </c>
    </row>
    <row r="13" spans="1:4">
      <c r="A13" s="9" t="s">
        <v>162</v>
      </c>
      <c r="B13" s="15">
        <v>13.2047882252402</v>
      </c>
      <c r="C13" s="15">
        <v>12.253427003584701</v>
      </c>
      <c r="D13" s="26" t="s">
        <v>80</v>
      </c>
    </row>
    <row r="14" spans="1:4">
      <c r="A14" s="9" t="s">
        <v>163</v>
      </c>
      <c r="B14" s="15">
        <v>31.007797683414999</v>
      </c>
      <c r="C14" s="15">
        <v>33.055462116112899</v>
      </c>
      <c r="D14" s="24">
        <v>34.783824495399202</v>
      </c>
    </row>
    <row r="15" spans="1:4">
      <c r="A15" s="9" t="s">
        <v>164</v>
      </c>
      <c r="B15" s="15">
        <v>24.608277846089099</v>
      </c>
      <c r="C15" s="15">
        <v>26.203854125449499</v>
      </c>
      <c r="D15" s="24">
        <v>23.433396157717699</v>
      </c>
    </row>
    <row r="16" spans="1:4">
      <c r="A16" s="9" t="s">
        <v>165</v>
      </c>
      <c r="B16" s="15">
        <v>9.9101874480034002</v>
      </c>
      <c r="C16" s="15">
        <v>10.632945982342401</v>
      </c>
      <c r="D16" s="26" t="s">
        <v>80</v>
      </c>
    </row>
    <row r="17" spans="1:4">
      <c r="A17" s="9" t="s">
        <v>166</v>
      </c>
      <c r="B17" s="15">
        <v>42.864616918986002</v>
      </c>
      <c r="C17" s="15">
        <v>46.256676558147099</v>
      </c>
      <c r="D17" s="24">
        <v>43.967853437755601</v>
      </c>
    </row>
    <row r="18" spans="1:4">
      <c r="A18" s="9" t="s">
        <v>167</v>
      </c>
      <c r="B18" s="15">
        <v>26.062599315431999</v>
      </c>
      <c r="C18" s="15">
        <v>24.899747297978099</v>
      </c>
      <c r="D18" s="24">
        <v>24.704695377789001</v>
      </c>
    </row>
    <row r="19" spans="1:4">
      <c r="A19" s="9" t="s">
        <v>168</v>
      </c>
      <c r="B19" s="15">
        <v>31.348546152243301</v>
      </c>
      <c r="C19" s="15">
        <v>32.341644440805702</v>
      </c>
      <c r="D19" s="24">
        <v>31.843511567499601</v>
      </c>
    </row>
    <row r="20" spans="1:4">
      <c r="A20" s="9" t="s">
        <v>169</v>
      </c>
      <c r="B20" s="15">
        <v>16.2792318739004</v>
      </c>
      <c r="C20" s="15">
        <v>15.6669042309196</v>
      </c>
      <c r="D20" s="24">
        <v>13.440733947052999</v>
      </c>
    </row>
    <row r="21" spans="1:4">
      <c r="A21" s="9" t="s">
        <v>170</v>
      </c>
      <c r="B21" s="15">
        <v>10.5974697590633</v>
      </c>
      <c r="C21" s="15">
        <v>9.6614985847976094</v>
      </c>
      <c r="D21" s="26" t="s">
        <v>80</v>
      </c>
    </row>
    <row r="22" spans="1:4">
      <c r="A22" s="9" t="s">
        <v>171</v>
      </c>
      <c r="B22" s="15">
        <v>22.359537317692801</v>
      </c>
      <c r="C22" s="15">
        <v>23.592712035861101</v>
      </c>
      <c r="D22" s="24">
        <v>21.908880267089501</v>
      </c>
    </row>
    <row r="23" spans="1:4">
      <c r="A23" s="9" t="s">
        <v>172</v>
      </c>
      <c r="B23" s="15">
        <v>18.276694572532101</v>
      </c>
      <c r="C23" s="15">
        <v>18.4293409699264</v>
      </c>
      <c r="D23" s="24">
        <v>20.587392747602198</v>
      </c>
    </row>
    <row r="24" spans="1:4">
      <c r="A24" s="9" t="s">
        <v>173</v>
      </c>
      <c r="B24" s="15">
        <v>40.118812590540998</v>
      </c>
      <c r="C24" s="15">
        <v>43.494182105784702</v>
      </c>
      <c r="D24" s="24">
        <v>44.134697146361702</v>
      </c>
    </row>
    <row r="25" spans="1:4">
      <c r="A25" s="9" t="s">
        <v>174</v>
      </c>
      <c r="B25" s="15">
        <v>6.39157031589935</v>
      </c>
      <c r="C25" s="15">
        <v>6.82242855557661</v>
      </c>
      <c r="D25" s="26" t="s">
        <v>80</v>
      </c>
    </row>
    <row r="26" spans="1:4">
      <c r="A26" s="9" t="s">
        <v>175</v>
      </c>
      <c r="B26" s="15">
        <v>29.7177530967246</v>
      </c>
      <c r="C26" s="15">
        <v>29.196807479217298</v>
      </c>
      <c r="D26" s="24">
        <v>25.7757455489999</v>
      </c>
    </row>
    <row r="27" spans="1:4">
      <c r="A27" s="9" t="s">
        <v>176</v>
      </c>
      <c r="B27" s="15">
        <v>19.556400761885399</v>
      </c>
      <c r="C27" s="15">
        <v>16.941068652277401</v>
      </c>
      <c r="D27" s="24">
        <v>17.3454153981139</v>
      </c>
    </row>
    <row r="28" spans="1:4">
      <c r="A28" s="9" t="s">
        <v>177</v>
      </c>
      <c r="B28" s="15">
        <v>27.9639090100552</v>
      </c>
      <c r="C28" s="15">
        <v>27.029337270577098</v>
      </c>
      <c r="D28" s="24">
        <v>26.315900366527</v>
      </c>
    </row>
    <row r="29" spans="1:4">
      <c r="A29" s="9" t="s">
        <v>178</v>
      </c>
      <c r="B29" s="15">
        <v>11.9329632884495</v>
      </c>
      <c r="C29" s="15">
        <v>10.866865474194601</v>
      </c>
      <c r="D29" s="24">
        <v>11.4616520799079</v>
      </c>
    </row>
    <row r="30" spans="1:4">
      <c r="A30" s="9" t="s">
        <v>179</v>
      </c>
      <c r="B30" s="15">
        <v>16.755695176933401</v>
      </c>
      <c r="C30" s="15">
        <v>19.9882774660358</v>
      </c>
      <c r="D30" s="24">
        <v>19.9913825751301</v>
      </c>
    </row>
    <row r="31" spans="1:4">
      <c r="A31" s="9" t="s">
        <v>180</v>
      </c>
      <c r="B31" s="15">
        <v>25.3086009936113</v>
      </c>
      <c r="C31" s="15">
        <v>26.073277583865099</v>
      </c>
      <c r="D31" s="24">
        <v>30.6320711096085</v>
      </c>
    </row>
    <row r="32" spans="1:4">
      <c r="A32" s="9" t="s">
        <v>181</v>
      </c>
      <c r="B32" s="15">
        <v>6.38101461853564</v>
      </c>
      <c r="C32" s="15">
        <v>7.0780995261024398</v>
      </c>
      <c r="D32" s="26" t="s">
        <v>80</v>
      </c>
    </row>
    <row r="33" spans="1:4">
      <c r="A33" s="9" t="s">
        <v>182</v>
      </c>
      <c r="B33" s="15">
        <v>14.9764315837349</v>
      </c>
      <c r="C33" s="15">
        <v>15.4898517223789</v>
      </c>
      <c r="D33" s="24">
        <v>15.151792216034901</v>
      </c>
    </row>
    <row r="34" spans="1:4">
      <c r="A34" s="9" t="s">
        <v>183</v>
      </c>
      <c r="B34" s="15">
        <v>33.555612779234202</v>
      </c>
      <c r="C34" s="15">
        <v>36.368784350326202</v>
      </c>
      <c r="D34" s="24">
        <v>34.455604541398301</v>
      </c>
    </row>
    <row r="35" spans="1:4">
      <c r="A35" s="9" t="s">
        <v>184</v>
      </c>
      <c r="B35" s="15">
        <v>25.0993190765363</v>
      </c>
      <c r="C35" s="15">
        <v>26.8923647536243</v>
      </c>
      <c r="D35" s="24">
        <v>27.650051008280901</v>
      </c>
    </row>
    <row r="36" spans="1:4">
      <c r="A36" s="9" t="s">
        <v>185</v>
      </c>
      <c r="B36" s="15">
        <v>15.6867138965943</v>
      </c>
      <c r="C36" s="15">
        <v>17.374007736354699</v>
      </c>
      <c r="D36" s="24">
        <v>18.091977436160899</v>
      </c>
    </row>
    <row r="37" spans="1:4">
      <c r="A37" s="9" t="s">
        <v>186</v>
      </c>
      <c r="B37" s="15">
        <v>20.992230503124599</v>
      </c>
      <c r="C37" s="15">
        <v>21.271546413759001</v>
      </c>
      <c r="D37" s="24">
        <v>22.074389916164701</v>
      </c>
    </row>
    <row r="38" spans="1:4">
      <c r="A38" s="9" t="s">
        <v>187</v>
      </c>
      <c r="B38" s="15">
        <v>29.8226247515789</v>
      </c>
      <c r="C38" s="15">
        <v>31.145441575503199</v>
      </c>
      <c r="D38" s="24">
        <v>29.451946377389699</v>
      </c>
    </row>
    <row r="39" spans="1:4">
      <c r="A39" s="9" t="s">
        <v>188</v>
      </c>
      <c r="B39" s="15">
        <v>34.396435729224301</v>
      </c>
      <c r="C39" s="15">
        <v>36.5327479817485</v>
      </c>
      <c r="D39" s="24">
        <v>37.3659410859443</v>
      </c>
    </row>
    <row r="40" spans="1:4">
      <c r="A40" s="9" t="s">
        <v>189</v>
      </c>
      <c r="B40" s="15">
        <v>17.8649809724416</v>
      </c>
      <c r="C40" s="15">
        <v>18.526343509767202</v>
      </c>
      <c r="D40" s="24">
        <v>18.997840582155501</v>
      </c>
    </row>
    <row r="41" spans="1:4">
      <c r="A41" s="9" t="s">
        <v>190</v>
      </c>
      <c r="B41" s="15">
        <v>21.692216953657798</v>
      </c>
      <c r="C41" s="15">
        <v>23.0079972170453</v>
      </c>
      <c r="D41" s="24">
        <v>21.294359006976201</v>
      </c>
    </row>
    <row r="42" spans="1:4">
      <c r="A42" s="9" t="s">
        <v>191</v>
      </c>
      <c r="B42" s="15">
        <v>12.992046515475799</v>
      </c>
      <c r="C42" s="15">
        <v>11.699306051299301</v>
      </c>
      <c r="D42" s="26" t="s">
        <v>80</v>
      </c>
    </row>
    <row r="43" spans="1:4">
      <c r="A43" s="9" t="s">
        <v>192</v>
      </c>
      <c r="B43" s="15">
        <v>20.456507134673199</v>
      </c>
      <c r="C43" s="15">
        <v>24.152582320177999</v>
      </c>
      <c r="D43" s="24">
        <v>23.2986893113282</v>
      </c>
    </row>
    <row r="44" spans="1:4">
      <c r="A44" s="9" t="s">
        <v>193</v>
      </c>
      <c r="B44" s="15">
        <v>33.983343501726502</v>
      </c>
      <c r="C44" s="15">
        <v>37.941607357979997</v>
      </c>
      <c r="D44" s="24">
        <v>37.721838375123802</v>
      </c>
    </row>
    <row r="45" spans="1:4">
      <c r="A45" s="9" t="s">
        <v>194</v>
      </c>
      <c r="B45" s="15">
        <v>13.793144107135999</v>
      </c>
      <c r="C45" s="15">
        <v>15.000920654870599</v>
      </c>
      <c r="D45" s="24">
        <v>16.206764787315699</v>
      </c>
    </row>
    <row r="46" spans="1:4">
      <c r="A46" s="9" t="s">
        <v>195</v>
      </c>
      <c r="B46" s="15">
        <v>23.7931543648609</v>
      </c>
      <c r="C46" s="15">
        <v>25.3500021545997</v>
      </c>
      <c r="D46" s="24">
        <v>26.762514204888699</v>
      </c>
    </row>
    <row r="47" spans="1:4">
      <c r="A47" s="9" t="s">
        <v>196</v>
      </c>
      <c r="B47" s="15">
        <v>19.919883955216999</v>
      </c>
      <c r="C47" s="15">
        <v>19.512869153035801</v>
      </c>
      <c r="D47" s="24">
        <v>19.458245455564299</v>
      </c>
    </row>
    <row r="48" spans="1:4">
      <c r="A48" s="9" t="s">
        <v>197</v>
      </c>
      <c r="B48" s="15">
        <v>13.824942819406401</v>
      </c>
      <c r="C48" s="15">
        <v>14.5047331336221</v>
      </c>
      <c r="D48" s="24">
        <v>14.275692501367599</v>
      </c>
    </row>
    <row r="49" spans="1:4">
      <c r="A49" s="9" t="s">
        <v>198</v>
      </c>
      <c r="B49" s="15">
        <v>22.802492164630099</v>
      </c>
      <c r="C49" s="15">
        <v>27.093741110916</v>
      </c>
      <c r="D49" s="24">
        <v>28.325384899123499</v>
      </c>
    </row>
    <row r="50" spans="1:4">
      <c r="A50" s="9" t="s">
        <v>199</v>
      </c>
      <c r="B50" s="15">
        <v>47.236813245078501</v>
      </c>
      <c r="C50" s="15">
        <v>47.768626411199399</v>
      </c>
      <c r="D50" s="24">
        <v>45.581077244915598</v>
      </c>
    </row>
    <row r="51" spans="1:4">
      <c r="A51" s="9" t="s">
        <v>200</v>
      </c>
      <c r="B51" s="15">
        <v>30.803619869744299</v>
      </c>
      <c r="C51" s="15">
        <v>32.300425862605898</v>
      </c>
      <c r="D51" s="24">
        <v>35.074577718821303</v>
      </c>
    </row>
    <row r="52" spans="1:4">
      <c r="A52" s="9" t="s">
        <v>201</v>
      </c>
      <c r="B52" s="15">
        <v>30.0228548239924</v>
      </c>
      <c r="C52" s="15">
        <v>33.187896897597803</v>
      </c>
      <c r="D52" s="24">
        <v>31.570325447563</v>
      </c>
    </row>
    <row r="53" spans="1:4">
      <c r="A53" s="9" t="s">
        <v>202</v>
      </c>
      <c r="B53" s="15">
        <v>34.337447695791603</v>
      </c>
      <c r="C53" s="15">
        <v>34.700330455947302</v>
      </c>
      <c r="D53" s="24">
        <v>33.483212688869997</v>
      </c>
    </row>
    <row r="54" spans="1:4">
      <c r="A54" s="9" t="s">
        <v>203</v>
      </c>
      <c r="B54" s="15">
        <v>40.365079243576197</v>
      </c>
      <c r="C54" s="15">
        <v>37.1956740671421</v>
      </c>
      <c r="D54" s="24">
        <v>36.284796572976099</v>
      </c>
    </row>
    <row r="55" spans="1:4">
      <c r="A55" s="9" t="s">
        <v>204</v>
      </c>
      <c r="B55" s="15">
        <v>9.9319828054878805</v>
      </c>
      <c r="C55" s="15">
        <v>11.763055647170001</v>
      </c>
      <c r="D55" s="26" t="s">
        <v>80</v>
      </c>
    </row>
    <row r="56" spans="1:4">
      <c r="A56" s="9" t="s">
        <v>205</v>
      </c>
      <c r="B56" s="15">
        <v>14.971109122972999</v>
      </c>
      <c r="C56" s="15">
        <v>14.500061469084301</v>
      </c>
      <c r="D56" s="24">
        <v>14.328430763423899</v>
      </c>
    </row>
    <row r="57" spans="1:4">
      <c r="A57" s="9" t="s">
        <v>206</v>
      </c>
      <c r="B57" s="15">
        <v>13.7316128075071</v>
      </c>
      <c r="C57" s="15">
        <v>14.087060794580299</v>
      </c>
      <c r="D57" s="24">
        <v>12.624902001339001</v>
      </c>
    </row>
    <row r="58" spans="1:4">
      <c r="A58" s="9" t="s">
        <v>207</v>
      </c>
      <c r="B58" s="15">
        <v>32.106577673648999</v>
      </c>
      <c r="C58" s="15">
        <v>37.546426714780402</v>
      </c>
      <c r="D58" s="24">
        <v>35.316757125644102</v>
      </c>
    </row>
    <row r="59" spans="1:4">
      <c r="A59" s="9" t="s">
        <v>208</v>
      </c>
      <c r="B59" s="15">
        <v>6.7592849310593204</v>
      </c>
      <c r="C59" s="15">
        <v>5.7344436567360004</v>
      </c>
      <c r="D59" s="26" t="s">
        <v>80</v>
      </c>
    </row>
    <row r="60" spans="1:4">
      <c r="A60" s="9" t="s">
        <v>209</v>
      </c>
      <c r="B60" s="15">
        <v>6.3669254995389597</v>
      </c>
      <c r="C60" s="15">
        <v>5.8422584679352099</v>
      </c>
      <c r="D60" s="26" t="s">
        <v>80</v>
      </c>
    </row>
    <row r="61" spans="1:4">
      <c r="A61" s="9" t="s">
        <v>210</v>
      </c>
      <c r="B61" s="15">
        <v>8.8842244440959508</v>
      </c>
      <c r="C61" s="15">
        <v>8.5463124503063401</v>
      </c>
      <c r="D61" s="26" t="s">
        <v>80</v>
      </c>
    </row>
    <row r="62" spans="1:4">
      <c r="A62" s="9" t="s">
        <v>211</v>
      </c>
      <c r="B62" s="15">
        <v>12.672017089311</v>
      </c>
      <c r="C62" s="15">
        <v>14.544743669103999</v>
      </c>
      <c r="D62" s="24">
        <v>15.4686682246902</v>
      </c>
    </row>
    <row r="63" spans="1:4">
      <c r="A63" s="9" t="s">
        <v>212</v>
      </c>
      <c r="B63" s="15">
        <v>22.009077814604598</v>
      </c>
      <c r="C63" s="15">
        <v>22.261430545622801</v>
      </c>
      <c r="D63" s="24">
        <v>20.536606771957999</v>
      </c>
    </row>
    <row r="64" spans="1:4">
      <c r="A64" s="11" t="s">
        <v>213</v>
      </c>
      <c r="B64" s="16">
        <v>4.5374072265306502</v>
      </c>
      <c r="C64" s="16">
        <v>4.1886095717738696</v>
      </c>
      <c r="D64" s="29" t="s">
        <v>80</v>
      </c>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70"/>
  <sheetViews>
    <sheetView zoomScale="70" workbookViewId="0"/>
  </sheetViews>
  <sheetFormatPr defaultColWidth="10.90625" defaultRowHeight="15"/>
  <cols>
    <col min="1" max="1" width="51.6796875" customWidth="1"/>
    <col min="2" max="16" width="15.90625" customWidth="1"/>
  </cols>
  <sheetData>
    <row r="1" spans="1:16" ht="39.9" customHeight="1">
      <c r="A1" s="10" t="s">
        <v>248</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9" t="s">
        <v>152</v>
      </c>
      <c r="B3" s="15">
        <v>21.535480101711201</v>
      </c>
      <c r="C3" s="15">
        <v>20.159638978402</v>
      </c>
      <c r="D3" s="24">
        <v>22.6793598205</v>
      </c>
      <c r="E3" s="15">
        <v>19.881860638524099</v>
      </c>
      <c r="F3" s="15">
        <v>21.084457522291299</v>
      </c>
      <c r="G3" s="24">
        <v>18.859434655143701</v>
      </c>
      <c r="H3" s="15">
        <v>22.8577838041804</v>
      </c>
      <c r="I3" s="15">
        <v>19.254929915694898</v>
      </c>
      <c r="J3" s="24">
        <v>25.810421266709199</v>
      </c>
      <c r="K3" s="20" t="s">
        <v>80</v>
      </c>
      <c r="L3" s="20" t="s">
        <v>80</v>
      </c>
      <c r="M3" s="26" t="s">
        <v>80</v>
      </c>
      <c r="N3" s="15">
        <v>29.680847547993299</v>
      </c>
      <c r="O3" s="20" t="s">
        <v>80</v>
      </c>
      <c r="P3" s="26" t="s">
        <v>80</v>
      </c>
    </row>
    <row r="4" spans="1:16">
      <c r="A4" s="9" t="s">
        <v>153</v>
      </c>
      <c r="B4" s="15">
        <v>9.9447508651518906</v>
      </c>
      <c r="C4" s="15">
        <v>11.685338885117901</v>
      </c>
      <c r="D4" s="24">
        <v>8.4976191425463501</v>
      </c>
      <c r="E4" s="15">
        <v>9.1551356340330994</v>
      </c>
      <c r="F4" s="15">
        <v>11.448869167623201</v>
      </c>
      <c r="G4" s="24">
        <v>7.2050451296013902</v>
      </c>
      <c r="H4" s="15">
        <v>10.871567828321201</v>
      </c>
      <c r="I4" s="15">
        <v>11.999346562154701</v>
      </c>
      <c r="J4" s="24">
        <v>9.9473222602168594</v>
      </c>
      <c r="K4" s="20" t="s">
        <v>80</v>
      </c>
      <c r="L4" s="20" t="s">
        <v>80</v>
      </c>
      <c r="M4" s="26" t="s">
        <v>80</v>
      </c>
      <c r="N4" s="20" t="s">
        <v>80</v>
      </c>
      <c r="O4" s="20" t="s">
        <v>80</v>
      </c>
      <c r="P4" s="26" t="s">
        <v>80</v>
      </c>
    </row>
    <row r="5" spans="1:16">
      <c r="A5" s="9" t="s">
        <v>154</v>
      </c>
      <c r="B5" s="15">
        <v>11.9399442666809</v>
      </c>
      <c r="C5" s="15">
        <v>10.5487010246948</v>
      </c>
      <c r="D5" s="24">
        <v>13.0966293674885</v>
      </c>
      <c r="E5" s="15">
        <v>10.17980570752</v>
      </c>
      <c r="F5" s="15">
        <v>10.9229859600152</v>
      </c>
      <c r="G5" s="24">
        <v>9.54796738268913</v>
      </c>
      <c r="H5" s="15">
        <v>13.723623761528399</v>
      </c>
      <c r="I5" s="15">
        <v>10.041717079874299</v>
      </c>
      <c r="J5" s="24">
        <v>16.741047153726299</v>
      </c>
      <c r="K5" s="20" t="s">
        <v>80</v>
      </c>
      <c r="L5" s="20" t="s">
        <v>80</v>
      </c>
      <c r="M5" s="26" t="s">
        <v>80</v>
      </c>
      <c r="N5" s="20" t="s">
        <v>80</v>
      </c>
      <c r="O5" s="20" t="s">
        <v>80</v>
      </c>
      <c r="P5" s="26" t="s">
        <v>80</v>
      </c>
    </row>
    <row r="6" spans="1:16">
      <c r="A6" s="9" t="s">
        <v>155</v>
      </c>
      <c r="B6" s="15">
        <v>12.5409940722695</v>
      </c>
      <c r="C6" s="15">
        <v>14.289730707834799</v>
      </c>
      <c r="D6" s="24">
        <v>11.08708755862</v>
      </c>
      <c r="E6" s="15">
        <v>10.371653297304</v>
      </c>
      <c r="F6" s="15">
        <v>12.008832007641599</v>
      </c>
      <c r="G6" s="24">
        <v>8.9797537543393204</v>
      </c>
      <c r="H6" s="15">
        <v>15.095062932306799</v>
      </c>
      <c r="I6" s="15">
        <v>17.151741958040098</v>
      </c>
      <c r="J6" s="24">
        <v>13.409558127578199</v>
      </c>
      <c r="K6" s="20" t="s">
        <v>80</v>
      </c>
      <c r="L6" s="20" t="s">
        <v>80</v>
      </c>
      <c r="M6" s="26" t="s">
        <v>80</v>
      </c>
      <c r="N6" s="20" t="s">
        <v>80</v>
      </c>
      <c r="O6" s="20" t="s">
        <v>80</v>
      </c>
      <c r="P6" s="26" t="s">
        <v>80</v>
      </c>
    </row>
    <row r="7" spans="1:16">
      <c r="A7" s="9" t="s">
        <v>156</v>
      </c>
      <c r="B7" s="15">
        <v>12.019040881893901</v>
      </c>
      <c r="C7" s="15">
        <v>14.6229022825502</v>
      </c>
      <c r="D7" s="24">
        <v>9.8541802767798092</v>
      </c>
      <c r="E7" s="15">
        <v>14.8551561385081</v>
      </c>
      <c r="F7" s="15">
        <v>17.9690176010585</v>
      </c>
      <c r="G7" s="24">
        <v>12.2078077951585</v>
      </c>
      <c r="H7" s="15">
        <v>9.0769784070178297</v>
      </c>
      <c r="I7" s="15">
        <v>11.0010706547687</v>
      </c>
      <c r="J7" s="24">
        <v>7.5001320990875602</v>
      </c>
      <c r="K7" s="20" t="s">
        <v>80</v>
      </c>
      <c r="L7" s="20" t="s">
        <v>80</v>
      </c>
      <c r="M7" s="26" t="s">
        <v>80</v>
      </c>
      <c r="N7" s="20" t="s">
        <v>80</v>
      </c>
      <c r="O7" s="20" t="s">
        <v>80</v>
      </c>
      <c r="P7" s="26" t="s">
        <v>80</v>
      </c>
    </row>
    <row r="8" spans="1:16">
      <c r="A8" s="9" t="s">
        <v>157</v>
      </c>
      <c r="B8" s="15">
        <v>2.6865719647022499</v>
      </c>
      <c r="C8" s="15">
        <v>3.65922749052771</v>
      </c>
      <c r="D8" s="24">
        <v>1.87790233671232</v>
      </c>
      <c r="E8" s="15">
        <v>3.2150352189307601</v>
      </c>
      <c r="F8" s="15">
        <v>3.9186633831155002</v>
      </c>
      <c r="G8" s="24">
        <v>2.6168233597355299</v>
      </c>
      <c r="H8" s="15">
        <v>1.9202034028196899</v>
      </c>
      <c r="I8" s="15">
        <v>2.9604082365189601</v>
      </c>
      <c r="J8" s="26" t="s">
        <v>80</v>
      </c>
      <c r="K8" s="20" t="s">
        <v>80</v>
      </c>
      <c r="L8" s="20" t="s">
        <v>80</v>
      </c>
      <c r="M8" s="26" t="s">
        <v>80</v>
      </c>
      <c r="N8" s="20" t="s">
        <v>80</v>
      </c>
      <c r="O8" s="20" t="s">
        <v>80</v>
      </c>
      <c r="P8" s="26" t="s">
        <v>80</v>
      </c>
    </row>
    <row r="9" spans="1:16">
      <c r="A9" s="9" t="s">
        <v>158</v>
      </c>
      <c r="B9" s="15">
        <v>7.2993386896228696</v>
      </c>
      <c r="C9" s="15">
        <v>10.090002332189099</v>
      </c>
      <c r="D9" s="24">
        <v>4.9791699662057498</v>
      </c>
      <c r="E9" s="15">
        <v>8.6621796681475995</v>
      </c>
      <c r="F9" s="15">
        <v>11.8683594937265</v>
      </c>
      <c r="G9" s="24">
        <v>5.9363439327403302</v>
      </c>
      <c r="H9" s="15">
        <v>5.95187675865429</v>
      </c>
      <c r="I9" s="15">
        <v>8.1849896576519008</v>
      </c>
      <c r="J9" s="24">
        <v>4.1217795613437502</v>
      </c>
      <c r="K9" s="20" t="s">
        <v>80</v>
      </c>
      <c r="L9" s="20" t="s">
        <v>80</v>
      </c>
      <c r="M9" s="26" t="s">
        <v>80</v>
      </c>
      <c r="N9" s="20" t="s">
        <v>80</v>
      </c>
      <c r="O9" s="20" t="s">
        <v>80</v>
      </c>
      <c r="P9" s="26" t="s">
        <v>80</v>
      </c>
    </row>
    <row r="10" spans="1:16">
      <c r="A10" s="9" t="s">
        <v>159</v>
      </c>
      <c r="B10" s="15">
        <v>16.894399945336598</v>
      </c>
      <c r="C10" s="15">
        <v>13.3188498727799</v>
      </c>
      <c r="D10" s="24">
        <v>19.867126332286201</v>
      </c>
      <c r="E10" s="15">
        <v>20.542225406642199</v>
      </c>
      <c r="F10" s="15">
        <v>17.963923898609401</v>
      </c>
      <c r="G10" s="24">
        <v>22.734250423823202</v>
      </c>
      <c r="H10" s="15">
        <v>13.080285964198399</v>
      </c>
      <c r="I10" s="15">
        <v>8.1210531244281299</v>
      </c>
      <c r="J10" s="24">
        <v>17.1445131355824</v>
      </c>
      <c r="K10" s="20" t="s">
        <v>80</v>
      </c>
      <c r="L10" s="20" t="s">
        <v>80</v>
      </c>
      <c r="M10" s="26" t="s">
        <v>80</v>
      </c>
      <c r="N10" s="20" t="s">
        <v>80</v>
      </c>
      <c r="O10" s="20" t="s">
        <v>80</v>
      </c>
      <c r="P10" s="26" t="s">
        <v>80</v>
      </c>
    </row>
    <row r="11" spans="1:16">
      <c r="A11" s="9" t="s">
        <v>160</v>
      </c>
      <c r="B11" s="15">
        <v>15.463185226433399</v>
      </c>
      <c r="C11" s="15">
        <v>17.212249071066999</v>
      </c>
      <c r="D11" s="24">
        <v>14.009006669878</v>
      </c>
      <c r="E11" s="15">
        <v>14.7791373780698</v>
      </c>
      <c r="F11" s="15">
        <v>16.965012305099499</v>
      </c>
      <c r="G11" s="24">
        <v>12.920746297915001</v>
      </c>
      <c r="H11" s="15">
        <v>16.092272330437801</v>
      </c>
      <c r="I11" s="15">
        <v>17.0474796090671</v>
      </c>
      <c r="J11" s="24">
        <v>15.3094537975034</v>
      </c>
      <c r="K11" s="20" t="s">
        <v>80</v>
      </c>
      <c r="L11" s="20" t="s">
        <v>80</v>
      </c>
      <c r="M11" s="26" t="s">
        <v>80</v>
      </c>
      <c r="N11" s="20" t="s">
        <v>80</v>
      </c>
      <c r="O11" s="20" t="s">
        <v>80</v>
      </c>
      <c r="P11" s="26" t="s">
        <v>80</v>
      </c>
    </row>
    <row r="12" spans="1:16">
      <c r="A12" s="9" t="s">
        <v>161</v>
      </c>
      <c r="B12" s="15">
        <v>13.0181813251455</v>
      </c>
      <c r="C12" s="15">
        <v>14.6287679728</v>
      </c>
      <c r="D12" s="24">
        <v>11.6791332545566</v>
      </c>
      <c r="E12" s="15">
        <v>14.7074242007383</v>
      </c>
      <c r="F12" s="15">
        <v>16.598682379365599</v>
      </c>
      <c r="G12" s="24">
        <v>13.099510918066301</v>
      </c>
      <c r="H12" s="15">
        <v>10.8561940322056</v>
      </c>
      <c r="I12" s="15">
        <v>11.7201548273739</v>
      </c>
      <c r="J12" s="24">
        <v>10.1481544921834</v>
      </c>
      <c r="K12" s="20" t="s">
        <v>80</v>
      </c>
      <c r="L12" s="20" t="s">
        <v>80</v>
      </c>
      <c r="M12" s="26" t="s">
        <v>80</v>
      </c>
      <c r="N12" s="15">
        <v>23.2680158647436</v>
      </c>
      <c r="O12" s="20" t="s">
        <v>80</v>
      </c>
      <c r="P12" s="26" t="s">
        <v>80</v>
      </c>
    </row>
    <row r="13" spans="1:16">
      <c r="A13" s="9" t="s">
        <v>162</v>
      </c>
      <c r="B13" s="15">
        <v>10.5255581295773</v>
      </c>
      <c r="C13" s="15">
        <v>12.870241463531499</v>
      </c>
      <c r="D13" s="24">
        <v>8.5761791880309008</v>
      </c>
      <c r="E13" s="15">
        <v>3.1334184613453302</v>
      </c>
      <c r="F13" s="15">
        <v>3.8426724444817801</v>
      </c>
      <c r="G13" s="24">
        <v>2.5304236332669698</v>
      </c>
      <c r="H13" s="15">
        <v>18.5523398696694</v>
      </c>
      <c r="I13" s="15">
        <v>22.587726935713601</v>
      </c>
      <c r="J13" s="24">
        <v>15.245229618796801</v>
      </c>
      <c r="K13" s="20" t="s">
        <v>80</v>
      </c>
      <c r="L13" s="20" t="s">
        <v>80</v>
      </c>
      <c r="M13" s="26" t="s">
        <v>80</v>
      </c>
      <c r="N13" s="20" t="s">
        <v>80</v>
      </c>
      <c r="O13" s="20" t="s">
        <v>80</v>
      </c>
      <c r="P13" s="26" t="s">
        <v>80</v>
      </c>
    </row>
    <row r="14" spans="1:16">
      <c r="A14" s="9" t="s">
        <v>163</v>
      </c>
      <c r="B14" s="15">
        <v>13.4057672233104</v>
      </c>
      <c r="C14" s="15">
        <v>14.9592889391544</v>
      </c>
      <c r="D14" s="24">
        <v>12.1141631613692</v>
      </c>
      <c r="E14" s="15">
        <v>12.2824922890452</v>
      </c>
      <c r="F14" s="15">
        <v>13.917282569201699</v>
      </c>
      <c r="G14" s="24">
        <v>10.892623345951201</v>
      </c>
      <c r="H14" s="15">
        <v>14.4203150512206</v>
      </c>
      <c r="I14" s="15">
        <v>16.051327769639599</v>
      </c>
      <c r="J14" s="24">
        <v>13.0836554465512</v>
      </c>
      <c r="K14" s="20" t="s">
        <v>80</v>
      </c>
      <c r="L14" s="20" t="s">
        <v>80</v>
      </c>
      <c r="M14" s="26" t="s">
        <v>80</v>
      </c>
      <c r="N14" s="20" t="s">
        <v>80</v>
      </c>
      <c r="O14" s="20" t="s">
        <v>80</v>
      </c>
      <c r="P14" s="26" t="s">
        <v>80</v>
      </c>
    </row>
    <row r="15" spans="1:16">
      <c r="A15" s="9" t="s">
        <v>164</v>
      </c>
      <c r="B15" s="15">
        <v>8.0925718332791394</v>
      </c>
      <c r="C15" s="15">
        <v>8.6447205734269907</v>
      </c>
      <c r="D15" s="24">
        <v>7.6335132000476804</v>
      </c>
      <c r="E15" s="15">
        <v>9.3417681067701395</v>
      </c>
      <c r="F15" s="15">
        <v>10.8367383324644</v>
      </c>
      <c r="G15" s="24">
        <v>8.0707716292623495</v>
      </c>
      <c r="H15" s="15">
        <v>6.8915158928047804</v>
      </c>
      <c r="I15" s="15">
        <v>6.1437285875257803</v>
      </c>
      <c r="J15" s="24">
        <v>7.5043480752662299</v>
      </c>
      <c r="K15" s="20" t="s">
        <v>80</v>
      </c>
      <c r="L15" s="20" t="s">
        <v>80</v>
      </c>
      <c r="M15" s="26" t="s">
        <v>80</v>
      </c>
      <c r="N15" s="20" t="s">
        <v>80</v>
      </c>
      <c r="O15" s="20" t="s">
        <v>80</v>
      </c>
      <c r="P15" s="26" t="s">
        <v>80</v>
      </c>
    </row>
    <row r="16" spans="1:16">
      <c r="A16" s="9" t="s">
        <v>165</v>
      </c>
      <c r="B16" s="15">
        <v>5.98130747017602</v>
      </c>
      <c r="C16" s="15">
        <v>7.7403306124149998</v>
      </c>
      <c r="D16" s="24">
        <v>4.5188487144383798</v>
      </c>
      <c r="E16" s="15">
        <v>7.2790174014807203</v>
      </c>
      <c r="F16" s="15">
        <v>9.4035205222804592</v>
      </c>
      <c r="G16" s="24">
        <v>5.4728035140190201</v>
      </c>
      <c r="H16" s="15">
        <v>4.4855772033915198</v>
      </c>
      <c r="I16" s="15">
        <v>5.62622773145059</v>
      </c>
      <c r="J16" s="24">
        <v>3.5507828472939398</v>
      </c>
      <c r="K16" s="20" t="s">
        <v>80</v>
      </c>
      <c r="L16" s="20" t="s">
        <v>80</v>
      </c>
      <c r="M16" s="26" t="s">
        <v>80</v>
      </c>
      <c r="N16" s="20" t="s">
        <v>80</v>
      </c>
      <c r="O16" s="20" t="s">
        <v>80</v>
      </c>
      <c r="P16" s="26" t="s">
        <v>80</v>
      </c>
    </row>
    <row r="17" spans="1:16">
      <c r="A17" s="9" t="s">
        <v>166</v>
      </c>
      <c r="B17" s="15">
        <v>10.062824269216801</v>
      </c>
      <c r="C17" s="15">
        <v>12.9090175050389</v>
      </c>
      <c r="D17" s="24">
        <v>7.6964880236622601</v>
      </c>
      <c r="E17" s="15">
        <v>10.205278099977001</v>
      </c>
      <c r="F17" s="15">
        <v>12.374991440503299</v>
      </c>
      <c r="G17" s="24">
        <v>8.36062730652732</v>
      </c>
      <c r="H17" s="15">
        <v>9.90276225381659</v>
      </c>
      <c r="I17" s="15">
        <v>13.328085958856599</v>
      </c>
      <c r="J17" s="24">
        <v>7.0956156400968</v>
      </c>
      <c r="K17" s="20" t="s">
        <v>80</v>
      </c>
      <c r="L17" s="20" t="s">
        <v>80</v>
      </c>
      <c r="M17" s="26" t="s">
        <v>80</v>
      </c>
      <c r="N17" s="20" t="s">
        <v>80</v>
      </c>
      <c r="O17" s="20" t="s">
        <v>80</v>
      </c>
      <c r="P17" s="26" t="s">
        <v>80</v>
      </c>
    </row>
    <row r="18" spans="1:16">
      <c r="A18" s="9" t="s">
        <v>167</v>
      </c>
      <c r="B18" s="15">
        <v>6.03028787346451</v>
      </c>
      <c r="C18" s="15">
        <v>6.8026897151839201</v>
      </c>
      <c r="D18" s="24">
        <v>5.3881099457013599</v>
      </c>
      <c r="E18" s="15">
        <v>3.9136415814319299</v>
      </c>
      <c r="F18" s="15">
        <v>4.9268949720819704</v>
      </c>
      <c r="G18" s="24">
        <v>3.0521919898583301</v>
      </c>
      <c r="H18" s="15">
        <v>8.4249404946949493</v>
      </c>
      <c r="I18" s="15">
        <v>9.0759628357040292</v>
      </c>
      <c r="J18" s="24">
        <v>7.8914098513485804</v>
      </c>
      <c r="K18" s="20" t="s">
        <v>80</v>
      </c>
      <c r="L18" s="20" t="s">
        <v>80</v>
      </c>
      <c r="M18" s="26" t="s">
        <v>80</v>
      </c>
      <c r="N18" s="20" t="s">
        <v>80</v>
      </c>
      <c r="O18" s="20" t="s">
        <v>80</v>
      </c>
      <c r="P18" s="26" t="s">
        <v>80</v>
      </c>
    </row>
    <row r="19" spans="1:16">
      <c r="A19" s="9" t="s">
        <v>168</v>
      </c>
      <c r="B19" s="15">
        <v>12.508209335636799</v>
      </c>
      <c r="C19" s="15">
        <v>11.705317620403999</v>
      </c>
      <c r="D19" s="24">
        <v>13.1757366641044</v>
      </c>
      <c r="E19" s="15">
        <v>12.8618810037212</v>
      </c>
      <c r="F19" s="15">
        <v>13.050127811948</v>
      </c>
      <c r="G19" s="24">
        <v>12.7018369934486</v>
      </c>
      <c r="H19" s="15">
        <v>12.1511570077759</v>
      </c>
      <c r="I19" s="15">
        <v>9.9910536736729991</v>
      </c>
      <c r="J19" s="24">
        <v>13.921420866543301</v>
      </c>
      <c r="K19" s="20" t="s">
        <v>80</v>
      </c>
      <c r="L19" s="20" t="s">
        <v>80</v>
      </c>
      <c r="M19" s="26" t="s">
        <v>80</v>
      </c>
      <c r="N19" s="20" t="s">
        <v>80</v>
      </c>
      <c r="O19" s="20" t="s">
        <v>80</v>
      </c>
      <c r="P19" s="26" t="s">
        <v>80</v>
      </c>
    </row>
    <row r="20" spans="1:16">
      <c r="A20" s="9" t="s">
        <v>169</v>
      </c>
      <c r="B20" s="15">
        <v>12.9416516705876</v>
      </c>
      <c r="C20" s="15">
        <v>13.997979297865101</v>
      </c>
      <c r="D20" s="24">
        <v>12.0634167285089</v>
      </c>
      <c r="E20" s="15">
        <v>14.520918084876</v>
      </c>
      <c r="F20" s="15">
        <v>17.340144304149199</v>
      </c>
      <c r="G20" s="24">
        <v>12.124063263015</v>
      </c>
      <c r="H20" s="15">
        <v>10.8514845907787</v>
      </c>
      <c r="I20" s="15">
        <v>10.039749670983699</v>
      </c>
      <c r="J20" s="24">
        <v>11.5167235951939</v>
      </c>
      <c r="K20" s="20" t="s">
        <v>80</v>
      </c>
      <c r="L20" s="20" t="s">
        <v>80</v>
      </c>
      <c r="M20" s="26" t="s">
        <v>80</v>
      </c>
      <c r="N20" s="20" t="s">
        <v>80</v>
      </c>
      <c r="O20" s="20" t="s">
        <v>80</v>
      </c>
      <c r="P20" s="26" t="s">
        <v>80</v>
      </c>
    </row>
    <row r="21" spans="1:16">
      <c r="A21" s="9" t="s">
        <v>170</v>
      </c>
      <c r="B21" s="15">
        <v>5.29422606511684</v>
      </c>
      <c r="C21" s="15">
        <v>5.9314299986265002</v>
      </c>
      <c r="D21" s="24">
        <v>4.7644522097453201</v>
      </c>
      <c r="E21" s="15">
        <v>5.4610158430657902</v>
      </c>
      <c r="F21" s="15">
        <v>6.7526093285969804</v>
      </c>
      <c r="G21" s="24">
        <v>4.3629265685989704</v>
      </c>
      <c r="H21" s="15">
        <v>5.1348872693227596</v>
      </c>
      <c r="I21" s="15">
        <v>4.88583735397056</v>
      </c>
      <c r="J21" s="24">
        <v>5.3389904977269804</v>
      </c>
      <c r="K21" s="20" t="s">
        <v>80</v>
      </c>
      <c r="L21" s="20" t="s">
        <v>80</v>
      </c>
      <c r="M21" s="26" t="s">
        <v>80</v>
      </c>
      <c r="N21" s="20" t="s">
        <v>80</v>
      </c>
      <c r="O21" s="20" t="s">
        <v>80</v>
      </c>
      <c r="P21" s="26" t="s">
        <v>80</v>
      </c>
    </row>
    <row r="22" spans="1:16">
      <c r="A22" s="9" t="s">
        <v>171</v>
      </c>
      <c r="B22" s="15">
        <v>11.4128194671051</v>
      </c>
      <c r="C22" s="15">
        <v>15.989294973063499</v>
      </c>
      <c r="D22" s="24">
        <v>7.60791973986868</v>
      </c>
      <c r="E22" s="15">
        <v>14.4903367398611</v>
      </c>
      <c r="F22" s="15">
        <v>19.107915052335301</v>
      </c>
      <c r="G22" s="24">
        <v>10.564555698271899</v>
      </c>
      <c r="H22" s="15">
        <v>7.8913651263003297</v>
      </c>
      <c r="I22" s="15">
        <v>12.0881804015327</v>
      </c>
      <c r="J22" s="24">
        <v>4.4519600356394404</v>
      </c>
      <c r="K22" s="20" t="s">
        <v>80</v>
      </c>
      <c r="L22" s="20" t="s">
        <v>80</v>
      </c>
      <c r="M22" s="26" t="s">
        <v>80</v>
      </c>
      <c r="N22" s="20" t="s">
        <v>80</v>
      </c>
      <c r="O22" s="20" t="s">
        <v>80</v>
      </c>
      <c r="P22" s="26" t="s">
        <v>80</v>
      </c>
    </row>
    <row r="23" spans="1:16">
      <c r="A23" s="9" t="s">
        <v>172</v>
      </c>
      <c r="B23" s="15">
        <v>7.3517988330812196</v>
      </c>
      <c r="C23" s="15">
        <v>8.1722882045310001</v>
      </c>
      <c r="D23" s="24">
        <v>6.6696407440528596</v>
      </c>
      <c r="E23" s="15">
        <v>4.8499917604832499</v>
      </c>
      <c r="F23" s="15">
        <v>6.3377521085119097</v>
      </c>
      <c r="G23" s="24">
        <v>3.5851249897473898</v>
      </c>
      <c r="H23" s="15">
        <v>10.0890588479187</v>
      </c>
      <c r="I23" s="15">
        <v>10.0229635604907</v>
      </c>
      <c r="J23" s="24">
        <v>10.1432257466597</v>
      </c>
      <c r="K23" s="20" t="s">
        <v>80</v>
      </c>
      <c r="L23" s="20" t="s">
        <v>80</v>
      </c>
      <c r="M23" s="26" t="s">
        <v>80</v>
      </c>
      <c r="N23" s="20" t="s">
        <v>80</v>
      </c>
      <c r="O23" s="20" t="s">
        <v>80</v>
      </c>
      <c r="P23" s="26" t="s">
        <v>80</v>
      </c>
    </row>
    <row r="24" spans="1:16">
      <c r="A24" s="9" t="s">
        <v>173</v>
      </c>
      <c r="B24" s="15">
        <v>4.4186924703274499</v>
      </c>
      <c r="C24" s="15">
        <v>5.4116623797103296</v>
      </c>
      <c r="D24" s="24">
        <v>3.5931333839855801</v>
      </c>
      <c r="E24" s="15">
        <v>3.99931958101417</v>
      </c>
      <c r="F24" s="15">
        <v>4.8505120229326701</v>
      </c>
      <c r="G24" s="24">
        <v>3.2756512585516102</v>
      </c>
      <c r="H24" s="15">
        <v>5.0172028222622203</v>
      </c>
      <c r="I24" s="15">
        <v>6.1240665198745896</v>
      </c>
      <c r="J24" s="24">
        <v>4.1100976993127896</v>
      </c>
      <c r="K24" s="20" t="s">
        <v>80</v>
      </c>
      <c r="L24" s="20" t="s">
        <v>80</v>
      </c>
      <c r="M24" s="26" t="s">
        <v>80</v>
      </c>
      <c r="N24" s="20" t="s">
        <v>80</v>
      </c>
      <c r="O24" s="20" t="s">
        <v>80</v>
      </c>
      <c r="P24" s="26" t="s">
        <v>80</v>
      </c>
    </row>
    <row r="25" spans="1:16">
      <c r="A25" s="9" t="s">
        <v>174</v>
      </c>
      <c r="B25" s="15">
        <v>3.8367740058777602</v>
      </c>
      <c r="C25" s="15">
        <v>5.01832396866849</v>
      </c>
      <c r="D25" s="24">
        <v>2.8544287217643598</v>
      </c>
      <c r="E25" s="15">
        <v>4.5251085693722102</v>
      </c>
      <c r="F25" s="15">
        <v>6.0691324780851197</v>
      </c>
      <c r="G25" s="24">
        <v>3.2124075433363801</v>
      </c>
      <c r="H25" s="15">
        <v>2.9967930799379499</v>
      </c>
      <c r="I25" s="15">
        <v>3.5788489041966498</v>
      </c>
      <c r="J25" s="24">
        <v>2.5197823864202702</v>
      </c>
      <c r="K25" s="20" t="s">
        <v>80</v>
      </c>
      <c r="L25" s="20" t="s">
        <v>80</v>
      </c>
      <c r="M25" s="26" t="s">
        <v>80</v>
      </c>
      <c r="N25" s="20" t="s">
        <v>80</v>
      </c>
      <c r="O25" s="20" t="s">
        <v>80</v>
      </c>
      <c r="P25" s="26" t="s">
        <v>80</v>
      </c>
    </row>
    <row r="26" spans="1:16">
      <c r="A26" s="9" t="s">
        <v>175</v>
      </c>
      <c r="B26" s="15">
        <v>11.435252245272</v>
      </c>
      <c r="C26" s="15">
        <v>14.3742078316931</v>
      </c>
      <c r="D26" s="24">
        <v>8.9917930167510001</v>
      </c>
      <c r="E26" s="15">
        <v>13.123695482074201</v>
      </c>
      <c r="F26" s="15">
        <v>16.859607724534001</v>
      </c>
      <c r="G26" s="24">
        <v>9.94749088693621</v>
      </c>
      <c r="H26" s="15">
        <v>9.4941031595952801</v>
      </c>
      <c r="I26" s="15">
        <v>11.2018153877116</v>
      </c>
      <c r="J26" s="24">
        <v>8.0945862055302005</v>
      </c>
      <c r="K26" s="20" t="s">
        <v>80</v>
      </c>
      <c r="L26" s="20" t="s">
        <v>80</v>
      </c>
      <c r="M26" s="26" t="s">
        <v>80</v>
      </c>
      <c r="N26" s="20" t="s">
        <v>80</v>
      </c>
      <c r="O26" s="20" t="s">
        <v>80</v>
      </c>
      <c r="P26" s="26" t="s">
        <v>80</v>
      </c>
    </row>
    <row r="27" spans="1:16">
      <c r="A27" s="9" t="s">
        <v>176</v>
      </c>
      <c r="B27" s="15">
        <v>10.0199736346084</v>
      </c>
      <c r="C27" s="15">
        <v>11.437887133408999</v>
      </c>
      <c r="D27" s="24">
        <v>8.8411147774360206</v>
      </c>
      <c r="E27" s="15">
        <v>4.7878968482458202</v>
      </c>
      <c r="F27" s="15">
        <v>6.1009333255072598</v>
      </c>
      <c r="G27" s="24">
        <v>3.6715771324712398</v>
      </c>
      <c r="H27" s="15">
        <v>15.4371061724709</v>
      </c>
      <c r="I27" s="15">
        <v>17.168301263001901</v>
      </c>
      <c r="J27" s="24">
        <v>14.018344369339101</v>
      </c>
      <c r="K27" s="20" t="s">
        <v>80</v>
      </c>
      <c r="L27" s="20" t="s">
        <v>80</v>
      </c>
      <c r="M27" s="26" t="s">
        <v>80</v>
      </c>
      <c r="N27" s="20" t="s">
        <v>80</v>
      </c>
      <c r="O27" s="20" t="s">
        <v>80</v>
      </c>
      <c r="P27" s="26" t="s">
        <v>80</v>
      </c>
    </row>
    <row r="28" spans="1:16">
      <c r="A28" s="9" t="s">
        <v>177</v>
      </c>
      <c r="B28" s="15">
        <v>18.997033717936802</v>
      </c>
      <c r="C28" s="15">
        <v>22.7346919373623</v>
      </c>
      <c r="D28" s="24">
        <v>15.8895299803815</v>
      </c>
      <c r="E28" s="15">
        <v>10.875281249028101</v>
      </c>
      <c r="F28" s="15">
        <v>13.7897930527115</v>
      </c>
      <c r="G28" s="24">
        <v>8.3974163574941301</v>
      </c>
      <c r="H28" s="15">
        <v>27.335780904805102</v>
      </c>
      <c r="I28" s="15">
        <v>31.862069864685399</v>
      </c>
      <c r="J28" s="24">
        <v>23.626363103576601</v>
      </c>
      <c r="K28" s="20" t="s">
        <v>80</v>
      </c>
      <c r="L28" s="20" t="s">
        <v>80</v>
      </c>
      <c r="M28" s="26" t="s">
        <v>80</v>
      </c>
      <c r="N28" s="15">
        <v>28.218146357522802</v>
      </c>
      <c r="O28" s="20" t="s">
        <v>80</v>
      </c>
      <c r="P28" s="26" t="s">
        <v>80</v>
      </c>
    </row>
    <row r="29" spans="1:16">
      <c r="A29" s="9" t="s">
        <v>178</v>
      </c>
      <c r="B29" s="15">
        <v>9.1359395629034204</v>
      </c>
      <c r="C29" s="15">
        <v>10.1543017571913</v>
      </c>
      <c r="D29" s="24">
        <v>8.2892692310663705</v>
      </c>
      <c r="E29" s="15">
        <v>9.3391671058703292</v>
      </c>
      <c r="F29" s="15">
        <v>10.976221561311601</v>
      </c>
      <c r="G29" s="24">
        <v>7.9473732021569603</v>
      </c>
      <c r="H29" s="15">
        <v>8.8941369919124504</v>
      </c>
      <c r="I29" s="15">
        <v>8.9951606150509598</v>
      </c>
      <c r="J29" s="24">
        <v>8.8113453651877407</v>
      </c>
      <c r="K29" s="20" t="s">
        <v>80</v>
      </c>
      <c r="L29" s="20" t="s">
        <v>80</v>
      </c>
      <c r="M29" s="26" t="s">
        <v>80</v>
      </c>
      <c r="N29" s="20" t="s">
        <v>80</v>
      </c>
      <c r="O29" s="20" t="s">
        <v>80</v>
      </c>
      <c r="P29" s="26" t="s">
        <v>80</v>
      </c>
    </row>
    <row r="30" spans="1:16">
      <c r="A30" s="9" t="s">
        <v>179</v>
      </c>
      <c r="B30" s="15">
        <v>11.726605337188101</v>
      </c>
      <c r="C30" s="15">
        <v>11.3619013303757</v>
      </c>
      <c r="D30" s="24">
        <v>12.029821682219501</v>
      </c>
      <c r="E30" s="15">
        <v>14.235905671779699</v>
      </c>
      <c r="F30" s="15">
        <v>14.5792081647886</v>
      </c>
      <c r="G30" s="24">
        <v>13.944036140310301</v>
      </c>
      <c r="H30" s="15">
        <v>9.2325936897862793</v>
      </c>
      <c r="I30" s="15">
        <v>7.8307425879900103</v>
      </c>
      <c r="J30" s="24">
        <v>10.381449071704299</v>
      </c>
      <c r="K30" s="20" t="s">
        <v>80</v>
      </c>
      <c r="L30" s="20" t="s">
        <v>80</v>
      </c>
      <c r="M30" s="26" t="s">
        <v>80</v>
      </c>
      <c r="N30" s="20" t="s">
        <v>80</v>
      </c>
      <c r="O30" s="20" t="s">
        <v>80</v>
      </c>
      <c r="P30" s="26" t="s">
        <v>80</v>
      </c>
    </row>
    <row r="31" spans="1:16">
      <c r="A31" s="9" t="s">
        <v>180</v>
      </c>
      <c r="B31" s="15">
        <v>15.9714421633965</v>
      </c>
      <c r="C31" s="15">
        <v>17.735995816797502</v>
      </c>
      <c r="D31" s="24">
        <v>14.504385318936601</v>
      </c>
      <c r="E31" s="15">
        <v>16.230110468747601</v>
      </c>
      <c r="F31" s="15">
        <v>18.658607088081101</v>
      </c>
      <c r="G31" s="24">
        <v>14.165446841497801</v>
      </c>
      <c r="H31" s="15">
        <v>15.485507708651999</v>
      </c>
      <c r="I31" s="15">
        <v>16.557215343180001</v>
      </c>
      <c r="J31" s="24">
        <v>14.6072139425078</v>
      </c>
      <c r="K31" s="20" t="s">
        <v>80</v>
      </c>
      <c r="L31" s="20" t="s">
        <v>80</v>
      </c>
      <c r="M31" s="26" t="s">
        <v>80</v>
      </c>
      <c r="N31" s="20" t="s">
        <v>80</v>
      </c>
      <c r="O31" s="20" t="s">
        <v>80</v>
      </c>
      <c r="P31" s="26" t="s">
        <v>80</v>
      </c>
    </row>
    <row r="32" spans="1:16">
      <c r="A32" s="9" t="s">
        <v>181</v>
      </c>
      <c r="B32" s="15">
        <v>4.7084164258310199</v>
      </c>
      <c r="C32" s="15">
        <v>4.4116892146217701</v>
      </c>
      <c r="D32" s="24">
        <v>4.9551165957595602</v>
      </c>
      <c r="E32" s="15">
        <v>4.0367917520712702</v>
      </c>
      <c r="F32" s="15">
        <v>4.29548126140525</v>
      </c>
      <c r="G32" s="24">
        <v>3.8168586393706501</v>
      </c>
      <c r="H32" s="15">
        <v>5.4177343310619896</v>
      </c>
      <c r="I32" s="15">
        <v>4.20879538789573</v>
      </c>
      <c r="J32" s="24">
        <v>6.4084929141149498</v>
      </c>
      <c r="K32" s="20" t="s">
        <v>80</v>
      </c>
      <c r="L32" s="20" t="s">
        <v>80</v>
      </c>
      <c r="M32" s="26" t="s">
        <v>80</v>
      </c>
      <c r="N32" s="20" t="s">
        <v>80</v>
      </c>
      <c r="O32" s="20" t="s">
        <v>80</v>
      </c>
      <c r="P32" s="26" t="s">
        <v>80</v>
      </c>
    </row>
    <row r="33" spans="1:16">
      <c r="A33" s="9" t="s">
        <v>182</v>
      </c>
      <c r="B33" s="15">
        <v>9.8367284523069696</v>
      </c>
      <c r="C33" s="15">
        <v>10.623215095466399</v>
      </c>
      <c r="D33" s="24">
        <v>9.1828403652547692</v>
      </c>
      <c r="E33" s="15">
        <v>8.2159699416692806</v>
      </c>
      <c r="F33" s="15">
        <v>10.6937435053198</v>
      </c>
      <c r="G33" s="24">
        <v>6.1094119531988804</v>
      </c>
      <c r="H33" s="15">
        <v>11.609410552858201</v>
      </c>
      <c r="I33" s="15">
        <v>10.077560251175299</v>
      </c>
      <c r="J33" s="24">
        <v>12.864803840437901</v>
      </c>
      <c r="K33" s="20" t="s">
        <v>80</v>
      </c>
      <c r="L33" s="20" t="s">
        <v>80</v>
      </c>
      <c r="M33" s="26" t="s">
        <v>80</v>
      </c>
      <c r="N33" s="20" t="s">
        <v>80</v>
      </c>
      <c r="O33" s="20" t="s">
        <v>80</v>
      </c>
      <c r="P33" s="26" t="s">
        <v>80</v>
      </c>
    </row>
    <row r="34" spans="1:16">
      <c r="A34" s="9" t="s">
        <v>183</v>
      </c>
      <c r="B34" s="15">
        <v>20.000963849042002</v>
      </c>
      <c r="C34" s="15">
        <v>20.0541544654766</v>
      </c>
      <c r="D34" s="24">
        <v>19.956740961428999</v>
      </c>
      <c r="E34" s="15">
        <v>24.1329319623357</v>
      </c>
      <c r="F34" s="15">
        <v>24.141212097699999</v>
      </c>
      <c r="G34" s="24">
        <v>24.125892341946901</v>
      </c>
      <c r="H34" s="15">
        <v>15.3246279514645</v>
      </c>
      <c r="I34" s="15">
        <v>15.0169610317761</v>
      </c>
      <c r="J34" s="24">
        <v>15.576769420746899</v>
      </c>
      <c r="K34" s="20" t="s">
        <v>80</v>
      </c>
      <c r="L34" s="20" t="s">
        <v>80</v>
      </c>
      <c r="M34" s="26" t="s">
        <v>80</v>
      </c>
      <c r="N34" s="15">
        <v>28.810346147534698</v>
      </c>
      <c r="O34" s="20" t="s">
        <v>80</v>
      </c>
      <c r="P34" s="26" t="s">
        <v>80</v>
      </c>
    </row>
    <row r="35" spans="1:16">
      <c r="A35" s="9" t="s">
        <v>184</v>
      </c>
      <c r="B35" s="15">
        <v>11.199879654351401</v>
      </c>
      <c r="C35" s="15">
        <v>13.011932326870401</v>
      </c>
      <c r="D35" s="24">
        <v>9.6933319386630394</v>
      </c>
      <c r="E35" s="15">
        <v>12.8402332682076</v>
      </c>
      <c r="F35" s="15">
        <v>14.5031438368165</v>
      </c>
      <c r="G35" s="24">
        <v>11.426456967659099</v>
      </c>
      <c r="H35" s="15">
        <v>9.3421665803730995</v>
      </c>
      <c r="I35" s="15">
        <v>10.858513959294401</v>
      </c>
      <c r="J35" s="24">
        <v>8.0994783627022606</v>
      </c>
      <c r="K35" s="20" t="s">
        <v>80</v>
      </c>
      <c r="L35" s="20" t="s">
        <v>80</v>
      </c>
      <c r="M35" s="26" t="s">
        <v>80</v>
      </c>
      <c r="N35" s="20" t="s">
        <v>80</v>
      </c>
      <c r="O35" s="20" t="s">
        <v>80</v>
      </c>
      <c r="P35" s="26" t="s">
        <v>80</v>
      </c>
    </row>
    <row r="36" spans="1:16">
      <c r="A36" s="9" t="s">
        <v>185</v>
      </c>
      <c r="B36" s="15">
        <v>7.2806876364142203</v>
      </c>
      <c r="C36" s="15">
        <v>7.9130048161671498</v>
      </c>
      <c r="D36" s="24">
        <v>6.7549766473274202</v>
      </c>
      <c r="E36" s="15">
        <v>4.83345827870387</v>
      </c>
      <c r="F36" s="15">
        <v>6.7769061380649802</v>
      </c>
      <c r="G36" s="24">
        <v>3.1811742793212998</v>
      </c>
      <c r="H36" s="15">
        <v>9.8893761359941905</v>
      </c>
      <c r="I36" s="15">
        <v>8.9226449955182101</v>
      </c>
      <c r="J36" s="24">
        <v>10.6816387894104</v>
      </c>
      <c r="K36" s="20" t="s">
        <v>80</v>
      </c>
      <c r="L36" s="20" t="s">
        <v>80</v>
      </c>
      <c r="M36" s="26" t="s">
        <v>80</v>
      </c>
      <c r="N36" s="20" t="s">
        <v>80</v>
      </c>
      <c r="O36" s="20" t="s">
        <v>80</v>
      </c>
      <c r="P36" s="26" t="s">
        <v>80</v>
      </c>
    </row>
    <row r="37" spans="1:16">
      <c r="A37" s="9" t="s">
        <v>186</v>
      </c>
      <c r="B37" s="15">
        <v>12.1088977875762</v>
      </c>
      <c r="C37" s="15">
        <v>13.7004097342941</v>
      </c>
      <c r="D37" s="24">
        <v>10.7857084983346</v>
      </c>
      <c r="E37" s="15">
        <v>10.210756814319399</v>
      </c>
      <c r="F37" s="15">
        <v>12.5952902995811</v>
      </c>
      <c r="G37" s="24">
        <v>8.1834698435307907</v>
      </c>
      <c r="H37" s="15">
        <v>14.1224997283514</v>
      </c>
      <c r="I37" s="15">
        <v>14.4335107694992</v>
      </c>
      <c r="J37" s="24">
        <v>13.8676176599201</v>
      </c>
      <c r="K37" s="20" t="s">
        <v>80</v>
      </c>
      <c r="L37" s="20" t="s">
        <v>80</v>
      </c>
      <c r="M37" s="26" t="s">
        <v>80</v>
      </c>
      <c r="N37" s="20" t="s">
        <v>80</v>
      </c>
      <c r="O37" s="20" t="s">
        <v>80</v>
      </c>
      <c r="P37" s="26" t="s">
        <v>80</v>
      </c>
    </row>
    <row r="38" spans="1:16">
      <c r="A38" s="9" t="s">
        <v>187</v>
      </c>
      <c r="B38" s="15">
        <v>15.121777222743299</v>
      </c>
      <c r="C38" s="15">
        <v>18.462195291519301</v>
      </c>
      <c r="D38" s="24">
        <v>12.344540508115699</v>
      </c>
      <c r="E38" s="15">
        <v>14.9444193803321</v>
      </c>
      <c r="F38" s="15">
        <v>18.257318472660899</v>
      </c>
      <c r="G38" s="24">
        <v>12.127852866619</v>
      </c>
      <c r="H38" s="15">
        <v>15.037685974998</v>
      </c>
      <c r="I38" s="15">
        <v>18.068858265885801</v>
      </c>
      <c r="J38" s="24">
        <v>12.553557243034</v>
      </c>
      <c r="K38" s="20" t="s">
        <v>80</v>
      </c>
      <c r="L38" s="20" t="s">
        <v>80</v>
      </c>
      <c r="M38" s="26" t="s">
        <v>80</v>
      </c>
      <c r="N38" s="20" t="s">
        <v>80</v>
      </c>
      <c r="O38" s="20" t="s">
        <v>80</v>
      </c>
      <c r="P38" s="26" t="s">
        <v>80</v>
      </c>
    </row>
    <row r="39" spans="1:16">
      <c r="A39" s="9" t="s">
        <v>188</v>
      </c>
      <c r="B39" s="15">
        <v>10.0441740912303</v>
      </c>
      <c r="C39" s="15">
        <v>12.255762228714699</v>
      </c>
      <c r="D39" s="24">
        <v>8.2054510192685992</v>
      </c>
      <c r="E39" s="15">
        <v>11.812612299844901</v>
      </c>
      <c r="F39" s="15">
        <v>14.1615561651269</v>
      </c>
      <c r="G39" s="24">
        <v>9.8155829762338502</v>
      </c>
      <c r="H39" s="15">
        <v>8.1302965512303391</v>
      </c>
      <c r="I39" s="15">
        <v>9.9517026938527202</v>
      </c>
      <c r="J39" s="24">
        <v>6.6376043195596104</v>
      </c>
      <c r="K39" s="20" t="s">
        <v>80</v>
      </c>
      <c r="L39" s="20" t="s">
        <v>80</v>
      </c>
      <c r="M39" s="26" t="s">
        <v>80</v>
      </c>
      <c r="N39" s="20" t="s">
        <v>80</v>
      </c>
      <c r="O39" s="20" t="s">
        <v>80</v>
      </c>
      <c r="P39" s="26" t="s">
        <v>80</v>
      </c>
    </row>
    <row r="40" spans="1:16">
      <c r="A40" s="9" t="s">
        <v>189</v>
      </c>
      <c r="B40" s="15">
        <v>12.565060274432501</v>
      </c>
      <c r="C40" s="15">
        <v>14.004568965896199</v>
      </c>
      <c r="D40" s="24">
        <v>11.3682470891825</v>
      </c>
      <c r="E40" s="15">
        <v>8.1330171508400397</v>
      </c>
      <c r="F40" s="15">
        <v>10.9586023252403</v>
      </c>
      <c r="G40" s="24">
        <v>5.7307560610627801</v>
      </c>
      <c r="H40" s="15">
        <v>16.725674572310101</v>
      </c>
      <c r="I40" s="15">
        <v>16.642671083676099</v>
      </c>
      <c r="J40" s="24">
        <v>16.793698205143201</v>
      </c>
      <c r="K40" s="20" t="s">
        <v>80</v>
      </c>
      <c r="L40" s="20" t="s">
        <v>80</v>
      </c>
      <c r="M40" s="26" t="s">
        <v>80</v>
      </c>
      <c r="N40" s="15">
        <v>21.610880253838701</v>
      </c>
      <c r="O40" s="20" t="s">
        <v>80</v>
      </c>
      <c r="P40" s="26" t="s">
        <v>80</v>
      </c>
    </row>
    <row r="41" spans="1:16">
      <c r="A41" s="9" t="s">
        <v>190</v>
      </c>
      <c r="B41" s="15">
        <v>8.2897845562391108</v>
      </c>
      <c r="C41" s="15">
        <v>8.4471176945889503</v>
      </c>
      <c r="D41" s="24">
        <v>8.1589771664883699</v>
      </c>
      <c r="E41" s="15">
        <v>8.6914402987638901</v>
      </c>
      <c r="F41" s="15">
        <v>10.051154548698999</v>
      </c>
      <c r="G41" s="24">
        <v>7.5354359901950998</v>
      </c>
      <c r="H41" s="15">
        <v>7.9768240418029004</v>
      </c>
      <c r="I41" s="15">
        <v>6.7753400588611097</v>
      </c>
      <c r="J41" s="24">
        <v>8.9614730807217509</v>
      </c>
      <c r="K41" s="20" t="s">
        <v>80</v>
      </c>
      <c r="L41" s="20" t="s">
        <v>80</v>
      </c>
      <c r="M41" s="26" t="s">
        <v>80</v>
      </c>
      <c r="N41" s="20" t="s">
        <v>80</v>
      </c>
      <c r="O41" s="20" t="s">
        <v>80</v>
      </c>
      <c r="P41" s="26" t="s">
        <v>80</v>
      </c>
    </row>
    <row r="42" spans="1:16">
      <c r="A42" s="9" t="s">
        <v>191</v>
      </c>
      <c r="B42" s="15">
        <v>9.0622155530494002</v>
      </c>
      <c r="C42" s="15">
        <v>10.64721139121</v>
      </c>
      <c r="D42" s="24">
        <v>7.7444437820792702</v>
      </c>
      <c r="E42" s="15">
        <v>9.0165826423595892</v>
      </c>
      <c r="F42" s="15">
        <v>10.798348901041701</v>
      </c>
      <c r="G42" s="24">
        <v>7.5017573972779097</v>
      </c>
      <c r="H42" s="15">
        <v>8.9383031216398603</v>
      </c>
      <c r="I42" s="15">
        <v>10.084436889636301</v>
      </c>
      <c r="J42" s="24">
        <v>7.9990151001991396</v>
      </c>
      <c r="K42" s="20" t="s">
        <v>80</v>
      </c>
      <c r="L42" s="20" t="s">
        <v>80</v>
      </c>
      <c r="M42" s="26" t="s">
        <v>80</v>
      </c>
      <c r="N42" s="20" t="s">
        <v>80</v>
      </c>
      <c r="O42" s="20" t="s">
        <v>80</v>
      </c>
      <c r="P42" s="26" t="s">
        <v>80</v>
      </c>
    </row>
    <row r="43" spans="1:16">
      <c r="A43" s="9" t="s">
        <v>192</v>
      </c>
      <c r="B43" s="15">
        <v>4.5953025356170798</v>
      </c>
      <c r="C43" s="15">
        <v>5.6003113849822697</v>
      </c>
      <c r="D43" s="24">
        <v>3.7597342272450001</v>
      </c>
      <c r="E43" s="15">
        <v>4.8463574544448997</v>
      </c>
      <c r="F43" s="15">
        <v>6.0386183834735601</v>
      </c>
      <c r="G43" s="24">
        <v>3.8327189116693399</v>
      </c>
      <c r="H43" s="15">
        <v>4.4221519582745001</v>
      </c>
      <c r="I43" s="15">
        <v>5.0403957869828</v>
      </c>
      <c r="J43" s="24">
        <v>3.9154842037326301</v>
      </c>
      <c r="K43" s="20" t="s">
        <v>80</v>
      </c>
      <c r="L43" s="20" t="s">
        <v>80</v>
      </c>
      <c r="M43" s="26" t="s">
        <v>80</v>
      </c>
      <c r="N43" s="20" t="s">
        <v>80</v>
      </c>
      <c r="O43" s="20" t="s">
        <v>80</v>
      </c>
      <c r="P43" s="26" t="s">
        <v>80</v>
      </c>
    </row>
    <row r="44" spans="1:16">
      <c r="A44" s="9" t="s">
        <v>193</v>
      </c>
      <c r="B44" s="15">
        <v>4.31300948427808</v>
      </c>
      <c r="C44" s="15">
        <v>5.2535877174244998</v>
      </c>
      <c r="D44" s="24">
        <v>3.5310090435275598</v>
      </c>
      <c r="E44" s="15">
        <v>4.7312236900145601</v>
      </c>
      <c r="F44" s="15">
        <v>6.0762230618197304</v>
      </c>
      <c r="G44" s="24">
        <v>3.5877297030218398</v>
      </c>
      <c r="H44" s="15">
        <v>3.9423265263139302</v>
      </c>
      <c r="I44" s="15">
        <v>4.3299021912056403</v>
      </c>
      <c r="J44" s="24">
        <v>3.6246976512210201</v>
      </c>
      <c r="K44" s="20" t="s">
        <v>80</v>
      </c>
      <c r="L44" s="20" t="s">
        <v>80</v>
      </c>
      <c r="M44" s="26" t="s">
        <v>80</v>
      </c>
      <c r="N44" s="20" t="s">
        <v>80</v>
      </c>
      <c r="O44" s="20" t="s">
        <v>80</v>
      </c>
      <c r="P44" s="26" t="s">
        <v>80</v>
      </c>
    </row>
    <row r="45" spans="1:16">
      <c r="A45" s="9" t="s">
        <v>194</v>
      </c>
      <c r="B45" s="15">
        <v>10.2413225732685</v>
      </c>
      <c r="C45" s="15">
        <v>12.6715121316156</v>
      </c>
      <c r="D45" s="24">
        <v>8.2208534206096999</v>
      </c>
      <c r="E45" s="15">
        <v>10.9433660972881</v>
      </c>
      <c r="F45" s="15">
        <v>13.505899939129201</v>
      </c>
      <c r="G45" s="24">
        <v>8.7647464629325995</v>
      </c>
      <c r="H45" s="15">
        <v>9.2936149280861997</v>
      </c>
      <c r="I45" s="15">
        <v>11.274451995298801</v>
      </c>
      <c r="J45" s="24">
        <v>7.6702646860711701</v>
      </c>
      <c r="K45" s="20" t="s">
        <v>80</v>
      </c>
      <c r="L45" s="20" t="s">
        <v>80</v>
      </c>
      <c r="M45" s="26" t="s">
        <v>80</v>
      </c>
      <c r="N45" s="20" t="s">
        <v>80</v>
      </c>
      <c r="O45" s="20" t="s">
        <v>80</v>
      </c>
      <c r="P45" s="26" t="s">
        <v>80</v>
      </c>
    </row>
    <row r="46" spans="1:16">
      <c r="A46" s="9" t="s">
        <v>195</v>
      </c>
      <c r="B46" s="15">
        <v>13.1325375458258</v>
      </c>
      <c r="C46" s="15">
        <v>15.8138999098126</v>
      </c>
      <c r="D46" s="24">
        <v>10.9032423351179</v>
      </c>
      <c r="E46" s="15">
        <v>11.151984012971999</v>
      </c>
      <c r="F46" s="15">
        <v>14.953263103627201</v>
      </c>
      <c r="G46" s="24">
        <v>7.9202057131714296</v>
      </c>
      <c r="H46" s="15">
        <v>14.776025567346201</v>
      </c>
      <c r="I46" s="15">
        <v>16.125787405471499</v>
      </c>
      <c r="J46" s="24">
        <v>13.6698587640025</v>
      </c>
      <c r="K46" s="20" t="s">
        <v>80</v>
      </c>
      <c r="L46" s="20" t="s">
        <v>80</v>
      </c>
      <c r="M46" s="26" t="s">
        <v>80</v>
      </c>
      <c r="N46" s="15">
        <v>23.856793187933299</v>
      </c>
      <c r="O46" s="20" t="s">
        <v>80</v>
      </c>
      <c r="P46" s="26" t="s">
        <v>80</v>
      </c>
    </row>
    <row r="47" spans="1:16">
      <c r="A47" s="9" t="s">
        <v>196</v>
      </c>
      <c r="B47" s="15">
        <v>17.278920827571898</v>
      </c>
      <c r="C47" s="15">
        <v>19.040417732774799</v>
      </c>
      <c r="D47" s="24">
        <v>15.8144053755809</v>
      </c>
      <c r="E47" s="15">
        <v>17.55349266024</v>
      </c>
      <c r="F47" s="15">
        <v>20.4712290163048</v>
      </c>
      <c r="G47" s="24">
        <v>15.072886312958</v>
      </c>
      <c r="H47" s="15">
        <v>17.073394775225999</v>
      </c>
      <c r="I47" s="15">
        <v>17.376871498238302</v>
      </c>
      <c r="J47" s="24">
        <v>16.824687286910901</v>
      </c>
      <c r="K47" s="20" t="s">
        <v>80</v>
      </c>
      <c r="L47" s="20" t="s">
        <v>80</v>
      </c>
      <c r="M47" s="26" t="s">
        <v>80</v>
      </c>
      <c r="N47" s="20" t="s">
        <v>80</v>
      </c>
      <c r="O47" s="20" t="s">
        <v>80</v>
      </c>
      <c r="P47" s="26" t="s">
        <v>80</v>
      </c>
    </row>
    <row r="48" spans="1:16">
      <c r="A48" s="9" t="s">
        <v>197</v>
      </c>
      <c r="B48" s="15">
        <v>7.9426962047208498</v>
      </c>
      <c r="C48" s="15">
        <v>8.6191245646281196</v>
      </c>
      <c r="D48" s="24">
        <v>7.3803110070386397</v>
      </c>
      <c r="E48" s="15">
        <v>8.5806825869324399</v>
      </c>
      <c r="F48" s="15">
        <v>9.0325295896323397</v>
      </c>
      <c r="G48" s="24">
        <v>8.1965304888280706</v>
      </c>
      <c r="H48" s="15">
        <v>7.2693146398759101</v>
      </c>
      <c r="I48" s="15">
        <v>7.9370008003140997</v>
      </c>
      <c r="J48" s="24">
        <v>6.7221275399986702</v>
      </c>
      <c r="K48" s="20" t="s">
        <v>80</v>
      </c>
      <c r="L48" s="20" t="s">
        <v>80</v>
      </c>
      <c r="M48" s="26" t="s">
        <v>80</v>
      </c>
      <c r="N48" s="20" t="s">
        <v>80</v>
      </c>
      <c r="O48" s="20" t="s">
        <v>80</v>
      </c>
      <c r="P48" s="26" t="s">
        <v>80</v>
      </c>
    </row>
    <row r="49" spans="1:16">
      <c r="A49" s="9" t="s">
        <v>198</v>
      </c>
      <c r="B49" s="15">
        <v>18.176487207964701</v>
      </c>
      <c r="C49" s="15">
        <v>19.250735780514301</v>
      </c>
      <c r="D49" s="24">
        <v>17.283352721533699</v>
      </c>
      <c r="E49" s="15">
        <v>15.370937796709899</v>
      </c>
      <c r="F49" s="15">
        <v>16.992663361099101</v>
      </c>
      <c r="G49" s="24">
        <v>13.9921762371839</v>
      </c>
      <c r="H49" s="15">
        <v>21.058175846215999</v>
      </c>
      <c r="I49" s="15">
        <v>21.1243593158534</v>
      </c>
      <c r="J49" s="24">
        <v>21.003936679738601</v>
      </c>
      <c r="K49" s="20" t="s">
        <v>80</v>
      </c>
      <c r="L49" s="20" t="s">
        <v>80</v>
      </c>
      <c r="M49" s="26" t="s">
        <v>80</v>
      </c>
      <c r="N49" s="15">
        <v>23.8382520904762</v>
      </c>
      <c r="O49" s="20" t="s">
        <v>80</v>
      </c>
      <c r="P49" s="26" t="s">
        <v>80</v>
      </c>
    </row>
    <row r="50" spans="1:16">
      <c r="A50" s="9" t="s">
        <v>199</v>
      </c>
      <c r="B50" s="15">
        <v>10.4465377134746</v>
      </c>
      <c r="C50" s="15">
        <v>10.5205846634718</v>
      </c>
      <c r="D50" s="24">
        <v>10.3849747881449</v>
      </c>
      <c r="E50" s="15">
        <v>9.5069723990577302</v>
      </c>
      <c r="F50" s="15">
        <v>9.3741577041659898</v>
      </c>
      <c r="G50" s="24">
        <v>9.6198890354344009</v>
      </c>
      <c r="H50" s="15">
        <v>11.4829925126652</v>
      </c>
      <c r="I50" s="15">
        <v>11.4672863600928</v>
      </c>
      <c r="J50" s="24">
        <v>11.4958641349715</v>
      </c>
      <c r="K50" s="20" t="s">
        <v>80</v>
      </c>
      <c r="L50" s="20" t="s">
        <v>80</v>
      </c>
      <c r="M50" s="26" t="s">
        <v>80</v>
      </c>
      <c r="N50" s="20" t="s">
        <v>80</v>
      </c>
      <c r="O50" s="20" t="s">
        <v>80</v>
      </c>
      <c r="P50" s="26" t="s">
        <v>80</v>
      </c>
    </row>
    <row r="51" spans="1:16">
      <c r="A51" s="9" t="s">
        <v>200</v>
      </c>
      <c r="B51" s="15">
        <v>13.4056331579185</v>
      </c>
      <c r="C51" s="15">
        <v>15.2509270862432</v>
      </c>
      <c r="D51" s="24">
        <v>11.8714485314712</v>
      </c>
      <c r="E51" s="15">
        <v>13.168971249995</v>
      </c>
      <c r="F51" s="15">
        <v>16.601293372259299</v>
      </c>
      <c r="G51" s="24">
        <v>10.2508734497234</v>
      </c>
      <c r="H51" s="15">
        <v>13.742464087131401</v>
      </c>
      <c r="I51" s="15">
        <v>13.8225368779656</v>
      </c>
      <c r="J51" s="24">
        <v>13.676842241432301</v>
      </c>
      <c r="K51" s="20" t="s">
        <v>80</v>
      </c>
      <c r="L51" s="20" t="s">
        <v>80</v>
      </c>
      <c r="M51" s="26" t="s">
        <v>80</v>
      </c>
      <c r="N51" s="20" t="s">
        <v>80</v>
      </c>
      <c r="O51" s="20" t="s">
        <v>80</v>
      </c>
      <c r="P51" s="26" t="s">
        <v>80</v>
      </c>
    </row>
    <row r="52" spans="1:16">
      <c r="A52" s="9" t="s">
        <v>201</v>
      </c>
      <c r="B52" s="15">
        <v>18.904012727310299</v>
      </c>
      <c r="C52" s="15">
        <v>17.826351323466699</v>
      </c>
      <c r="D52" s="24">
        <v>19.7999846550961</v>
      </c>
      <c r="E52" s="15">
        <v>19.977142275349401</v>
      </c>
      <c r="F52" s="15">
        <v>21.360559596496099</v>
      </c>
      <c r="G52" s="24">
        <v>18.800986047031099</v>
      </c>
      <c r="H52" s="15">
        <v>17.273299217572699</v>
      </c>
      <c r="I52" s="15">
        <v>13.511865051365699</v>
      </c>
      <c r="J52" s="24">
        <v>20.355897562033299</v>
      </c>
      <c r="K52" s="20" t="s">
        <v>80</v>
      </c>
      <c r="L52" s="20" t="s">
        <v>80</v>
      </c>
      <c r="M52" s="26" t="s">
        <v>80</v>
      </c>
      <c r="N52" s="15">
        <v>27.4434931687614</v>
      </c>
      <c r="O52" s="20" t="s">
        <v>80</v>
      </c>
      <c r="P52" s="26" t="s">
        <v>80</v>
      </c>
    </row>
    <row r="53" spans="1:16">
      <c r="A53" s="9" t="s">
        <v>202</v>
      </c>
      <c r="B53" s="15">
        <v>17.5957824663517</v>
      </c>
      <c r="C53" s="15">
        <v>17.239327110062298</v>
      </c>
      <c r="D53" s="24">
        <v>17.892140850910302</v>
      </c>
      <c r="E53" s="15">
        <v>16.052136642368701</v>
      </c>
      <c r="F53" s="15">
        <v>16.598392080373699</v>
      </c>
      <c r="G53" s="24">
        <v>15.5877202107964</v>
      </c>
      <c r="H53" s="15">
        <v>19.4654398506243</v>
      </c>
      <c r="I53" s="15">
        <v>18.052553673988701</v>
      </c>
      <c r="J53" s="24">
        <v>20.623338778681301</v>
      </c>
      <c r="K53" s="20" t="s">
        <v>80</v>
      </c>
      <c r="L53" s="20" t="s">
        <v>80</v>
      </c>
      <c r="M53" s="26" t="s">
        <v>80</v>
      </c>
      <c r="N53" s="20" t="s">
        <v>80</v>
      </c>
      <c r="O53" s="20" t="s">
        <v>80</v>
      </c>
      <c r="P53" s="26" t="s">
        <v>80</v>
      </c>
    </row>
    <row r="54" spans="1:16">
      <c r="A54" s="9" t="s">
        <v>203</v>
      </c>
      <c r="B54" s="15">
        <v>16.885853588549502</v>
      </c>
      <c r="C54" s="15">
        <v>18.560684106367901</v>
      </c>
      <c r="D54" s="24">
        <v>15.493392911743101</v>
      </c>
      <c r="E54" s="15">
        <v>13.2525834913098</v>
      </c>
      <c r="F54" s="15">
        <v>15.525653553364601</v>
      </c>
      <c r="G54" s="24">
        <v>11.3200606943034</v>
      </c>
      <c r="H54" s="15">
        <v>20.739706731197501</v>
      </c>
      <c r="I54" s="15">
        <v>21.7993032342718</v>
      </c>
      <c r="J54" s="24">
        <v>19.8713383690665</v>
      </c>
      <c r="K54" s="20" t="s">
        <v>80</v>
      </c>
      <c r="L54" s="20" t="s">
        <v>80</v>
      </c>
      <c r="M54" s="26" t="s">
        <v>80</v>
      </c>
      <c r="N54" s="20" t="s">
        <v>80</v>
      </c>
      <c r="O54" s="20" t="s">
        <v>80</v>
      </c>
      <c r="P54" s="26" t="s">
        <v>80</v>
      </c>
    </row>
    <row r="55" spans="1:16">
      <c r="A55" s="9" t="s">
        <v>204</v>
      </c>
      <c r="B55" s="15">
        <v>8.1326724753517805</v>
      </c>
      <c r="C55" s="15">
        <v>9.1149847223490106</v>
      </c>
      <c r="D55" s="24">
        <v>7.3159742114160098</v>
      </c>
      <c r="E55" s="15">
        <v>9.0154991453767099</v>
      </c>
      <c r="F55" s="15">
        <v>10.2594220218611</v>
      </c>
      <c r="G55" s="24">
        <v>7.9579385551190001</v>
      </c>
      <c r="H55" s="15">
        <v>7.2916150001268996</v>
      </c>
      <c r="I55" s="15">
        <v>7.7122184792347799</v>
      </c>
      <c r="J55" s="24">
        <v>6.9469189264801399</v>
      </c>
      <c r="K55" s="20" t="s">
        <v>80</v>
      </c>
      <c r="L55" s="20" t="s">
        <v>80</v>
      </c>
      <c r="M55" s="26" t="s">
        <v>80</v>
      </c>
      <c r="N55" s="20" t="s">
        <v>80</v>
      </c>
      <c r="O55" s="20" t="s">
        <v>80</v>
      </c>
      <c r="P55" s="26" t="s">
        <v>80</v>
      </c>
    </row>
    <row r="56" spans="1:16">
      <c r="A56" s="9" t="s">
        <v>205</v>
      </c>
      <c r="B56" s="15">
        <v>11.240150435686299</v>
      </c>
      <c r="C56" s="15">
        <v>11.628891567463199</v>
      </c>
      <c r="D56" s="24">
        <v>10.916949530461901</v>
      </c>
      <c r="E56" s="15">
        <v>10.082006889325401</v>
      </c>
      <c r="F56" s="15">
        <v>12.3444939699705</v>
      </c>
      <c r="G56" s="24">
        <v>8.1584815505037298</v>
      </c>
      <c r="H56" s="15">
        <v>12.281557601828901</v>
      </c>
      <c r="I56" s="15">
        <v>10.451923477046901</v>
      </c>
      <c r="J56" s="24">
        <v>13.780992890286701</v>
      </c>
      <c r="K56" s="20" t="s">
        <v>80</v>
      </c>
      <c r="L56" s="20" t="s">
        <v>80</v>
      </c>
      <c r="M56" s="26" t="s">
        <v>80</v>
      </c>
      <c r="N56" s="20" t="s">
        <v>80</v>
      </c>
      <c r="O56" s="20" t="s">
        <v>80</v>
      </c>
      <c r="P56" s="26" t="s">
        <v>80</v>
      </c>
    </row>
    <row r="57" spans="1:16">
      <c r="A57" s="9" t="s">
        <v>206</v>
      </c>
      <c r="B57" s="15">
        <v>9.9864721691745704</v>
      </c>
      <c r="C57" s="15">
        <v>11.6929366238278</v>
      </c>
      <c r="D57" s="24">
        <v>8.5677109129206706</v>
      </c>
      <c r="E57" s="15">
        <v>8.87637900544755</v>
      </c>
      <c r="F57" s="15">
        <v>10.704420834273201</v>
      </c>
      <c r="G57" s="24">
        <v>7.3222111128427398</v>
      </c>
      <c r="H57" s="15">
        <v>11.081028805083401</v>
      </c>
      <c r="I57" s="15">
        <v>12.5311598312129</v>
      </c>
      <c r="J57" s="24">
        <v>9.8926067025359004</v>
      </c>
      <c r="K57" s="20" t="s">
        <v>80</v>
      </c>
      <c r="L57" s="20" t="s">
        <v>80</v>
      </c>
      <c r="M57" s="26" t="s">
        <v>80</v>
      </c>
      <c r="N57" s="20" t="s">
        <v>80</v>
      </c>
      <c r="O57" s="20" t="s">
        <v>80</v>
      </c>
      <c r="P57" s="26" t="s">
        <v>80</v>
      </c>
    </row>
    <row r="58" spans="1:16">
      <c r="A58" s="9" t="s">
        <v>207</v>
      </c>
      <c r="B58" s="15">
        <v>13.648247374093501</v>
      </c>
      <c r="C58" s="15">
        <v>13.495868797679201</v>
      </c>
      <c r="D58" s="24">
        <v>13.774935521572999</v>
      </c>
      <c r="E58" s="15">
        <v>16.326559539972099</v>
      </c>
      <c r="F58" s="15">
        <v>16.970495569798199</v>
      </c>
      <c r="G58" s="24">
        <v>15.779096847014999</v>
      </c>
      <c r="H58" s="15">
        <v>10.5899194311862</v>
      </c>
      <c r="I58" s="15">
        <v>9.3853590217801006</v>
      </c>
      <c r="J58" s="24">
        <v>11.577089685871901</v>
      </c>
      <c r="K58" s="20" t="s">
        <v>80</v>
      </c>
      <c r="L58" s="20" t="s">
        <v>80</v>
      </c>
      <c r="M58" s="26" t="s">
        <v>80</v>
      </c>
      <c r="N58" s="20" t="s">
        <v>80</v>
      </c>
      <c r="O58" s="20" t="s">
        <v>80</v>
      </c>
      <c r="P58" s="26" t="s">
        <v>80</v>
      </c>
    </row>
    <row r="59" spans="1:16">
      <c r="A59" s="9" t="s">
        <v>208</v>
      </c>
      <c r="B59" s="15">
        <v>2.9890126056690001</v>
      </c>
      <c r="C59" s="15">
        <v>3.4942923134361701</v>
      </c>
      <c r="D59" s="24">
        <v>2.56892107021593</v>
      </c>
      <c r="E59" s="15">
        <v>3.3581062009811098</v>
      </c>
      <c r="F59" s="15">
        <v>3.6095185954476801</v>
      </c>
      <c r="G59" s="24">
        <v>3.1443599588976601</v>
      </c>
      <c r="H59" s="15">
        <v>2.2919575431334902</v>
      </c>
      <c r="I59" s="15">
        <v>3.0604811803062102</v>
      </c>
      <c r="J59" s="26" t="s">
        <v>80</v>
      </c>
      <c r="K59" s="20" t="s">
        <v>80</v>
      </c>
      <c r="L59" s="20" t="s">
        <v>80</v>
      </c>
      <c r="M59" s="26" t="s">
        <v>80</v>
      </c>
      <c r="N59" s="20" t="s">
        <v>80</v>
      </c>
      <c r="O59" s="20" t="s">
        <v>80</v>
      </c>
      <c r="P59" s="26" t="s">
        <v>80</v>
      </c>
    </row>
    <row r="60" spans="1:16">
      <c r="A60" s="9" t="s">
        <v>209</v>
      </c>
      <c r="B60" s="15">
        <v>2.7088233337083998</v>
      </c>
      <c r="C60" s="15">
        <v>2.9493012943079799</v>
      </c>
      <c r="D60" s="24">
        <v>2.5088890118704601</v>
      </c>
      <c r="E60" s="15">
        <v>3.5929741992148299</v>
      </c>
      <c r="F60" s="15">
        <v>3.4376182765948902</v>
      </c>
      <c r="G60" s="24">
        <v>3.7250549771568902</v>
      </c>
      <c r="H60" s="15">
        <v>1.6272159325014399</v>
      </c>
      <c r="I60" s="15">
        <v>2.2349184495532102</v>
      </c>
      <c r="J60" s="26" t="s">
        <v>80</v>
      </c>
      <c r="K60" s="20" t="s">
        <v>80</v>
      </c>
      <c r="L60" s="20" t="s">
        <v>80</v>
      </c>
      <c r="M60" s="26" t="s">
        <v>80</v>
      </c>
      <c r="N60" s="20" t="s">
        <v>80</v>
      </c>
      <c r="O60" s="20" t="s">
        <v>80</v>
      </c>
      <c r="P60" s="26" t="s">
        <v>80</v>
      </c>
    </row>
    <row r="61" spans="1:16">
      <c r="A61" s="9" t="s">
        <v>210</v>
      </c>
      <c r="B61" s="15">
        <v>3.5809987674344699</v>
      </c>
      <c r="C61" s="15">
        <v>4.4561760588755899</v>
      </c>
      <c r="D61" s="24">
        <v>2.8533729267296701</v>
      </c>
      <c r="E61" s="15">
        <v>3.9887268745634201</v>
      </c>
      <c r="F61" s="15">
        <v>4.4954260084317603</v>
      </c>
      <c r="G61" s="24">
        <v>3.5579404928454799</v>
      </c>
      <c r="H61" s="15">
        <v>2.9858876300172001</v>
      </c>
      <c r="I61" s="15">
        <v>4.3180162739119901</v>
      </c>
      <c r="J61" s="24">
        <v>1.8941717124103199</v>
      </c>
      <c r="K61" s="20" t="s">
        <v>80</v>
      </c>
      <c r="L61" s="20" t="s">
        <v>80</v>
      </c>
      <c r="M61" s="26" t="s">
        <v>80</v>
      </c>
      <c r="N61" s="20" t="s">
        <v>80</v>
      </c>
      <c r="O61" s="20" t="s">
        <v>80</v>
      </c>
      <c r="P61" s="26" t="s">
        <v>80</v>
      </c>
    </row>
    <row r="62" spans="1:16">
      <c r="A62" s="9" t="s">
        <v>211</v>
      </c>
      <c r="B62" s="15">
        <v>10.265258748401299</v>
      </c>
      <c r="C62" s="15">
        <v>12.209760040780401</v>
      </c>
      <c r="D62" s="24">
        <v>8.6485927294634308</v>
      </c>
      <c r="E62" s="15">
        <v>10.611867787119699</v>
      </c>
      <c r="F62" s="15">
        <v>13.193737885508201</v>
      </c>
      <c r="G62" s="24">
        <v>8.4168088193664303</v>
      </c>
      <c r="H62" s="15">
        <v>9.8983356812713996</v>
      </c>
      <c r="I62" s="15">
        <v>10.8506299904146</v>
      </c>
      <c r="J62" s="24">
        <v>9.1179044066322898</v>
      </c>
      <c r="K62" s="20" t="s">
        <v>80</v>
      </c>
      <c r="L62" s="20" t="s">
        <v>80</v>
      </c>
      <c r="M62" s="26" t="s">
        <v>80</v>
      </c>
      <c r="N62" s="20" t="s">
        <v>80</v>
      </c>
      <c r="O62" s="20" t="s">
        <v>80</v>
      </c>
      <c r="P62" s="26" t="s">
        <v>80</v>
      </c>
    </row>
    <row r="63" spans="1:16">
      <c r="A63" s="9" t="s">
        <v>212</v>
      </c>
      <c r="B63" s="15">
        <v>11.5420759331725</v>
      </c>
      <c r="C63" s="15">
        <v>12.365185752215099</v>
      </c>
      <c r="D63" s="24">
        <v>10.8577391937137</v>
      </c>
      <c r="E63" s="15">
        <v>13.8682040972263</v>
      </c>
      <c r="F63" s="15">
        <v>16.0217787173133</v>
      </c>
      <c r="G63" s="24">
        <v>12.0372741501702</v>
      </c>
      <c r="H63" s="15">
        <v>9.1361338538015193</v>
      </c>
      <c r="I63" s="15">
        <v>8.4172286479985008</v>
      </c>
      <c r="J63" s="24">
        <v>9.7252963645114097</v>
      </c>
      <c r="K63" s="20" t="s">
        <v>80</v>
      </c>
      <c r="L63" s="20" t="s">
        <v>80</v>
      </c>
      <c r="M63" s="26" t="s">
        <v>80</v>
      </c>
      <c r="N63" s="20" t="s">
        <v>80</v>
      </c>
      <c r="O63" s="20" t="s">
        <v>80</v>
      </c>
      <c r="P63" s="26" t="s">
        <v>80</v>
      </c>
    </row>
    <row r="64" spans="1:16">
      <c r="A64" s="11" t="s">
        <v>213</v>
      </c>
      <c r="B64" s="16">
        <v>1.8815431427504301</v>
      </c>
      <c r="C64" s="16">
        <v>2.8870855566642502</v>
      </c>
      <c r="D64" s="25">
        <v>1.0455312267150201</v>
      </c>
      <c r="E64" s="16">
        <v>1.5044744146511899</v>
      </c>
      <c r="F64" s="28" t="s">
        <v>80</v>
      </c>
      <c r="G64" s="29" t="s">
        <v>80</v>
      </c>
      <c r="H64" s="16">
        <v>2.2318590364244599</v>
      </c>
      <c r="I64" s="16">
        <v>3.3454841163831399</v>
      </c>
      <c r="J64" s="29" t="s">
        <v>80</v>
      </c>
      <c r="K64" s="28" t="s">
        <v>80</v>
      </c>
      <c r="L64" s="28" t="s">
        <v>80</v>
      </c>
      <c r="M64" s="29" t="s">
        <v>80</v>
      </c>
      <c r="N64" s="28" t="s">
        <v>80</v>
      </c>
      <c r="O64" s="28" t="s">
        <v>80</v>
      </c>
      <c r="P64" s="29" t="s">
        <v>80</v>
      </c>
    </row>
    <row r="65" spans="1:1" ht="30" customHeight="1">
      <c r="A65" t="s">
        <v>93</v>
      </c>
    </row>
    <row r="66" spans="1:1">
      <c r="A66" t="s">
        <v>94</v>
      </c>
    </row>
    <row r="67" spans="1:1">
      <c r="A67" t="s">
        <v>95</v>
      </c>
    </row>
    <row r="68" spans="1:1">
      <c r="A68" t="s">
        <v>96</v>
      </c>
    </row>
    <row r="69" spans="1:1">
      <c r="A69" t="s">
        <v>97</v>
      </c>
    </row>
    <row r="70" spans="1:1">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J71"/>
  <sheetViews>
    <sheetView zoomScale="55" workbookViewId="0"/>
  </sheetViews>
  <sheetFormatPr defaultColWidth="10.90625" defaultRowHeight="15"/>
  <cols>
    <col min="1" max="1" width="51.6796875" customWidth="1"/>
    <col min="2" max="35" width="13.6796875" customWidth="1"/>
  </cols>
  <sheetData>
    <row r="1" spans="1:36" ht="39.9" customHeight="1">
      <c r="A1" s="10" t="s">
        <v>249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45">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9" t="s">
        <v>152</v>
      </c>
      <c r="B3" s="36">
        <v>21.046246025691801</v>
      </c>
      <c r="C3" s="32">
        <v>19.900902902869699</v>
      </c>
      <c r="D3" s="32">
        <v>21.535480101711201</v>
      </c>
      <c r="E3" s="32">
        <v>20.159638978402</v>
      </c>
      <c r="F3" s="15">
        <v>10.655737704918</v>
      </c>
      <c r="G3" s="15">
        <v>27.118644067796598</v>
      </c>
      <c r="H3" s="15">
        <v>21.6867469879518</v>
      </c>
      <c r="I3" s="15">
        <v>18.8888888888889</v>
      </c>
      <c r="J3" s="15">
        <v>14.285714285714301</v>
      </c>
      <c r="K3" s="20" t="s">
        <v>80</v>
      </c>
      <c r="L3" s="15">
        <v>13.5922330097087</v>
      </c>
      <c r="M3" s="15">
        <v>18.518518518518501</v>
      </c>
      <c r="N3" s="15">
        <v>25.4237288135593</v>
      </c>
      <c r="O3" s="15">
        <v>26.315789473684202</v>
      </c>
      <c r="P3" s="15">
        <v>15.853658536585399</v>
      </c>
      <c r="Q3" s="15">
        <v>18.404907975460102</v>
      </c>
      <c r="R3" s="15">
        <v>25</v>
      </c>
      <c r="S3" s="15">
        <v>17.5675675675676</v>
      </c>
      <c r="T3" s="15">
        <v>22.2222222222222</v>
      </c>
      <c r="U3" s="15">
        <v>16.393442622950801</v>
      </c>
      <c r="V3" s="15">
        <v>31.081081081081098</v>
      </c>
      <c r="W3" s="15">
        <v>32.954545454545503</v>
      </c>
      <c r="X3" s="15">
        <v>17.934782608695699</v>
      </c>
      <c r="Y3" s="15">
        <v>21.935483870967701</v>
      </c>
      <c r="Z3" s="15">
        <v>22.8070175438597</v>
      </c>
      <c r="AA3" s="32">
        <v>22.6793598205</v>
      </c>
      <c r="AB3" s="15">
        <v>23.2258064516129</v>
      </c>
      <c r="AC3" s="15">
        <v>15.772870662460599</v>
      </c>
      <c r="AD3" s="15">
        <v>27.467811158798298</v>
      </c>
      <c r="AE3" s="15">
        <v>24.271844660194201</v>
      </c>
      <c r="AF3" s="15">
        <v>24.766977363515299</v>
      </c>
      <c r="AG3" s="15">
        <v>22.801302931596101</v>
      </c>
      <c r="AH3" s="15">
        <v>19.217081850533798</v>
      </c>
      <c r="AI3" s="26" t="s">
        <v>80</v>
      </c>
      <c r="AJ3" s="38"/>
    </row>
    <row r="4" spans="1:36">
      <c r="A4" s="9" t="s">
        <v>153</v>
      </c>
      <c r="B4" s="36">
        <v>9.6275013879961193</v>
      </c>
      <c r="C4" s="32">
        <v>9.5158344097915908</v>
      </c>
      <c r="D4" s="32">
        <v>9.9447508651518906</v>
      </c>
      <c r="E4" s="32">
        <v>11.685338885117901</v>
      </c>
      <c r="F4" s="15">
        <v>5.7377049180327901</v>
      </c>
      <c r="G4" s="15">
        <v>15.254237288135601</v>
      </c>
      <c r="H4" s="15">
        <v>7.2289156626505999</v>
      </c>
      <c r="I4" s="15">
        <v>11.1111111111111</v>
      </c>
      <c r="J4" s="20" t="s">
        <v>80</v>
      </c>
      <c r="K4" s="20" t="s">
        <v>80</v>
      </c>
      <c r="L4" s="15">
        <v>10.6796116504854</v>
      </c>
      <c r="M4" s="15">
        <v>11.1111111111111</v>
      </c>
      <c r="N4" s="15">
        <v>10.1694915254237</v>
      </c>
      <c r="O4" s="20" t="s">
        <v>80</v>
      </c>
      <c r="P4" s="15">
        <v>7.3170731707317103</v>
      </c>
      <c r="Q4" s="15">
        <v>7.9754601226993902</v>
      </c>
      <c r="R4" s="15">
        <v>7.9545454545454497</v>
      </c>
      <c r="S4" s="15">
        <v>13.5135135135135</v>
      </c>
      <c r="T4" s="15">
        <v>8.3333333333333304</v>
      </c>
      <c r="U4" s="15">
        <v>6.5573770491803298</v>
      </c>
      <c r="V4" s="15">
        <v>14.8648648648649</v>
      </c>
      <c r="W4" s="15">
        <v>10.2272727272727</v>
      </c>
      <c r="X4" s="15">
        <v>10.326086956521699</v>
      </c>
      <c r="Y4" s="15">
        <v>18.064516129032299</v>
      </c>
      <c r="Z4" s="15">
        <v>21.052631578947398</v>
      </c>
      <c r="AA4" s="32">
        <v>8.4976191425463501</v>
      </c>
      <c r="AB4" s="15">
        <v>7.7419354838709697</v>
      </c>
      <c r="AC4" s="15">
        <v>12.933753943217701</v>
      </c>
      <c r="AD4" s="15">
        <v>9.4420600858369106</v>
      </c>
      <c r="AE4" s="15">
        <v>9.0614886731391593</v>
      </c>
      <c r="AF4" s="15">
        <v>8.7882822902796303</v>
      </c>
      <c r="AG4" s="15">
        <v>7.4918566775244297</v>
      </c>
      <c r="AH4" s="15">
        <v>11.0320284697509</v>
      </c>
      <c r="AI4" s="26" t="s">
        <v>80</v>
      </c>
      <c r="AJ4" s="38"/>
    </row>
    <row r="5" spans="1:36">
      <c r="A5" s="9" t="s">
        <v>154</v>
      </c>
      <c r="B5" s="36">
        <v>10.404927245985601</v>
      </c>
      <c r="C5" s="32">
        <v>10.7920917611112</v>
      </c>
      <c r="D5" s="32">
        <v>11.9399442666809</v>
      </c>
      <c r="E5" s="32">
        <v>10.5487010246948</v>
      </c>
      <c r="F5" s="15">
        <v>11.4754098360656</v>
      </c>
      <c r="G5" s="15">
        <v>10.1694915254237</v>
      </c>
      <c r="H5" s="15">
        <v>12.048192771084301</v>
      </c>
      <c r="I5" s="15">
        <v>7.7777777777777803</v>
      </c>
      <c r="J5" s="15">
        <v>12.5</v>
      </c>
      <c r="K5" s="20" t="s">
        <v>80</v>
      </c>
      <c r="L5" s="15">
        <v>5.8252427184466002</v>
      </c>
      <c r="M5" s="15">
        <v>11.1111111111111</v>
      </c>
      <c r="N5" s="15">
        <v>8.4745762711864394</v>
      </c>
      <c r="O5" s="20" t="s">
        <v>80</v>
      </c>
      <c r="P5" s="15">
        <v>15.853658536585399</v>
      </c>
      <c r="Q5" s="15">
        <v>7.3619631901840501</v>
      </c>
      <c r="R5" s="20" t="s">
        <v>80</v>
      </c>
      <c r="S5" s="15">
        <v>10.8108108108108</v>
      </c>
      <c r="T5" s="15">
        <v>13.8888888888889</v>
      </c>
      <c r="U5" s="15">
        <v>11.4754098360656</v>
      </c>
      <c r="V5" s="15">
        <v>14.8648648648649</v>
      </c>
      <c r="W5" s="15">
        <v>22.727272727272702</v>
      </c>
      <c r="X5" s="15">
        <v>5.9782608695652204</v>
      </c>
      <c r="Y5" s="15">
        <v>19.354838709677399</v>
      </c>
      <c r="Z5" s="15">
        <v>11.403508771929801</v>
      </c>
      <c r="AA5" s="32">
        <v>13.0966293674885</v>
      </c>
      <c r="AB5" s="15">
        <v>10.322580645161301</v>
      </c>
      <c r="AC5" s="15">
        <v>9.4637223974763405</v>
      </c>
      <c r="AD5" s="15">
        <v>10.7296137339056</v>
      </c>
      <c r="AE5" s="15">
        <v>10.3559870550162</v>
      </c>
      <c r="AF5" s="15">
        <v>12.9161118508655</v>
      </c>
      <c r="AG5" s="15">
        <v>10.0977198697068</v>
      </c>
      <c r="AH5" s="15">
        <v>9.9644128113879002</v>
      </c>
      <c r="AI5" s="26" t="s">
        <v>80</v>
      </c>
      <c r="AJ5" s="38"/>
    </row>
    <row r="6" spans="1:36">
      <c r="A6" s="9" t="s">
        <v>155</v>
      </c>
      <c r="B6" s="36">
        <v>13.3200141643004</v>
      </c>
      <c r="C6" s="32">
        <v>13.297983932378999</v>
      </c>
      <c r="D6" s="32">
        <v>12.5409940722695</v>
      </c>
      <c r="E6" s="32">
        <v>14.289730707834799</v>
      </c>
      <c r="F6" s="15">
        <v>13.934426229508199</v>
      </c>
      <c r="G6" s="15">
        <v>22.033898305084701</v>
      </c>
      <c r="H6" s="15">
        <v>15.662650602409601</v>
      </c>
      <c r="I6" s="15">
        <v>12.2222222222222</v>
      </c>
      <c r="J6" s="15">
        <v>8.9285714285714306</v>
      </c>
      <c r="K6" s="20" t="s">
        <v>80</v>
      </c>
      <c r="L6" s="15">
        <v>15.5339805825243</v>
      </c>
      <c r="M6" s="15">
        <v>17.283950617283899</v>
      </c>
      <c r="N6" s="15">
        <v>8.4745762711864394</v>
      </c>
      <c r="O6" s="15">
        <v>14.0350877192982</v>
      </c>
      <c r="P6" s="15">
        <v>15.853658536585399</v>
      </c>
      <c r="Q6" s="15">
        <v>11.0429447852761</v>
      </c>
      <c r="R6" s="15">
        <v>17.045454545454501</v>
      </c>
      <c r="S6" s="15">
        <v>18.918918918918902</v>
      </c>
      <c r="T6" s="15">
        <v>12.5</v>
      </c>
      <c r="U6" s="15">
        <v>19.672131147540998</v>
      </c>
      <c r="V6" s="15">
        <v>17.5675675675676</v>
      </c>
      <c r="W6" s="15">
        <v>7.9545454545454497</v>
      </c>
      <c r="X6" s="15">
        <v>17.3913043478261</v>
      </c>
      <c r="Y6" s="15">
        <v>15.4838709677419</v>
      </c>
      <c r="Z6" s="15">
        <v>26.315789473684202</v>
      </c>
      <c r="AA6" s="32">
        <v>11.08708755862</v>
      </c>
      <c r="AB6" s="15">
        <v>8.3870967741935498</v>
      </c>
      <c r="AC6" s="15">
        <v>13.8801261829653</v>
      </c>
      <c r="AD6" s="15">
        <v>8.5836909871244593</v>
      </c>
      <c r="AE6" s="15">
        <v>9.7087378640776691</v>
      </c>
      <c r="AF6" s="15">
        <v>13.5818908122503</v>
      </c>
      <c r="AG6" s="15">
        <v>10.7491856677524</v>
      </c>
      <c r="AH6" s="15">
        <v>13.5231316725979</v>
      </c>
      <c r="AI6" s="26" t="s">
        <v>80</v>
      </c>
      <c r="AJ6" s="38"/>
    </row>
    <row r="7" spans="1:36">
      <c r="A7" s="9" t="s">
        <v>156</v>
      </c>
      <c r="B7" s="36">
        <v>11.445858685249799</v>
      </c>
      <c r="C7" s="32">
        <v>11.0548805829701</v>
      </c>
      <c r="D7" s="32">
        <v>12.019040881893901</v>
      </c>
      <c r="E7" s="32">
        <v>14.6229022825502</v>
      </c>
      <c r="F7" s="15">
        <v>14.7540983606557</v>
      </c>
      <c r="G7" s="15">
        <v>11.864406779661</v>
      </c>
      <c r="H7" s="15">
        <v>13.253012048192801</v>
      </c>
      <c r="I7" s="15">
        <v>14.4444444444444</v>
      </c>
      <c r="J7" s="15">
        <v>23.214285714285701</v>
      </c>
      <c r="K7" s="15">
        <v>13.8888888888889</v>
      </c>
      <c r="L7" s="15">
        <v>7.7669902912621396</v>
      </c>
      <c r="M7" s="20" t="s">
        <v>80</v>
      </c>
      <c r="N7" s="15">
        <v>8.4745762711864394</v>
      </c>
      <c r="O7" s="15">
        <v>17.543859649122801</v>
      </c>
      <c r="P7" s="15">
        <v>17.0731707317073</v>
      </c>
      <c r="Q7" s="15">
        <v>15.9509202453988</v>
      </c>
      <c r="R7" s="15">
        <v>9.0909090909090899</v>
      </c>
      <c r="S7" s="15">
        <v>21.6216216216216</v>
      </c>
      <c r="T7" s="15">
        <v>16.6666666666667</v>
      </c>
      <c r="U7" s="15">
        <v>13.934426229508199</v>
      </c>
      <c r="V7" s="15">
        <v>17.5675675675676</v>
      </c>
      <c r="W7" s="15">
        <v>25</v>
      </c>
      <c r="X7" s="15">
        <v>13.0434782608696</v>
      </c>
      <c r="Y7" s="15">
        <v>14.8387096774194</v>
      </c>
      <c r="Z7" s="15">
        <v>18.421052631578899</v>
      </c>
      <c r="AA7" s="32">
        <v>9.8541802767798092</v>
      </c>
      <c r="AB7" s="15">
        <v>8.3870967741935498</v>
      </c>
      <c r="AC7" s="15">
        <v>6.9400630914826502</v>
      </c>
      <c r="AD7" s="15">
        <v>13.733905579399099</v>
      </c>
      <c r="AE7" s="15">
        <v>15.210355987054999</v>
      </c>
      <c r="AF7" s="15">
        <v>10.9187749667111</v>
      </c>
      <c r="AG7" s="15">
        <v>12.703583061889301</v>
      </c>
      <c r="AH7" s="15">
        <v>11.0320284697509</v>
      </c>
      <c r="AI7" s="26" t="s">
        <v>80</v>
      </c>
      <c r="AJ7" s="38"/>
    </row>
    <row r="8" spans="1:36">
      <c r="A8" s="9" t="s">
        <v>157</v>
      </c>
      <c r="B8" s="36">
        <v>2.4856594057021</v>
      </c>
      <c r="C8" s="32">
        <v>2.3992723426820799</v>
      </c>
      <c r="D8" s="32">
        <v>2.6865719647022499</v>
      </c>
      <c r="E8" s="32">
        <v>3.65922749052771</v>
      </c>
      <c r="F8" s="20" t="s">
        <v>80</v>
      </c>
      <c r="G8" s="20" t="s">
        <v>80</v>
      </c>
      <c r="H8" s="15">
        <v>6.0240963855421699</v>
      </c>
      <c r="I8" s="20" t="s">
        <v>80</v>
      </c>
      <c r="J8" s="20" t="s">
        <v>80</v>
      </c>
      <c r="K8" s="20" t="s">
        <v>80</v>
      </c>
      <c r="L8" s="20" t="s">
        <v>80</v>
      </c>
      <c r="M8" s="20" t="s">
        <v>80</v>
      </c>
      <c r="N8" s="20" t="s">
        <v>80</v>
      </c>
      <c r="O8" s="20" t="s">
        <v>80</v>
      </c>
      <c r="P8" s="20" t="s">
        <v>80</v>
      </c>
      <c r="Q8" s="20" t="s">
        <v>80</v>
      </c>
      <c r="R8" s="20" t="s">
        <v>80</v>
      </c>
      <c r="S8" s="20" t="s">
        <v>80</v>
      </c>
      <c r="T8" s="20" t="s">
        <v>80</v>
      </c>
      <c r="U8" s="20" t="s">
        <v>80</v>
      </c>
      <c r="V8" s="20" t="s">
        <v>80</v>
      </c>
      <c r="W8" s="15">
        <v>11.363636363636401</v>
      </c>
      <c r="X8" s="15">
        <v>3.8043478260869601</v>
      </c>
      <c r="Y8" s="15">
        <v>7.0967741935483897</v>
      </c>
      <c r="Z8" s="15">
        <v>8.7719298245614006</v>
      </c>
      <c r="AA8" s="32">
        <v>1.87790233671232</v>
      </c>
      <c r="AB8" s="20" t="s">
        <v>80</v>
      </c>
      <c r="AC8" s="15">
        <v>1.5772870662460601</v>
      </c>
      <c r="AD8" s="15">
        <v>4.2918454935622297</v>
      </c>
      <c r="AE8" s="15">
        <v>1.94174757281553</v>
      </c>
      <c r="AF8" s="15">
        <v>2.2636484687083902</v>
      </c>
      <c r="AG8" s="15">
        <v>3.5830618892508102</v>
      </c>
      <c r="AH8" s="15">
        <v>1.77935943060498</v>
      </c>
      <c r="AI8" s="26" t="s">
        <v>80</v>
      </c>
      <c r="AJ8" s="38"/>
    </row>
    <row r="9" spans="1:36">
      <c r="A9" s="9" t="s">
        <v>158</v>
      </c>
      <c r="B9" s="36">
        <v>6.5154896858226596</v>
      </c>
      <c r="C9" s="32">
        <v>6.4870657969001302</v>
      </c>
      <c r="D9" s="32">
        <v>7.2993386896228696</v>
      </c>
      <c r="E9" s="32">
        <v>10.090002332189099</v>
      </c>
      <c r="F9" s="15">
        <v>4.0983606557377001</v>
      </c>
      <c r="G9" s="15">
        <v>11.864406779661</v>
      </c>
      <c r="H9" s="15">
        <v>13.253012048192801</v>
      </c>
      <c r="I9" s="15">
        <v>11.1111111111111</v>
      </c>
      <c r="J9" s="15">
        <v>17.8571428571429</v>
      </c>
      <c r="K9" s="20" t="s">
        <v>80</v>
      </c>
      <c r="L9" s="15">
        <v>5.8252427184466002</v>
      </c>
      <c r="M9" s="15">
        <v>7.4074074074074101</v>
      </c>
      <c r="N9" s="15">
        <v>10.1694915254237</v>
      </c>
      <c r="O9" s="15">
        <v>8.7719298245614006</v>
      </c>
      <c r="P9" s="15">
        <v>9.7560975609756095</v>
      </c>
      <c r="Q9" s="15">
        <v>7.3619631901840501</v>
      </c>
      <c r="R9" s="20" t="s">
        <v>80</v>
      </c>
      <c r="S9" s="15">
        <v>6.7567567567567597</v>
      </c>
      <c r="T9" s="15">
        <v>15.2777777777778</v>
      </c>
      <c r="U9" s="15">
        <v>4.9180327868852496</v>
      </c>
      <c r="V9" s="15">
        <v>16.2162162162162</v>
      </c>
      <c r="W9" s="15">
        <v>14.7727272727273</v>
      </c>
      <c r="X9" s="15">
        <v>4.3478260869565197</v>
      </c>
      <c r="Y9" s="15">
        <v>11.6129032258065</v>
      </c>
      <c r="Z9" s="15">
        <v>15.789473684210501</v>
      </c>
      <c r="AA9" s="32">
        <v>4.9791699662057498</v>
      </c>
      <c r="AB9" s="20" t="s">
        <v>80</v>
      </c>
      <c r="AC9" s="15">
        <v>4.7318611987381702</v>
      </c>
      <c r="AD9" s="15">
        <v>8.1545064377682408</v>
      </c>
      <c r="AE9" s="15">
        <v>4.8543689320388399</v>
      </c>
      <c r="AF9" s="15">
        <v>5.5925432756324902</v>
      </c>
      <c r="AG9" s="15">
        <v>6.8403908794788304</v>
      </c>
      <c r="AH9" s="15">
        <v>6.4056939501779402</v>
      </c>
      <c r="AI9" s="26" t="s">
        <v>80</v>
      </c>
      <c r="AJ9" s="38"/>
    </row>
    <row r="10" spans="1:36">
      <c r="A10" s="9" t="s">
        <v>159</v>
      </c>
      <c r="B10" s="36">
        <v>17.081788786613501</v>
      </c>
      <c r="C10" s="32">
        <v>16.753103035682301</v>
      </c>
      <c r="D10" s="32">
        <v>16.894399945336598</v>
      </c>
      <c r="E10" s="32">
        <v>13.3188498727799</v>
      </c>
      <c r="F10" s="15">
        <v>11.4754098360656</v>
      </c>
      <c r="G10" s="15">
        <v>16.9491525423729</v>
      </c>
      <c r="H10" s="15">
        <v>12.048192771084301</v>
      </c>
      <c r="I10" s="15">
        <v>15.5555555555556</v>
      </c>
      <c r="J10" s="15">
        <v>16.071428571428601</v>
      </c>
      <c r="K10" s="20" t="s">
        <v>80</v>
      </c>
      <c r="L10" s="15">
        <v>13.5922330097087</v>
      </c>
      <c r="M10" s="20" t="s">
        <v>80</v>
      </c>
      <c r="N10" s="15">
        <v>15.254237288135601</v>
      </c>
      <c r="O10" s="15">
        <v>8.7719298245614006</v>
      </c>
      <c r="P10" s="15">
        <v>9.7560975609756095</v>
      </c>
      <c r="Q10" s="15">
        <v>10.429447852760701</v>
      </c>
      <c r="R10" s="15">
        <v>7.9545454545454497</v>
      </c>
      <c r="S10" s="15">
        <v>20.270270270270299</v>
      </c>
      <c r="T10" s="15">
        <v>11.1111111111111</v>
      </c>
      <c r="U10" s="15">
        <v>9.0163934426229506</v>
      </c>
      <c r="V10" s="15">
        <v>20.270270270270299</v>
      </c>
      <c r="W10" s="15">
        <v>17.045454545454501</v>
      </c>
      <c r="X10" s="15">
        <v>14.130434782608701</v>
      </c>
      <c r="Y10" s="15">
        <v>16.129032258064498</v>
      </c>
      <c r="Z10" s="15">
        <v>18.421052631578899</v>
      </c>
      <c r="AA10" s="32">
        <v>19.867126332286201</v>
      </c>
      <c r="AB10" s="15">
        <v>13.548387096774199</v>
      </c>
      <c r="AC10" s="15">
        <v>18.296529968454301</v>
      </c>
      <c r="AD10" s="15">
        <v>21.0300429184549</v>
      </c>
      <c r="AE10" s="15">
        <v>17.799352750809099</v>
      </c>
      <c r="AF10" s="15">
        <v>19.8402130492676</v>
      </c>
      <c r="AG10" s="15">
        <v>20.1954397394137</v>
      </c>
      <c r="AH10" s="15">
        <v>21.352313167259801</v>
      </c>
      <c r="AI10" s="26" t="s">
        <v>80</v>
      </c>
      <c r="AJ10" s="38"/>
    </row>
    <row r="11" spans="1:36">
      <c r="A11" s="9" t="s">
        <v>160</v>
      </c>
      <c r="B11" s="36">
        <v>15.3790368882698</v>
      </c>
      <c r="C11" s="32">
        <v>15.3706963302782</v>
      </c>
      <c r="D11" s="32">
        <v>15.463185226433399</v>
      </c>
      <c r="E11" s="32">
        <v>17.212249071066999</v>
      </c>
      <c r="F11" s="15">
        <v>20.491803278688501</v>
      </c>
      <c r="G11" s="15">
        <v>13.559322033898299</v>
      </c>
      <c r="H11" s="15">
        <v>14.4578313253012</v>
      </c>
      <c r="I11" s="15">
        <v>13.3333333333333</v>
      </c>
      <c r="J11" s="15">
        <v>30.3571428571429</v>
      </c>
      <c r="K11" s="15">
        <v>13.8888888888889</v>
      </c>
      <c r="L11" s="15">
        <v>12.621359223301001</v>
      </c>
      <c r="M11" s="15">
        <v>17.283950617283899</v>
      </c>
      <c r="N11" s="15">
        <v>18.644067796610202</v>
      </c>
      <c r="O11" s="15">
        <v>8.7719298245614006</v>
      </c>
      <c r="P11" s="15">
        <v>17.0731707317073</v>
      </c>
      <c r="Q11" s="15">
        <v>12.269938650306701</v>
      </c>
      <c r="R11" s="15">
        <v>11.363636363636401</v>
      </c>
      <c r="S11" s="15">
        <v>14.8648648648649</v>
      </c>
      <c r="T11" s="15">
        <v>19.4444444444444</v>
      </c>
      <c r="U11" s="15">
        <v>17.213114754098399</v>
      </c>
      <c r="V11" s="15">
        <v>18.918918918918902</v>
      </c>
      <c r="W11" s="15">
        <v>29.545454545454501</v>
      </c>
      <c r="X11" s="15">
        <v>17.934782608695699</v>
      </c>
      <c r="Y11" s="15">
        <v>15.4838709677419</v>
      </c>
      <c r="Z11" s="15">
        <v>27.192982456140399</v>
      </c>
      <c r="AA11" s="32">
        <v>14.009006669878</v>
      </c>
      <c r="AB11" s="15">
        <v>8.3870967741935498</v>
      </c>
      <c r="AC11" s="15">
        <v>16.719242902208201</v>
      </c>
      <c r="AD11" s="15">
        <v>13.3047210300429</v>
      </c>
      <c r="AE11" s="15">
        <v>14.5631067961165</v>
      </c>
      <c r="AF11" s="15">
        <v>14.913448735019999</v>
      </c>
      <c r="AG11" s="15">
        <v>14.657980456026101</v>
      </c>
      <c r="AH11" s="15">
        <v>16.725978647686802</v>
      </c>
      <c r="AI11" s="26" t="s">
        <v>80</v>
      </c>
      <c r="AJ11" s="38"/>
    </row>
    <row r="12" spans="1:36">
      <c r="A12" s="9" t="s">
        <v>161</v>
      </c>
      <c r="B12" s="36">
        <v>13.718292537910401</v>
      </c>
      <c r="C12" s="32">
        <v>12.4160677846195</v>
      </c>
      <c r="D12" s="32">
        <v>13.0181813251455</v>
      </c>
      <c r="E12" s="32">
        <v>14.6287679728</v>
      </c>
      <c r="F12" s="15">
        <v>14.7540983606557</v>
      </c>
      <c r="G12" s="15">
        <v>13.559322033898299</v>
      </c>
      <c r="H12" s="15">
        <v>12.048192771084301</v>
      </c>
      <c r="I12" s="15">
        <v>13.3333333333333</v>
      </c>
      <c r="J12" s="15">
        <v>17.8571428571429</v>
      </c>
      <c r="K12" s="15">
        <v>16.6666666666667</v>
      </c>
      <c r="L12" s="15">
        <v>10.6796116504854</v>
      </c>
      <c r="M12" s="15">
        <v>12.3456790123457</v>
      </c>
      <c r="N12" s="15">
        <v>18.644067796610202</v>
      </c>
      <c r="O12" s="15">
        <v>15.789473684210501</v>
      </c>
      <c r="P12" s="15">
        <v>19.512195121951201</v>
      </c>
      <c r="Q12" s="15">
        <v>10.429447852760701</v>
      </c>
      <c r="R12" s="15">
        <v>14.7727272727273</v>
      </c>
      <c r="S12" s="15">
        <v>14.8648648648649</v>
      </c>
      <c r="T12" s="15">
        <v>25</v>
      </c>
      <c r="U12" s="15">
        <v>9.0163934426229506</v>
      </c>
      <c r="V12" s="15">
        <v>8.1081081081081106</v>
      </c>
      <c r="W12" s="15">
        <v>20.454545454545499</v>
      </c>
      <c r="X12" s="15">
        <v>12.5</v>
      </c>
      <c r="Y12" s="15">
        <v>21.290322580645199</v>
      </c>
      <c r="Z12" s="15">
        <v>23.684210526315798</v>
      </c>
      <c r="AA12" s="32">
        <v>11.6791332545566</v>
      </c>
      <c r="AB12" s="15">
        <v>10.322580645161301</v>
      </c>
      <c r="AC12" s="15">
        <v>12.6182965299685</v>
      </c>
      <c r="AD12" s="15">
        <v>15.021459227467799</v>
      </c>
      <c r="AE12" s="15">
        <v>13.5922330097087</v>
      </c>
      <c r="AF12" s="15">
        <v>11.717709720372801</v>
      </c>
      <c r="AG12" s="15">
        <v>15.6351791530945</v>
      </c>
      <c r="AH12" s="15">
        <v>10.3202846975089</v>
      </c>
      <c r="AI12" s="26" t="s">
        <v>80</v>
      </c>
      <c r="AJ12" s="38"/>
    </row>
    <row r="13" spans="1:36">
      <c r="A13" s="9" t="s">
        <v>162</v>
      </c>
      <c r="B13" s="36">
        <v>10.2328218593206</v>
      </c>
      <c r="C13" s="32">
        <v>10.0536579090183</v>
      </c>
      <c r="D13" s="32">
        <v>10.5255581295773</v>
      </c>
      <c r="E13" s="32">
        <v>12.870241463531499</v>
      </c>
      <c r="F13" s="15">
        <v>18.032786885245901</v>
      </c>
      <c r="G13" s="15">
        <v>10.1694915254237</v>
      </c>
      <c r="H13" s="15">
        <v>15.662650602409601</v>
      </c>
      <c r="I13" s="15">
        <v>8.8888888888888893</v>
      </c>
      <c r="J13" s="15">
        <v>14.285714285714301</v>
      </c>
      <c r="K13" s="20" t="s">
        <v>80</v>
      </c>
      <c r="L13" s="15">
        <v>9.7087378640776691</v>
      </c>
      <c r="M13" s="15">
        <v>14.814814814814801</v>
      </c>
      <c r="N13" s="15">
        <v>10.1694915254237</v>
      </c>
      <c r="O13" s="15">
        <v>15.789473684210501</v>
      </c>
      <c r="P13" s="15">
        <v>13.4146341463415</v>
      </c>
      <c r="Q13" s="15">
        <v>14.1104294478528</v>
      </c>
      <c r="R13" s="15">
        <v>9.0909090909090899</v>
      </c>
      <c r="S13" s="15">
        <v>8.1081081081081106</v>
      </c>
      <c r="T13" s="15">
        <v>18.0555555555556</v>
      </c>
      <c r="U13" s="15">
        <v>10.655737704918</v>
      </c>
      <c r="V13" s="15">
        <v>14.8648648648649</v>
      </c>
      <c r="W13" s="15">
        <v>22.727272727272702</v>
      </c>
      <c r="X13" s="15">
        <v>13.0434782608696</v>
      </c>
      <c r="Y13" s="15">
        <v>16.129032258064498</v>
      </c>
      <c r="Z13" s="15">
        <v>18.421052631578899</v>
      </c>
      <c r="AA13" s="32">
        <v>8.5761791880309008</v>
      </c>
      <c r="AB13" s="15">
        <v>6.4516129032258096</v>
      </c>
      <c r="AC13" s="15">
        <v>15.141955835962101</v>
      </c>
      <c r="AD13" s="15">
        <v>9.0128755364806903</v>
      </c>
      <c r="AE13" s="15">
        <v>11.0032362459547</v>
      </c>
      <c r="AF13" s="15">
        <v>7.3235685752330202</v>
      </c>
      <c r="AG13" s="15">
        <v>8.7947882736156409</v>
      </c>
      <c r="AH13" s="15">
        <v>10.676156583629901</v>
      </c>
      <c r="AI13" s="26" t="s">
        <v>80</v>
      </c>
      <c r="AJ13" s="38"/>
    </row>
    <row r="14" spans="1:36">
      <c r="A14" s="9" t="s">
        <v>163</v>
      </c>
      <c r="B14" s="36">
        <v>14.627234360471499</v>
      </c>
      <c r="C14" s="32">
        <v>14.0602365334792</v>
      </c>
      <c r="D14" s="32">
        <v>13.4057672233104</v>
      </c>
      <c r="E14" s="32">
        <v>14.9592889391544</v>
      </c>
      <c r="F14" s="15">
        <v>15.5737704918033</v>
      </c>
      <c r="G14" s="15">
        <v>16.9491525423729</v>
      </c>
      <c r="H14" s="15">
        <v>12.048192771084301</v>
      </c>
      <c r="I14" s="15">
        <v>7.7777777777777803</v>
      </c>
      <c r="J14" s="15">
        <v>10.714285714285699</v>
      </c>
      <c r="K14" s="20" t="s">
        <v>80</v>
      </c>
      <c r="L14" s="15">
        <v>6.7961165048543704</v>
      </c>
      <c r="M14" s="15">
        <v>14.814814814814801</v>
      </c>
      <c r="N14" s="15">
        <v>8.4745762711864394</v>
      </c>
      <c r="O14" s="20" t="s">
        <v>80</v>
      </c>
      <c r="P14" s="15">
        <v>14.634146341463399</v>
      </c>
      <c r="Q14" s="15">
        <v>15.9509202453988</v>
      </c>
      <c r="R14" s="15">
        <v>11.363636363636401</v>
      </c>
      <c r="S14" s="15">
        <v>16.2162162162162</v>
      </c>
      <c r="T14" s="15">
        <v>23.6111111111111</v>
      </c>
      <c r="U14" s="15">
        <v>18.8524590163934</v>
      </c>
      <c r="V14" s="15">
        <v>22.972972972973</v>
      </c>
      <c r="W14" s="15">
        <v>25</v>
      </c>
      <c r="X14" s="15">
        <v>15.7608695652174</v>
      </c>
      <c r="Y14" s="15">
        <v>3.87096774193548</v>
      </c>
      <c r="Z14" s="15">
        <v>21.9298245614035</v>
      </c>
      <c r="AA14" s="32">
        <v>12.1141631613692</v>
      </c>
      <c r="AB14" s="15">
        <v>13.548387096774199</v>
      </c>
      <c r="AC14" s="15">
        <v>10.410094637224001</v>
      </c>
      <c r="AD14" s="15">
        <v>16.309012875536499</v>
      </c>
      <c r="AE14" s="15">
        <v>11.6504854368932</v>
      </c>
      <c r="AF14" s="15">
        <v>10.9187749667111</v>
      </c>
      <c r="AG14" s="15">
        <v>13.6807817589577</v>
      </c>
      <c r="AH14" s="15">
        <v>13.8790035587189</v>
      </c>
      <c r="AI14" s="26" t="s">
        <v>80</v>
      </c>
      <c r="AJ14" s="38"/>
    </row>
    <row r="15" spans="1:36">
      <c r="A15" s="9" t="s">
        <v>164</v>
      </c>
      <c r="B15" s="36">
        <v>8.5928605591753797</v>
      </c>
      <c r="C15" s="32">
        <v>8.3434739885976104</v>
      </c>
      <c r="D15" s="32">
        <v>8.0925718332791394</v>
      </c>
      <c r="E15" s="32">
        <v>8.6447205734269907</v>
      </c>
      <c r="F15" s="20" t="s">
        <v>80</v>
      </c>
      <c r="G15" s="15">
        <v>10.1694915254237</v>
      </c>
      <c r="H15" s="15">
        <v>10.8433734939759</v>
      </c>
      <c r="I15" s="15">
        <v>8.8888888888888893</v>
      </c>
      <c r="J15" s="15">
        <v>10.714285714285699</v>
      </c>
      <c r="K15" s="20" t="s">
        <v>80</v>
      </c>
      <c r="L15" s="15">
        <v>12.621359223301001</v>
      </c>
      <c r="M15" s="20" t="s">
        <v>80</v>
      </c>
      <c r="N15" s="15">
        <v>10.1694915254237</v>
      </c>
      <c r="O15" s="20" t="s">
        <v>80</v>
      </c>
      <c r="P15" s="15">
        <v>12.1951219512195</v>
      </c>
      <c r="Q15" s="15">
        <v>6.74846625766871</v>
      </c>
      <c r="R15" s="15">
        <v>7.9545454545454497</v>
      </c>
      <c r="S15" s="20" t="s">
        <v>80</v>
      </c>
      <c r="T15" s="15">
        <v>6.9444444444444402</v>
      </c>
      <c r="U15" s="15">
        <v>4.0983606557377001</v>
      </c>
      <c r="V15" s="15">
        <v>16.2162162162162</v>
      </c>
      <c r="W15" s="20" t="s">
        <v>80</v>
      </c>
      <c r="X15" s="15">
        <v>9.2391304347826093</v>
      </c>
      <c r="Y15" s="15">
        <v>9.67741935483871</v>
      </c>
      <c r="Z15" s="15">
        <v>14.912280701754399</v>
      </c>
      <c r="AA15" s="32">
        <v>7.6335132000476804</v>
      </c>
      <c r="AB15" s="15">
        <v>9.0322580645161299</v>
      </c>
      <c r="AC15" s="15">
        <v>5.3627760252365899</v>
      </c>
      <c r="AD15" s="15">
        <v>7.7253218884120196</v>
      </c>
      <c r="AE15" s="15">
        <v>8.4142394822006494</v>
      </c>
      <c r="AF15" s="15">
        <v>7.8561917443408804</v>
      </c>
      <c r="AG15" s="15">
        <v>10.4234527687296</v>
      </c>
      <c r="AH15" s="15">
        <v>9.2526690391459105</v>
      </c>
      <c r="AI15" s="26" t="s">
        <v>80</v>
      </c>
      <c r="AJ15" s="38"/>
    </row>
    <row r="16" spans="1:36">
      <c r="A16" s="9" t="s">
        <v>165</v>
      </c>
      <c r="B16" s="36">
        <v>5.7324915437842803</v>
      </c>
      <c r="C16" s="32">
        <v>5.5859116838301803</v>
      </c>
      <c r="D16" s="32">
        <v>5.98130747017602</v>
      </c>
      <c r="E16" s="32">
        <v>7.7403306124149998</v>
      </c>
      <c r="F16" s="20" t="s">
        <v>80</v>
      </c>
      <c r="G16" s="20" t="s">
        <v>80</v>
      </c>
      <c r="H16" s="20" t="s">
        <v>80</v>
      </c>
      <c r="I16" s="15">
        <v>6.6666666666666696</v>
      </c>
      <c r="J16" s="15">
        <v>10.714285714285699</v>
      </c>
      <c r="K16" s="20" t="s">
        <v>80</v>
      </c>
      <c r="L16" s="15">
        <v>6.7961165048543704</v>
      </c>
      <c r="M16" s="20" t="s">
        <v>80</v>
      </c>
      <c r="N16" s="20" t="s">
        <v>80</v>
      </c>
      <c r="O16" s="20" t="s">
        <v>80</v>
      </c>
      <c r="P16" s="15">
        <v>10.975609756097599</v>
      </c>
      <c r="Q16" s="15">
        <v>3.6809815950920202</v>
      </c>
      <c r="R16" s="15">
        <v>10.2272727272727</v>
      </c>
      <c r="S16" s="15">
        <v>6.7567567567567597</v>
      </c>
      <c r="T16" s="15">
        <v>9.7222222222222197</v>
      </c>
      <c r="U16" s="15">
        <v>5.7377049180327901</v>
      </c>
      <c r="V16" s="15">
        <v>12.1621621621622</v>
      </c>
      <c r="W16" s="15">
        <v>11.363636363636401</v>
      </c>
      <c r="X16" s="15">
        <v>7.0652173913043503</v>
      </c>
      <c r="Y16" s="15">
        <v>13.548387096774199</v>
      </c>
      <c r="Z16" s="15">
        <v>20.175438596491201</v>
      </c>
      <c r="AA16" s="32">
        <v>4.5188487144383798</v>
      </c>
      <c r="AB16" s="20" t="s">
        <v>80</v>
      </c>
      <c r="AC16" s="15">
        <v>5.6782334384858002</v>
      </c>
      <c r="AD16" s="15">
        <v>6.4377682403433498</v>
      </c>
      <c r="AE16" s="15">
        <v>5.8252427184466002</v>
      </c>
      <c r="AF16" s="15">
        <v>4.1278295605858899</v>
      </c>
      <c r="AG16" s="15">
        <v>6.1889250814332204</v>
      </c>
      <c r="AH16" s="15">
        <v>4.9822064056939501</v>
      </c>
      <c r="AI16" s="26" t="s">
        <v>80</v>
      </c>
      <c r="AJ16" s="38"/>
    </row>
    <row r="17" spans="1:36">
      <c r="A17" s="9" t="s">
        <v>166</v>
      </c>
      <c r="B17" s="36">
        <v>9.8846775743843907</v>
      </c>
      <c r="C17" s="32">
        <v>9.0132857489868492</v>
      </c>
      <c r="D17" s="32">
        <v>10.062824269216801</v>
      </c>
      <c r="E17" s="32">
        <v>12.9090175050389</v>
      </c>
      <c r="F17" s="15">
        <v>9.0163934426229506</v>
      </c>
      <c r="G17" s="15">
        <v>10.1694915254237</v>
      </c>
      <c r="H17" s="15">
        <v>16.867469879518101</v>
      </c>
      <c r="I17" s="15">
        <v>11.1111111111111</v>
      </c>
      <c r="J17" s="15">
        <v>12.5</v>
      </c>
      <c r="K17" s="20" t="s">
        <v>80</v>
      </c>
      <c r="L17" s="20" t="s">
        <v>80</v>
      </c>
      <c r="M17" s="20" t="s">
        <v>80</v>
      </c>
      <c r="N17" s="15">
        <v>10.1694915254237</v>
      </c>
      <c r="O17" s="15">
        <v>15.789473684210501</v>
      </c>
      <c r="P17" s="15">
        <v>15.853658536585399</v>
      </c>
      <c r="Q17" s="15">
        <v>15.3374233128834</v>
      </c>
      <c r="R17" s="15">
        <v>11.363636363636401</v>
      </c>
      <c r="S17" s="15">
        <v>13.5135135135135</v>
      </c>
      <c r="T17" s="15">
        <v>19.4444444444444</v>
      </c>
      <c r="U17" s="15">
        <v>12.2950819672131</v>
      </c>
      <c r="V17" s="15">
        <v>9.4594594594594597</v>
      </c>
      <c r="W17" s="15">
        <v>13.636363636363599</v>
      </c>
      <c r="X17" s="15">
        <v>7.6086956521739104</v>
      </c>
      <c r="Y17" s="15">
        <v>18.064516129032299</v>
      </c>
      <c r="Z17" s="15">
        <v>14.912280701754399</v>
      </c>
      <c r="AA17" s="32">
        <v>7.6964880236622601</v>
      </c>
      <c r="AB17" s="15">
        <v>10.322580645161301</v>
      </c>
      <c r="AC17" s="15">
        <v>3.7854889589905398</v>
      </c>
      <c r="AD17" s="15">
        <v>11.587982832618</v>
      </c>
      <c r="AE17" s="15">
        <v>9.7087378640776691</v>
      </c>
      <c r="AF17" s="15">
        <v>9.0545938748335608</v>
      </c>
      <c r="AG17" s="15">
        <v>10.7491856677524</v>
      </c>
      <c r="AH17" s="15">
        <v>4.9822064056939501</v>
      </c>
      <c r="AI17" s="26" t="s">
        <v>80</v>
      </c>
      <c r="AJ17" s="38"/>
    </row>
    <row r="18" spans="1:36">
      <c r="A18" s="9" t="s">
        <v>167</v>
      </c>
      <c r="B18" s="36">
        <v>5.4093888466835098</v>
      </c>
      <c r="C18" s="32">
        <v>5.79972341680506</v>
      </c>
      <c r="D18" s="32">
        <v>6.03028787346451</v>
      </c>
      <c r="E18" s="32">
        <v>6.8026897151839201</v>
      </c>
      <c r="F18" s="15">
        <v>10.655737704918</v>
      </c>
      <c r="G18" s="20" t="s">
        <v>80</v>
      </c>
      <c r="H18" s="15">
        <v>8.4337349397590398</v>
      </c>
      <c r="I18" s="20" t="s">
        <v>80</v>
      </c>
      <c r="J18" s="20" t="s">
        <v>80</v>
      </c>
      <c r="K18" s="20" t="s">
        <v>80</v>
      </c>
      <c r="L18" s="20" t="s">
        <v>80</v>
      </c>
      <c r="M18" s="20" t="s">
        <v>80</v>
      </c>
      <c r="N18" s="20" t="s">
        <v>80</v>
      </c>
      <c r="O18" s="20" t="s">
        <v>80</v>
      </c>
      <c r="P18" s="15">
        <v>9.7560975609756095</v>
      </c>
      <c r="Q18" s="15">
        <v>5.5214723926380396</v>
      </c>
      <c r="R18" s="15">
        <v>9.0909090909090899</v>
      </c>
      <c r="S18" s="15">
        <v>8.1081081081081106</v>
      </c>
      <c r="T18" s="15">
        <v>9.7222222222222197</v>
      </c>
      <c r="U18" s="15">
        <v>5.7377049180327901</v>
      </c>
      <c r="V18" s="15">
        <v>12.1621621621622</v>
      </c>
      <c r="W18" s="20" t="s">
        <v>80</v>
      </c>
      <c r="X18" s="15">
        <v>5.9782608695652204</v>
      </c>
      <c r="Y18" s="15">
        <v>6.4516129032258096</v>
      </c>
      <c r="Z18" s="15">
        <v>11.403508771929801</v>
      </c>
      <c r="AA18" s="32">
        <v>5.3881099457013599</v>
      </c>
      <c r="AB18" s="20" t="s">
        <v>80</v>
      </c>
      <c r="AC18" s="15">
        <v>4.41640378548896</v>
      </c>
      <c r="AD18" s="15">
        <v>9.0128755364806903</v>
      </c>
      <c r="AE18" s="15">
        <v>5.8252427184466002</v>
      </c>
      <c r="AF18" s="15">
        <v>5.5925432756324902</v>
      </c>
      <c r="AG18" s="15">
        <v>3.90879478827362</v>
      </c>
      <c r="AH18" s="15">
        <v>5.3380782918149503</v>
      </c>
      <c r="AI18" s="26" t="s">
        <v>80</v>
      </c>
      <c r="AJ18" s="38"/>
    </row>
    <row r="19" spans="1:36">
      <c r="A19" s="9" t="s">
        <v>168</v>
      </c>
      <c r="B19" s="36">
        <v>12.821723986790101</v>
      </c>
      <c r="C19" s="32">
        <v>12.324250155870899</v>
      </c>
      <c r="D19" s="32">
        <v>12.508209335636799</v>
      </c>
      <c r="E19" s="32">
        <v>11.705317620403999</v>
      </c>
      <c r="F19" s="15">
        <v>11.4754098360656</v>
      </c>
      <c r="G19" s="15">
        <v>16.9491525423729</v>
      </c>
      <c r="H19" s="15">
        <v>10.8433734939759</v>
      </c>
      <c r="I19" s="15">
        <v>22.2222222222222</v>
      </c>
      <c r="J19" s="20" t="s">
        <v>80</v>
      </c>
      <c r="K19" s="20" t="s">
        <v>80</v>
      </c>
      <c r="L19" s="15">
        <v>9.7087378640776691</v>
      </c>
      <c r="M19" s="15">
        <v>12.3456790123457</v>
      </c>
      <c r="N19" s="15">
        <v>8.4745762711864394</v>
      </c>
      <c r="O19" s="15">
        <v>14.0350877192982</v>
      </c>
      <c r="P19" s="15">
        <v>15.853658536585399</v>
      </c>
      <c r="Q19" s="15">
        <v>15.3374233128834</v>
      </c>
      <c r="R19" s="15">
        <v>7.9545454545454497</v>
      </c>
      <c r="S19" s="15">
        <v>9.4594594594594597</v>
      </c>
      <c r="T19" s="15">
        <v>6.9444444444444402</v>
      </c>
      <c r="U19" s="15">
        <v>8.1967213114754092</v>
      </c>
      <c r="V19" s="20" t="s">
        <v>80</v>
      </c>
      <c r="W19" s="15">
        <v>13.636363636363599</v>
      </c>
      <c r="X19" s="15">
        <v>13.586956521739101</v>
      </c>
      <c r="Y19" s="15">
        <v>8.3870967741935498</v>
      </c>
      <c r="Z19" s="15">
        <v>14.0350877192982</v>
      </c>
      <c r="AA19" s="32">
        <v>13.1757366641044</v>
      </c>
      <c r="AB19" s="15">
        <v>8.3870967741935498</v>
      </c>
      <c r="AC19" s="15">
        <v>12.933753943217701</v>
      </c>
      <c r="AD19" s="15">
        <v>8.5836909871244593</v>
      </c>
      <c r="AE19" s="15">
        <v>15.5339805825243</v>
      </c>
      <c r="AF19" s="15">
        <v>12.516644474034599</v>
      </c>
      <c r="AG19" s="15">
        <v>12.0521172638436</v>
      </c>
      <c r="AH19" s="15">
        <v>16.3701067615658</v>
      </c>
      <c r="AI19" s="24">
        <v>33.3333333333333</v>
      </c>
      <c r="AJ19" s="38"/>
    </row>
    <row r="20" spans="1:36">
      <c r="A20" s="9" t="s">
        <v>169</v>
      </c>
      <c r="B20" s="36">
        <v>12.6038598136868</v>
      </c>
      <c r="C20" s="32">
        <v>11.845845425044301</v>
      </c>
      <c r="D20" s="32">
        <v>12.9416516705876</v>
      </c>
      <c r="E20" s="32">
        <v>13.997979297865101</v>
      </c>
      <c r="F20" s="15">
        <v>9.0163934426229506</v>
      </c>
      <c r="G20" s="15">
        <v>13.559322033898299</v>
      </c>
      <c r="H20" s="15">
        <v>13.253012048192801</v>
      </c>
      <c r="I20" s="15">
        <v>10</v>
      </c>
      <c r="J20" s="15">
        <v>25</v>
      </c>
      <c r="K20" s="15">
        <v>25</v>
      </c>
      <c r="L20" s="15">
        <v>18.446601941747598</v>
      </c>
      <c r="M20" s="15">
        <v>9.8765432098765409</v>
      </c>
      <c r="N20" s="15">
        <v>13.559322033898299</v>
      </c>
      <c r="O20" s="20" t="s">
        <v>80</v>
      </c>
      <c r="P20" s="15">
        <v>21.951219512195099</v>
      </c>
      <c r="Q20" s="15">
        <v>13.4969325153374</v>
      </c>
      <c r="R20" s="15">
        <v>13.636363636363599</v>
      </c>
      <c r="S20" s="15">
        <v>16.2162162162162</v>
      </c>
      <c r="T20" s="15">
        <v>16.6666666666667</v>
      </c>
      <c r="U20" s="15">
        <v>6.5573770491803298</v>
      </c>
      <c r="V20" s="15">
        <v>12.1621621621622</v>
      </c>
      <c r="W20" s="15">
        <v>19.318181818181799</v>
      </c>
      <c r="X20" s="15">
        <v>11.9565217391304</v>
      </c>
      <c r="Y20" s="15">
        <v>21.290322580645199</v>
      </c>
      <c r="Z20" s="15">
        <v>22.8070175438597</v>
      </c>
      <c r="AA20" s="32">
        <v>12.0634167285089</v>
      </c>
      <c r="AB20" s="15">
        <v>7.7419354838709697</v>
      </c>
      <c r="AC20" s="15">
        <v>14.5110410094637</v>
      </c>
      <c r="AD20" s="15">
        <v>11.587982832618</v>
      </c>
      <c r="AE20" s="15">
        <v>12.2977346278317</v>
      </c>
      <c r="AF20" s="15">
        <v>14.114513981358201</v>
      </c>
      <c r="AG20" s="15">
        <v>14.332247557003299</v>
      </c>
      <c r="AH20" s="15">
        <v>12.0996441281139</v>
      </c>
      <c r="AI20" s="26" t="s">
        <v>80</v>
      </c>
      <c r="AJ20" s="38"/>
    </row>
    <row r="21" spans="1:36">
      <c r="A21" s="9" t="s">
        <v>170</v>
      </c>
      <c r="B21" s="36">
        <v>5.4283707713785097</v>
      </c>
      <c r="C21" s="32">
        <v>5.2949275589697598</v>
      </c>
      <c r="D21" s="32">
        <v>5.29422606511684</v>
      </c>
      <c r="E21" s="32">
        <v>5.9314299986265002</v>
      </c>
      <c r="F21" s="20" t="s">
        <v>80</v>
      </c>
      <c r="G21" s="20" t="s">
        <v>80</v>
      </c>
      <c r="H21" s="15">
        <v>9.6385542168674707</v>
      </c>
      <c r="I21" s="15">
        <v>6.6666666666666696</v>
      </c>
      <c r="J21" s="15">
        <v>8.9285714285714306</v>
      </c>
      <c r="K21" s="20" t="s">
        <v>80</v>
      </c>
      <c r="L21" s="20" t="s">
        <v>80</v>
      </c>
      <c r="M21" s="20" t="s">
        <v>80</v>
      </c>
      <c r="N21" s="20" t="s">
        <v>80</v>
      </c>
      <c r="O21" s="20" t="s">
        <v>80</v>
      </c>
      <c r="P21" s="15">
        <v>6.0975609756097597</v>
      </c>
      <c r="Q21" s="15">
        <v>3.6809815950920202</v>
      </c>
      <c r="R21" s="20" t="s">
        <v>80</v>
      </c>
      <c r="S21" s="15">
        <v>6.7567567567567597</v>
      </c>
      <c r="T21" s="20" t="s">
        <v>80</v>
      </c>
      <c r="U21" s="15">
        <v>4.0983606557377001</v>
      </c>
      <c r="V21" s="15">
        <v>6.7567567567567597</v>
      </c>
      <c r="W21" s="20" t="s">
        <v>80</v>
      </c>
      <c r="X21" s="15">
        <v>7.0652173913043503</v>
      </c>
      <c r="Y21" s="15">
        <v>7.7419354838709697</v>
      </c>
      <c r="Z21" s="15">
        <v>14.912280701754399</v>
      </c>
      <c r="AA21" s="32">
        <v>4.7644522097453201</v>
      </c>
      <c r="AB21" s="15">
        <v>3.2258064516128999</v>
      </c>
      <c r="AC21" s="15">
        <v>3.7854889589905398</v>
      </c>
      <c r="AD21" s="15">
        <v>5.15021459227468</v>
      </c>
      <c r="AE21" s="15">
        <v>6.4724919093851101</v>
      </c>
      <c r="AF21" s="15">
        <v>4.3941411451398098</v>
      </c>
      <c r="AG21" s="15">
        <v>6.5146579804560298</v>
      </c>
      <c r="AH21" s="15">
        <v>6.04982206405694</v>
      </c>
      <c r="AI21" s="26" t="s">
        <v>80</v>
      </c>
      <c r="AJ21" s="38"/>
    </row>
    <row r="22" spans="1:36">
      <c r="A22" s="9" t="s">
        <v>171</v>
      </c>
      <c r="B22" s="36">
        <v>10.8232154664533</v>
      </c>
      <c r="C22" s="32">
        <v>10.6493811449484</v>
      </c>
      <c r="D22" s="32">
        <v>11.4128194671051</v>
      </c>
      <c r="E22" s="32">
        <v>15.989294973063499</v>
      </c>
      <c r="F22" s="15">
        <v>6.5573770491803298</v>
      </c>
      <c r="G22" s="15">
        <v>15.254237288135601</v>
      </c>
      <c r="H22" s="15">
        <v>15.662650602409601</v>
      </c>
      <c r="I22" s="15">
        <v>8.8888888888888893</v>
      </c>
      <c r="J22" s="15">
        <v>30.3571428571429</v>
      </c>
      <c r="K22" s="15">
        <v>19.4444444444444</v>
      </c>
      <c r="L22" s="15">
        <v>12.621359223301001</v>
      </c>
      <c r="M22" s="15">
        <v>11.1111111111111</v>
      </c>
      <c r="N22" s="15">
        <v>10.1694915254237</v>
      </c>
      <c r="O22" s="15">
        <v>15.789473684210501</v>
      </c>
      <c r="P22" s="15">
        <v>13.4146341463415</v>
      </c>
      <c r="Q22" s="15">
        <v>14.1104294478528</v>
      </c>
      <c r="R22" s="15">
        <v>17.045454545454501</v>
      </c>
      <c r="S22" s="15">
        <v>20.270270270270299</v>
      </c>
      <c r="T22" s="15">
        <v>15.2777777777778</v>
      </c>
      <c r="U22" s="15">
        <v>13.1147540983607</v>
      </c>
      <c r="V22" s="15">
        <v>21.6216216216216</v>
      </c>
      <c r="W22" s="15">
        <v>31.818181818181799</v>
      </c>
      <c r="X22" s="15">
        <v>14.130434782608701</v>
      </c>
      <c r="Y22" s="15">
        <v>21.935483870967701</v>
      </c>
      <c r="Z22" s="15">
        <v>30.7017543859649</v>
      </c>
      <c r="AA22" s="32">
        <v>7.60791973986868</v>
      </c>
      <c r="AB22" s="15">
        <v>7.7419354838709697</v>
      </c>
      <c r="AC22" s="15">
        <v>6.3091482649842296</v>
      </c>
      <c r="AD22" s="15">
        <v>9.0128755364806903</v>
      </c>
      <c r="AE22" s="15">
        <v>9.3851132686084107</v>
      </c>
      <c r="AF22" s="15">
        <v>6.2583222370173104</v>
      </c>
      <c r="AG22" s="15">
        <v>13.029315960912101</v>
      </c>
      <c r="AH22" s="15">
        <v>8.1850533807829198</v>
      </c>
      <c r="AI22" s="26" t="s">
        <v>80</v>
      </c>
      <c r="AJ22" s="38"/>
    </row>
    <row r="23" spans="1:36">
      <c r="A23" s="9" t="s">
        <v>172</v>
      </c>
      <c r="B23" s="36">
        <v>7.2788847199500397</v>
      </c>
      <c r="C23" s="32">
        <v>7.5087096531186202</v>
      </c>
      <c r="D23" s="32">
        <v>7.3517988330812196</v>
      </c>
      <c r="E23" s="32">
        <v>8.1722882045310001</v>
      </c>
      <c r="F23" s="15">
        <v>10.655737704918</v>
      </c>
      <c r="G23" s="15">
        <v>10.1694915254237</v>
      </c>
      <c r="H23" s="15">
        <v>6.0240963855421699</v>
      </c>
      <c r="I23" s="15">
        <v>11.1111111111111</v>
      </c>
      <c r="J23" s="20" t="s">
        <v>80</v>
      </c>
      <c r="K23" s="20" t="s">
        <v>80</v>
      </c>
      <c r="L23" s="20" t="s">
        <v>80</v>
      </c>
      <c r="M23" s="20" t="s">
        <v>80</v>
      </c>
      <c r="N23" s="20" t="s">
        <v>80</v>
      </c>
      <c r="O23" s="20" t="s">
        <v>80</v>
      </c>
      <c r="P23" s="15">
        <v>7.3170731707317103</v>
      </c>
      <c r="Q23" s="15">
        <v>7.3619631901840501</v>
      </c>
      <c r="R23" s="15">
        <v>7.9545454545454497</v>
      </c>
      <c r="S23" s="15">
        <v>16.2162162162162</v>
      </c>
      <c r="T23" s="20" t="s">
        <v>80</v>
      </c>
      <c r="U23" s="15">
        <v>5.7377049180327901</v>
      </c>
      <c r="V23" s="15">
        <v>8.1081081081081106</v>
      </c>
      <c r="W23" s="15">
        <v>7.9545454545454497</v>
      </c>
      <c r="X23" s="15">
        <v>9.2391304347826093</v>
      </c>
      <c r="Y23" s="15">
        <v>6.4516129032258096</v>
      </c>
      <c r="Z23" s="15">
        <v>9.6491228070175392</v>
      </c>
      <c r="AA23" s="32">
        <v>6.6696407440528596</v>
      </c>
      <c r="AB23" s="15">
        <v>7.7419354838709697</v>
      </c>
      <c r="AC23" s="15">
        <v>7.8864353312302802</v>
      </c>
      <c r="AD23" s="15">
        <v>8.1545064377682408</v>
      </c>
      <c r="AE23" s="15">
        <v>5.5016181229773498</v>
      </c>
      <c r="AF23" s="15">
        <v>6.3914780292942703</v>
      </c>
      <c r="AG23" s="15">
        <v>8.1433224755700309</v>
      </c>
      <c r="AH23" s="15">
        <v>7.1174377224199299</v>
      </c>
      <c r="AI23" s="26" t="s">
        <v>80</v>
      </c>
      <c r="AJ23" s="38"/>
    </row>
    <row r="24" spans="1:36">
      <c r="A24" s="9" t="s">
        <v>173</v>
      </c>
      <c r="B24" s="36">
        <v>4.4512455467420997</v>
      </c>
      <c r="C24" s="32">
        <v>4.3088989391367303</v>
      </c>
      <c r="D24" s="32">
        <v>4.4186924703274499</v>
      </c>
      <c r="E24" s="32">
        <v>5.4116623797103296</v>
      </c>
      <c r="F24" s="20" t="s">
        <v>80</v>
      </c>
      <c r="G24" s="15">
        <v>10.1694915254237</v>
      </c>
      <c r="H24" s="15">
        <v>6.0240963855421699</v>
      </c>
      <c r="I24" s="15">
        <v>12.2222222222222</v>
      </c>
      <c r="J24" s="20" t="s">
        <v>80</v>
      </c>
      <c r="K24" s="20" t="s">
        <v>80</v>
      </c>
      <c r="L24" s="15">
        <v>8.7378640776699008</v>
      </c>
      <c r="M24" s="20" t="s">
        <v>80</v>
      </c>
      <c r="N24" s="20" t="s">
        <v>80</v>
      </c>
      <c r="O24" s="20" t="s">
        <v>80</v>
      </c>
      <c r="P24" s="15">
        <v>8.5365853658536608</v>
      </c>
      <c r="Q24" s="15">
        <v>8.5889570552147205</v>
      </c>
      <c r="R24" s="20" t="s">
        <v>80</v>
      </c>
      <c r="S24" s="20" t="s">
        <v>80</v>
      </c>
      <c r="T24" s="20" t="s">
        <v>80</v>
      </c>
      <c r="U24" s="20" t="s">
        <v>80</v>
      </c>
      <c r="V24" s="20" t="s">
        <v>80</v>
      </c>
      <c r="W24" s="15">
        <v>11.363636363636401</v>
      </c>
      <c r="X24" s="15">
        <v>6.5217391304347796</v>
      </c>
      <c r="Y24" s="15">
        <v>5.8064516129032304</v>
      </c>
      <c r="Z24" s="15">
        <v>8.7719298245614006</v>
      </c>
      <c r="AA24" s="32">
        <v>3.5931333839855801</v>
      </c>
      <c r="AB24" s="15">
        <v>5.8064516129032304</v>
      </c>
      <c r="AC24" s="15">
        <v>3.47003154574133</v>
      </c>
      <c r="AD24" s="15">
        <v>2.1459227467811202</v>
      </c>
      <c r="AE24" s="15">
        <v>4.2071197411003203</v>
      </c>
      <c r="AF24" s="15">
        <v>3.0625832223701699</v>
      </c>
      <c r="AG24" s="15">
        <v>4.5602605863192203</v>
      </c>
      <c r="AH24" s="15">
        <v>4.2704626334519604</v>
      </c>
      <c r="AI24" s="26" t="s">
        <v>80</v>
      </c>
      <c r="AJ24" s="38"/>
    </row>
    <row r="25" spans="1:36">
      <c r="A25" s="9" t="s">
        <v>174</v>
      </c>
      <c r="B25" s="36">
        <v>3.2530387665106701</v>
      </c>
      <c r="C25" s="32">
        <v>3.1942850945255299</v>
      </c>
      <c r="D25" s="32">
        <v>3.8367740058777602</v>
      </c>
      <c r="E25" s="32">
        <v>5.01832396866849</v>
      </c>
      <c r="F25" s="20" t="s">
        <v>80</v>
      </c>
      <c r="G25" s="20" t="s">
        <v>80</v>
      </c>
      <c r="H25" s="15">
        <v>7.2289156626505999</v>
      </c>
      <c r="I25" s="20" t="s">
        <v>80</v>
      </c>
      <c r="J25" s="20" t="s">
        <v>80</v>
      </c>
      <c r="K25" s="20" t="s">
        <v>80</v>
      </c>
      <c r="L25" s="15">
        <v>4.8543689320388301</v>
      </c>
      <c r="M25" s="20" t="s">
        <v>80</v>
      </c>
      <c r="N25" s="20" t="s">
        <v>80</v>
      </c>
      <c r="O25" s="20" t="s">
        <v>80</v>
      </c>
      <c r="P25" s="20" t="s">
        <v>80</v>
      </c>
      <c r="Q25" s="20" t="s">
        <v>80</v>
      </c>
      <c r="R25" s="20" t="s">
        <v>80</v>
      </c>
      <c r="S25" s="20" t="s">
        <v>80</v>
      </c>
      <c r="T25" s="15">
        <v>9.7222222222222197</v>
      </c>
      <c r="U25" s="20" t="s">
        <v>80</v>
      </c>
      <c r="V25" s="20" t="s">
        <v>80</v>
      </c>
      <c r="W25" s="15">
        <v>12.5</v>
      </c>
      <c r="X25" s="15">
        <v>4.8913043478260896</v>
      </c>
      <c r="Y25" s="15">
        <v>9.67741935483871</v>
      </c>
      <c r="Z25" s="15">
        <v>9.6491228070175392</v>
      </c>
      <c r="AA25" s="32">
        <v>2.8544287217643598</v>
      </c>
      <c r="AB25" s="20" t="s">
        <v>80</v>
      </c>
      <c r="AC25" s="15">
        <v>2.20820189274448</v>
      </c>
      <c r="AD25" s="15">
        <v>4.2918454935622297</v>
      </c>
      <c r="AE25" s="15">
        <v>4.2071197411003203</v>
      </c>
      <c r="AF25" s="15">
        <v>2.79627163781625</v>
      </c>
      <c r="AG25" s="15">
        <v>5.2117263843648196</v>
      </c>
      <c r="AH25" s="15">
        <v>3.2028469750889701</v>
      </c>
      <c r="AI25" s="26" t="s">
        <v>80</v>
      </c>
      <c r="AJ25" s="38"/>
    </row>
    <row r="26" spans="1:36">
      <c r="A26" s="9" t="s">
        <v>175</v>
      </c>
      <c r="B26" s="36">
        <v>11.558222336867599</v>
      </c>
      <c r="C26" s="32">
        <v>11.1463304267302</v>
      </c>
      <c r="D26" s="32">
        <v>11.435252245272</v>
      </c>
      <c r="E26" s="32">
        <v>14.3742078316931</v>
      </c>
      <c r="F26" s="15">
        <v>12.2950819672131</v>
      </c>
      <c r="G26" s="15">
        <v>10.1694915254237</v>
      </c>
      <c r="H26" s="15">
        <v>14.4578313253012</v>
      </c>
      <c r="I26" s="15">
        <v>10</v>
      </c>
      <c r="J26" s="15">
        <v>25</v>
      </c>
      <c r="K26" s="15">
        <v>19.4444444444444</v>
      </c>
      <c r="L26" s="15">
        <v>9.7087378640776691</v>
      </c>
      <c r="M26" s="15">
        <v>7.4074074074074101</v>
      </c>
      <c r="N26" s="15">
        <v>13.559322033898299</v>
      </c>
      <c r="O26" s="15">
        <v>10.526315789473699</v>
      </c>
      <c r="P26" s="15">
        <v>15.853658536585399</v>
      </c>
      <c r="Q26" s="15">
        <v>15.3374233128834</v>
      </c>
      <c r="R26" s="15">
        <v>10.2272727272727</v>
      </c>
      <c r="S26" s="15">
        <v>16.2162162162162</v>
      </c>
      <c r="T26" s="15">
        <v>18.0555555555556</v>
      </c>
      <c r="U26" s="15">
        <v>12.2950819672131</v>
      </c>
      <c r="V26" s="15">
        <v>20.270270270270299</v>
      </c>
      <c r="W26" s="15">
        <v>30.681818181818201</v>
      </c>
      <c r="X26" s="15">
        <v>9.2391304347826093</v>
      </c>
      <c r="Y26" s="15">
        <v>14.8387096774194</v>
      </c>
      <c r="Z26" s="15">
        <v>26.315789473684202</v>
      </c>
      <c r="AA26" s="32">
        <v>8.9917930167510001</v>
      </c>
      <c r="AB26" s="15">
        <v>5.8064516129032304</v>
      </c>
      <c r="AC26" s="15">
        <v>8.5173501577287105</v>
      </c>
      <c r="AD26" s="15">
        <v>9.4420600858369106</v>
      </c>
      <c r="AE26" s="15">
        <v>9.3851132686084107</v>
      </c>
      <c r="AF26" s="15">
        <v>10.386151797603199</v>
      </c>
      <c r="AG26" s="15">
        <v>10.4234527687296</v>
      </c>
      <c r="AH26" s="15">
        <v>9.6085409252668992</v>
      </c>
      <c r="AI26" s="24">
        <v>27.7777777777778</v>
      </c>
      <c r="AJ26" s="38"/>
    </row>
    <row r="27" spans="1:36">
      <c r="A27" s="9" t="s">
        <v>176</v>
      </c>
      <c r="B27" s="36">
        <v>9.58892706314737</v>
      </c>
      <c r="C27" s="32">
        <v>9.9181563306815406</v>
      </c>
      <c r="D27" s="32">
        <v>10.0199736346084</v>
      </c>
      <c r="E27" s="32">
        <v>11.437887133408999</v>
      </c>
      <c r="F27" s="15">
        <v>10.655737704918</v>
      </c>
      <c r="G27" s="15">
        <v>11.864406779661</v>
      </c>
      <c r="H27" s="15">
        <v>7.2289156626505999</v>
      </c>
      <c r="I27" s="15">
        <v>7.7777777777777803</v>
      </c>
      <c r="J27" s="15">
        <v>17.8571428571429</v>
      </c>
      <c r="K27" s="20" t="s">
        <v>80</v>
      </c>
      <c r="L27" s="20" t="s">
        <v>80</v>
      </c>
      <c r="M27" s="15">
        <v>9.8765432098765409</v>
      </c>
      <c r="N27" s="15">
        <v>10.1694915254237</v>
      </c>
      <c r="O27" s="15">
        <v>17.543859649122801</v>
      </c>
      <c r="P27" s="15">
        <v>9.7560975609756095</v>
      </c>
      <c r="Q27" s="15">
        <v>4.2944785276073603</v>
      </c>
      <c r="R27" s="15">
        <v>17.045454545454501</v>
      </c>
      <c r="S27" s="15">
        <v>13.5135135135135</v>
      </c>
      <c r="T27" s="15">
        <v>13.8888888888889</v>
      </c>
      <c r="U27" s="15">
        <v>14.7540983606557</v>
      </c>
      <c r="V27" s="15">
        <v>14.8648648648649</v>
      </c>
      <c r="W27" s="15">
        <v>15.909090909090899</v>
      </c>
      <c r="X27" s="15">
        <v>13.0434782608696</v>
      </c>
      <c r="Y27" s="15">
        <v>9.67741935483871</v>
      </c>
      <c r="Z27" s="15">
        <v>21.9298245614035</v>
      </c>
      <c r="AA27" s="32">
        <v>8.8411147774360206</v>
      </c>
      <c r="AB27" s="15">
        <v>12.9032258064516</v>
      </c>
      <c r="AC27" s="15">
        <v>9.4637223974763405</v>
      </c>
      <c r="AD27" s="15">
        <v>10.7296137339056</v>
      </c>
      <c r="AE27" s="15">
        <v>10.6796116504854</v>
      </c>
      <c r="AF27" s="15">
        <v>8.2556591211717691</v>
      </c>
      <c r="AG27" s="15">
        <v>9.4462540716612402</v>
      </c>
      <c r="AH27" s="15">
        <v>11.7437722419929</v>
      </c>
      <c r="AI27" s="26" t="s">
        <v>80</v>
      </c>
      <c r="AJ27" s="38"/>
    </row>
    <row r="28" spans="1:36">
      <c r="A28" s="9" t="s">
        <v>177</v>
      </c>
      <c r="B28" s="36">
        <v>17.599537843594899</v>
      </c>
      <c r="C28" s="32">
        <v>17.120797378836599</v>
      </c>
      <c r="D28" s="32">
        <v>18.997033717936802</v>
      </c>
      <c r="E28" s="32">
        <v>22.7346919373623</v>
      </c>
      <c r="F28" s="15">
        <v>19.672131147540998</v>
      </c>
      <c r="G28" s="15">
        <v>27.118644067796598</v>
      </c>
      <c r="H28" s="15">
        <v>21.6867469879518</v>
      </c>
      <c r="I28" s="15">
        <v>15.5555555555556</v>
      </c>
      <c r="J28" s="15">
        <v>28.571428571428601</v>
      </c>
      <c r="K28" s="15">
        <v>25</v>
      </c>
      <c r="L28" s="15">
        <v>13.5922330097087</v>
      </c>
      <c r="M28" s="15">
        <v>22.2222222222222</v>
      </c>
      <c r="N28" s="15">
        <v>15.254237288135601</v>
      </c>
      <c r="O28" s="15">
        <v>17.543859649122801</v>
      </c>
      <c r="P28" s="15">
        <v>15.853658536585399</v>
      </c>
      <c r="Q28" s="15">
        <v>15.3374233128834</v>
      </c>
      <c r="R28" s="15">
        <v>27.272727272727298</v>
      </c>
      <c r="S28" s="15">
        <v>22.972972972973</v>
      </c>
      <c r="T28" s="15">
        <v>26.3888888888889</v>
      </c>
      <c r="U28" s="15">
        <v>27.0491803278689</v>
      </c>
      <c r="V28" s="15">
        <v>28.3783783783784</v>
      </c>
      <c r="W28" s="15">
        <v>42.045454545454497</v>
      </c>
      <c r="X28" s="15">
        <v>23.369565217391301</v>
      </c>
      <c r="Y28" s="15">
        <v>22.580645161290299</v>
      </c>
      <c r="Z28" s="15">
        <v>35.087719298245602</v>
      </c>
      <c r="AA28" s="32">
        <v>15.8895299803815</v>
      </c>
      <c r="AB28" s="15">
        <v>10.9677419354839</v>
      </c>
      <c r="AC28" s="15">
        <v>11.671924290220799</v>
      </c>
      <c r="AD28" s="15">
        <v>20.171673819742502</v>
      </c>
      <c r="AE28" s="15">
        <v>17.799352750809099</v>
      </c>
      <c r="AF28" s="15">
        <v>17.8428761651132</v>
      </c>
      <c r="AG28" s="15">
        <v>15.3094462540717</v>
      </c>
      <c r="AH28" s="15">
        <v>14.5907473309609</v>
      </c>
      <c r="AI28" s="24">
        <v>33.3333333333333</v>
      </c>
      <c r="AJ28" s="38"/>
    </row>
    <row r="29" spans="1:36">
      <c r="A29" s="9" t="s">
        <v>178</v>
      </c>
      <c r="B29" s="36">
        <v>9.2462001212724996</v>
      </c>
      <c r="C29" s="32">
        <v>8.7129699662323201</v>
      </c>
      <c r="D29" s="32">
        <v>9.1359395629034204</v>
      </c>
      <c r="E29" s="32">
        <v>10.1543017571913</v>
      </c>
      <c r="F29" s="15">
        <v>7.3770491803278704</v>
      </c>
      <c r="G29" s="20" t="s">
        <v>80</v>
      </c>
      <c r="H29" s="15">
        <v>10.8433734939759</v>
      </c>
      <c r="I29" s="15">
        <v>8.8888888888888893</v>
      </c>
      <c r="J29" s="15">
        <v>17.8571428571429</v>
      </c>
      <c r="K29" s="15">
        <v>13.8888888888889</v>
      </c>
      <c r="L29" s="15">
        <v>9.7087378640776691</v>
      </c>
      <c r="M29" s="15">
        <v>12.3456790123457</v>
      </c>
      <c r="N29" s="15">
        <v>10.1694915254237</v>
      </c>
      <c r="O29" s="20" t="s">
        <v>80</v>
      </c>
      <c r="P29" s="15">
        <v>9.7560975609756095</v>
      </c>
      <c r="Q29" s="15">
        <v>7.3619631901840501</v>
      </c>
      <c r="R29" s="20" t="s">
        <v>80</v>
      </c>
      <c r="S29" s="15">
        <v>9.4594594594594597</v>
      </c>
      <c r="T29" s="15">
        <v>11.1111111111111</v>
      </c>
      <c r="U29" s="15">
        <v>7.3770491803278704</v>
      </c>
      <c r="V29" s="15">
        <v>8.1081081081081106</v>
      </c>
      <c r="W29" s="15">
        <v>18.181818181818201</v>
      </c>
      <c r="X29" s="15">
        <v>11.9565217391304</v>
      </c>
      <c r="Y29" s="15">
        <v>14.8387096774194</v>
      </c>
      <c r="Z29" s="15">
        <v>21.052631578947398</v>
      </c>
      <c r="AA29" s="32">
        <v>8.2892692310663705</v>
      </c>
      <c r="AB29" s="15">
        <v>3.87096774193548</v>
      </c>
      <c r="AC29" s="15">
        <v>11.0410094637224</v>
      </c>
      <c r="AD29" s="15">
        <v>7.2961373390557904</v>
      </c>
      <c r="AE29" s="15">
        <v>8.7378640776699008</v>
      </c>
      <c r="AF29" s="15">
        <v>9.5872170439414095</v>
      </c>
      <c r="AG29" s="15">
        <v>12.0521172638436</v>
      </c>
      <c r="AH29" s="15">
        <v>8.8967971530249095</v>
      </c>
      <c r="AI29" s="26" t="s">
        <v>80</v>
      </c>
      <c r="AJ29" s="38"/>
    </row>
    <row r="30" spans="1:36">
      <c r="A30" s="9" t="s">
        <v>179</v>
      </c>
      <c r="B30" s="36">
        <v>10.1101111094081</v>
      </c>
      <c r="C30" s="32">
        <v>10.127537765361399</v>
      </c>
      <c r="D30" s="32">
        <v>11.726605337188101</v>
      </c>
      <c r="E30" s="32">
        <v>11.3619013303757</v>
      </c>
      <c r="F30" s="15">
        <v>6.5573770491803298</v>
      </c>
      <c r="G30" s="15">
        <v>11.864406779661</v>
      </c>
      <c r="H30" s="15">
        <v>13.253012048192801</v>
      </c>
      <c r="I30" s="15">
        <v>11.1111111111111</v>
      </c>
      <c r="J30" s="20" t="s">
        <v>80</v>
      </c>
      <c r="K30" s="20" t="s">
        <v>80</v>
      </c>
      <c r="L30" s="15">
        <v>9.7087378640776691</v>
      </c>
      <c r="M30" s="15">
        <v>9.8765432098765409</v>
      </c>
      <c r="N30" s="15">
        <v>10.1694915254237</v>
      </c>
      <c r="O30" s="20" t="s">
        <v>80</v>
      </c>
      <c r="P30" s="15">
        <v>13.4146341463415</v>
      </c>
      <c r="Q30" s="15">
        <v>10.429447852760701</v>
      </c>
      <c r="R30" s="15">
        <v>10.2272727272727</v>
      </c>
      <c r="S30" s="15">
        <v>16.2162162162162</v>
      </c>
      <c r="T30" s="15">
        <v>15.2777777777778</v>
      </c>
      <c r="U30" s="15">
        <v>7.3770491803278704</v>
      </c>
      <c r="V30" s="15">
        <v>17.5675675675676</v>
      </c>
      <c r="W30" s="15">
        <v>17.045454545454501</v>
      </c>
      <c r="X30" s="15">
        <v>10.869565217391299</v>
      </c>
      <c r="Y30" s="15">
        <v>15.4838709677419</v>
      </c>
      <c r="Z30" s="15">
        <v>16.6666666666667</v>
      </c>
      <c r="AA30" s="32">
        <v>12.029821682219501</v>
      </c>
      <c r="AB30" s="15">
        <v>7.7419354838709697</v>
      </c>
      <c r="AC30" s="15">
        <v>13.5646687697161</v>
      </c>
      <c r="AD30" s="15">
        <v>12.8755364806867</v>
      </c>
      <c r="AE30" s="15">
        <v>14.5631067961165</v>
      </c>
      <c r="AF30" s="15">
        <v>11.5845539280959</v>
      </c>
      <c r="AG30" s="15">
        <v>15.3094462540717</v>
      </c>
      <c r="AH30" s="15">
        <v>9.9644128113879002</v>
      </c>
      <c r="AI30" s="26" t="s">
        <v>80</v>
      </c>
      <c r="AJ30" s="38"/>
    </row>
    <row r="31" spans="1:36">
      <c r="A31" s="9" t="s">
        <v>180</v>
      </c>
      <c r="B31" s="36">
        <v>14.5558272876762</v>
      </c>
      <c r="C31" s="32">
        <v>14.2558580513036</v>
      </c>
      <c r="D31" s="32">
        <v>15.9714421633965</v>
      </c>
      <c r="E31" s="32">
        <v>17.735995816797502</v>
      </c>
      <c r="F31" s="15">
        <v>16.393442622950801</v>
      </c>
      <c r="G31" s="15">
        <v>18.644067796610202</v>
      </c>
      <c r="H31" s="15">
        <v>21.6867469879518</v>
      </c>
      <c r="I31" s="15">
        <v>16.6666666666667</v>
      </c>
      <c r="J31" s="15">
        <v>19.6428571428571</v>
      </c>
      <c r="K31" s="15">
        <v>19.4444444444444</v>
      </c>
      <c r="L31" s="15">
        <v>12.621359223301001</v>
      </c>
      <c r="M31" s="15">
        <v>11.1111111111111</v>
      </c>
      <c r="N31" s="15">
        <v>15.254237288135601</v>
      </c>
      <c r="O31" s="15">
        <v>8.7719298245614006</v>
      </c>
      <c r="P31" s="15">
        <v>13.4146341463415</v>
      </c>
      <c r="Q31" s="15">
        <v>14.7239263803681</v>
      </c>
      <c r="R31" s="15">
        <v>18.181818181818201</v>
      </c>
      <c r="S31" s="15">
        <v>14.8648648648649</v>
      </c>
      <c r="T31" s="15">
        <v>20.8333333333333</v>
      </c>
      <c r="U31" s="15">
        <v>10.655737704918</v>
      </c>
      <c r="V31" s="15">
        <v>12.1621621621622</v>
      </c>
      <c r="W31" s="15">
        <v>23.863636363636399</v>
      </c>
      <c r="X31" s="15">
        <v>19.021739130434799</v>
      </c>
      <c r="Y31" s="15">
        <v>27.096774193548399</v>
      </c>
      <c r="Z31" s="15">
        <v>33.3333333333333</v>
      </c>
      <c r="AA31" s="32">
        <v>14.504385318936601</v>
      </c>
      <c r="AB31" s="15">
        <v>16.129032258064498</v>
      </c>
      <c r="AC31" s="15">
        <v>13.5646687697161</v>
      </c>
      <c r="AD31" s="15">
        <v>20.600858369098699</v>
      </c>
      <c r="AE31" s="15">
        <v>15.8576051779935</v>
      </c>
      <c r="AF31" s="15">
        <v>15.9786950732357</v>
      </c>
      <c r="AG31" s="15">
        <v>15.6351791530945</v>
      </c>
      <c r="AH31" s="15">
        <v>14.5907473309609</v>
      </c>
      <c r="AI31" s="26" t="s">
        <v>80</v>
      </c>
      <c r="AJ31" s="38"/>
    </row>
    <row r="32" spans="1:36">
      <c r="A32" s="9" t="s">
        <v>181</v>
      </c>
      <c r="B32" s="36">
        <v>4.4676446380830601</v>
      </c>
      <c r="C32" s="32">
        <v>4.4036600252259701</v>
      </c>
      <c r="D32" s="32">
        <v>4.7084164258310199</v>
      </c>
      <c r="E32" s="32">
        <v>4.4116892146217701</v>
      </c>
      <c r="F32" s="20" t="s">
        <v>80</v>
      </c>
      <c r="G32" s="20" t="s">
        <v>80</v>
      </c>
      <c r="H32" s="15">
        <v>7.2289156626505999</v>
      </c>
      <c r="I32" s="20" t="s">
        <v>80</v>
      </c>
      <c r="J32" s="20" t="s">
        <v>80</v>
      </c>
      <c r="K32" s="20" t="s">
        <v>80</v>
      </c>
      <c r="L32" s="20" t="s">
        <v>80</v>
      </c>
      <c r="M32" s="20" t="s">
        <v>80</v>
      </c>
      <c r="N32" s="20" t="s">
        <v>80</v>
      </c>
      <c r="O32" s="20" t="s">
        <v>80</v>
      </c>
      <c r="P32" s="20" t="s">
        <v>80</v>
      </c>
      <c r="Q32" s="20" t="s">
        <v>80</v>
      </c>
      <c r="R32" s="20" t="s">
        <v>80</v>
      </c>
      <c r="S32" s="20" t="s">
        <v>80</v>
      </c>
      <c r="T32" s="15">
        <v>6.9444444444444402</v>
      </c>
      <c r="U32" s="15">
        <v>4.0983606557377001</v>
      </c>
      <c r="V32" s="20" t="s">
        <v>80</v>
      </c>
      <c r="W32" s="15">
        <v>9.0909090909090899</v>
      </c>
      <c r="X32" s="15">
        <v>3.2608695652173898</v>
      </c>
      <c r="Y32" s="15">
        <v>9.0322580645161299</v>
      </c>
      <c r="Z32" s="15">
        <v>13.157894736842101</v>
      </c>
      <c r="AA32" s="32">
        <v>4.9551165957595602</v>
      </c>
      <c r="AB32" s="15">
        <v>3.87096774193548</v>
      </c>
      <c r="AC32" s="15">
        <v>7.5709779179810699</v>
      </c>
      <c r="AD32" s="15">
        <v>5.15021459227468</v>
      </c>
      <c r="AE32" s="15">
        <v>5.1779935275080904</v>
      </c>
      <c r="AF32" s="15">
        <v>4.6604527296937404</v>
      </c>
      <c r="AG32" s="15">
        <v>7.4918566775244297</v>
      </c>
      <c r="AH32" s="15">
        <v>5.3380782918149503</v>
      </c>
      <c r="AI32" s="26" t="s">
        <v>80</v>
      </c>
      <c r="AJ32" s="38"/>
    </row>
    <row r="33" spans="1:36">
      <c r="A33" s="9" t="s">
        <v>182</v>
      </c>
      <c r="B33" s="36">
        <v>9.5550964472049706</v>
      </c>
      <c r="C33" s="32">
        <v>9.7452060251110293</v>
      </c>
      <c r="D33" s="32">
        <v>9.8367284523069696</v>
      </c>
      <c r="E33" s="32">
        <v>10.623215095466399</v>
      </c>
      <c r="F33" s="15">
        <v>15.5737704918033</v>
      </c>
      <c r="G33" s="15">
        <v>10.1694915254237</v>
      </c>
      <c r="H33" s="20" t="s">
        <v>80</v>
      </c>
      <c r="I33" s="15">
        <v>14.4444444444444</v>
      </c>
      <c r="J33" s="15">
        <v>21.428571428571399</v>
      </c>
      <c r="K33" s="20" t="s">
        <v>80</v>
      </c>
      <c r="L33" s="15">
        <v>11.6504854368932</v>
      </c>
      <c r="M33" s="15">
        <v>7.4074074074074101</v>
      </c>
      <c r="N33" s="20" t="s">
        <v>80</v>
      </c>
      <c r="O33" s="15">
        <v>14.0350877192982</v>
      </c>
      <c r="P33" s="15">
        <v>17.0731707317073</v>
      </c>
      <c r="Q33" s="15">
        <v>7.3619631901840501</v>
      </c>
      <c r="R33" s="15">
        <v>11.363636363636401</v>
      </c>
      <c r="S33" s="15">
        <v>13.5135135135135</v>
      </c>
      <c r="T33" s="15">
        <v>15.2777777777778</v>
      </c>
      <c r="U33" s="15">
        <v>5.7377049180327901</v>
      </c>
      <c r="V33" s="15">
        <v>12.1621621621622</v>
      </c>
      <c r="W33" s="15">
        <v>13.636363636363599</v>
      </c>
      <c r="X33" s="15">
        <v>11.413043478260899</v>
      </c>
      <c r="Y33" s="15">
        <v>18.709677419354801</v>
      </c>
      <c r="Z33" s="15">
        <v>14.0350877192982</v>
      </c>
      <c r="AA33" s="32">
        <v>9.1828403652547692</v>
      </c>
      <c r="AB33" s="15">
        <v>6.4516129032258096</v>
      </c>
      <c r="AC33" s="15">
        <v>9.7791798107255499</v>
      </c>
      <c r="AD33" s="15">
        <v>12.446351931330501</v>
      </c>
      <c r="AE33" s="15">
        <v>8.7378640776699008</v>
      </c>
      <c r="AF33" s="15">
        <v>9.0545938748335608</v>
      </c>
      <c r="AG33" s="15">
        <v>8.1433224755700309</v>
      </c>
      <c r="AH33" s="15">
        <v>11.7437722419929</v>
      </c>
      <c r="AI33" s="26" t="s">
        <v>80</v>
      </c>
      <c r="AJ33" s="38"/>
    </row>
    <row r="34" spans="1:36">
      <c r="A34" s="9" t="s">
        <v>183</v>
      </c>
      <c r="B34" s="36">
        <v>19.740940613097202</v>
      </c>
      <c r="C34" s="32">
        <v>19.225060588592999</v>
      </c>
      <c r="D34" s="32">
        <v>20.000963849042002</v>
      </c>
      <c r="E34" s="32">
        <v>20.0541544654766</v>
      </c>
      <c r="F34" s="15">
        <v>19.672131147540998</v>
      </c>
      <c r="G34" s="15">
        <v>16.9491525423729</v>
      </c>
      <c r="H34" s="15">
        <v>22.891566265060199</v>
      </c>
      <c r="I34" s="15">
        <v>18.8888888888889</v>
      </c>
      <c r="J34" s="15">
        <v>30.3571428571429</v>
      </c>
      <c r="K34" s="15">
        <v>16.6666666666667</v>
      </c>
      <c r="L34" s="15">
        <v>11.6504854368932</v>
      </c>
      <c r="M34" s="15">
        <v>13.580246913580201</v>
      </c>
      <c r="N34" s="15">
        <v>22.033898305084701</v>
      </c>
      <c r="O34" s="15">
        <v>21.052631578947398</v>
      </c>
      <c r="P34" s="15">
        <v>17.0731707317073</v>
      </c>
      <c r="Q34" s="15">
        <v>21.472392638036801</v>
      </c>
      <c r="R34" s="15">
        <v>14.7727272727273</v>
      </c>
      <c r="S34" s="15">
        <v>22.972972972973</v>
      </c>
      <c r="T34" s="15">
        <v>22.2222222222222</v>
      </c>
      <c r="U34" s="15">
        <v>19.672131147540998</v>
      </c>
      <c r="V34" s="15">
        <v>24.324324324324301</v>
      </c>
      <c r="W34" s="15">
        <v>19.318181818181799</v>
      </c>
      <c r="X34" s="15">
        <v>19.021739130434799</v>
      </c>
      <c r="Y34" s="15">
        <v>20.645161290322601</v>
      </c>
      <c r="Z34" s="15">
        <v>30.7017543859649</v>
      </c>
      <c r="AA34" s="32">
        <v>19.956740961428999</v>
      </c>
      <c r="AB34" s="15">
        <v>19.354838709677399</v>
      </c>
      <c r="AC34" s="15">
        <v>19.5583596214511</v>
      </c>
      <c r="AD34" s="15">
        <v>21.888412017167401</v>
      </c>
      <c r="AE34" s="15">
        <v>21.035598705501599</v>
      </c>
      <c r="AF34" s="15">
        <v>18.908122503328901</v>
      </c>
      <c r="AG34" s="15">
        <v>21.824104234527699</v>
      </c>
      <c r="AH34" s="15">
        <v>20.284697508896802</v>
      </c>
      <c r="AI34" s="26" t="s">
        <v>80</v>
      </c>
      <c r="AJ34" s="38"/>
    </row>
    <row r="35" spans="1:36">
      <c r="A35" s="9" t="s">
        <v>184</v>
      </c>
      <c r="B35" s="36">
        <v>11.265976099813701</v>
      </c>
      <c r="C35" s="32">
        <v>10.744908808084601</v>
      </c>
      <c r="D35" s="32">
        <v>11.199879654351401</v>
      </c>
      <c r="E35" s="32">
        <v>13.011932326870401</v>
      </c>
      <c r="F35" s="15">
        <v>10.655737704918</v>
      </c>
      <c r="G35" s="15">
        <v>11.864406779661</v>
      </c>
      <c r="H35" s="15">
        <v>13.253012048192801</v>
      </c>
      <c r="I35" s="15">
        <v>12.2222222222222</v>
      </c>
      <c r="J35" s="15">
        <v>16.071428571428601</v>
      </c>
      <c r="K35" s="15">
        <v>25</v>
      </c>
      <c r="L35" s="15">
        <v>6.7961165048543704</v>
      </c>
      <c r="M35" s="20" t="s">
        <v>80</v>
      </c>
      <c r="N35" s="15">
        <v>8.4745762711864394</v>
      </c>
      <c r="O35" s="15">
        <v>14.0350877192982</v>
      </c>
      <c r="P35" s="15">
        <v>9.7560975609756095</v>
      </c>
      <c r="Q35" s="15">
        <v>14.7239263803681</v>
      </c>
      <c r="R35" s="15">
        <v>11.363636363636401</v>
      </c>
      <c r="S35" s="15">
        <v>9.4594594594594597</v>
      </c>
      <c r="T35" s="15">
        <v>16.6666666666667</v>
      </c>
      <c r="U35" s="15">
        <v>7.3770491803278704</v>
      </c>
      <c r="V35" s="15">
        <v>14.8648648648649</v>
      </c>
      <c r="W35" s="15">
        <v>19.318181818181799</v>
      </c>
      <c r="X35" s="15">
        <v>11.413043478260899</v>
      </c>
      <c r="Y35" s="15">
        <v>19.354838709677399</v>
      </c>
      <c r="Z35" s="15">
        <v>21.9298245614035</v>
      </c>
      <c r="AA35" s="32">
        <v>9.6933319386630394</v>
      </c>
      <c r="AB35" s="15">
        <v>7.7419354838709697</v>
      </c>
      <c r="AC35" s="15">
        <v>7.2555205047318596</v>
      </c>
      <c r="AD35" s="15">
        <v>11.587982832618</v>
      </c>
      <c r="AE35" s="15">
        <v>12.621359223301001</v>
      </c>
      <c r="AF35" s="15">
        <v>7.9893475366178404</v>
      </c>
      <c r="AG35" s="15">
        <v>13.3550488599349</v>
      </c>
      <c r="AH35" s="15">
        <v>11.7437722419929</v>
      </c>
      <c r="AI35" s="26" t="s">
        <v>80</v>
      </c>
      <c r="AJ35" s="38"/>
    </row>
    <row r="36" spans="1:36">
      <c r="A36" s="9" t="s">
        <v>185</v>
      </c>
      <c r="B36" s="36">
        <v>6.8900706240652898</v>
      </c>
      <c r="C36" s="32">
        <v>6.5221261455985102</v>
      </c>
      <c r="D36" s="32">
        <v>7.2806876364142203</v>
      </c>
      <c r="E36" s="32">
        <v>7.9130048161671498</v>
      </c>
      <c r="F36" s="15">
        <v>6.5573770491803298</v>
      </c>
      <c r="G36" s="15">
        <v>8.4745762711864394</v>
      </c>
      <c r="H36" s="15">
        <v>10.8433734939759</v>
      </c>
      <c r="I36" s="15">
        <v>8.8888888888888893</v>
      </c>
      <c r="J36" s="20" t="s">
        <v>80</v>
      </c>
      <c r="K36" s="20" t="s">
        <v>80</v>
      </c>
      <c r="L36" s="15">
        <v>8.7378640776699008</v>
      </c>
      <c r="M36" s="15">
        <v>7.4074074074074101</v>
      </c>
      <c r="N36" s="20" t="s">
        <v>80</v>
      </c>
      <c r="O36" s="20" t="s">
        <v>80</v>
      </c>
      <c r="P36" s="15">
        <v>7.3170731707317103</v>
      </c>
      <c r="Q36" s="20" t="s">
        <v>80</v>
      </c>
      <c r="R36" s="20" t="s">
        <v>80</v>
      </c>
      <c r="S36" s="20" t="s">
        <v>80</v>
      </c>
      <c r="T36" s="15">
        <v>8.3333333333333304</v>
      </c>
      <c r="U36" s="15">
        <v>9.0163934426229506</v>
      </c>
      <c r="V36" s="15">
        <v>13.5135135135135</v>
      </c>
      <c r="W36" s="15">
        <v>9.0909090909090899</v>
      </c>
      <c r="X36" s="15">
        <v>10.326086956521699</v>
      </c>
      <c r="Y36" s="15">
        <v>12.258064516129</v>
      </c>
      <c r="Z36" s="15">
        <v>16.6666666666667</v>
      </c>
      <c r="AA36" s="32">
        <v>6.7549766473274202</v>
      </c>
      <c r="AB36" s="15">
        <v>3.87096774193548</v>
      </c>
      <c r="AC36" s="15">
        <v>2.20820189274448</v>
      </c>
      <c r="AD36" s="15">
        <v>5.5793991416309003</v>
      </c>
      <c r="AE36" s="15">
        <v>6.4724919093851101</v>
      </c>
      <c r="AF36" s="15">
        <v>6.9241011984021297</v>
      </c>
      <c r="AG36" s="15">
        <v>6.5146579804560298</v>
      </c>
      <c r="AH36" s="15">
        <v>4.9822064056939501</v>
      </c>
      <c r="AI36" s="26" t="s">
        <v>80</v>
      </c>
      <c r="AJ36" s="38"/>
    </row>
    <row r="37" spans="1:36">
      <c r="A37" s="9" t="s">
        <v>186</v>
      </c>
      <c r="B37" s="36">
        <v>11.9070620275164</v>
      </c>
      <c r="C37" s="32">
        <v>12.068950733314299</v>
      </c>
      <c r="D37" s="32">
        <v>12.1088977875762</v>
      </c>
      <c r="E37" s="32">
        <v>13.7004097342941</v>
      </c>
      <c r="F37" s="15">
        <v>11.4754098360656</v>
      </c>
      <c r="G37" s="15">
        <v>20.338983050847499</v>
      </c>
      <c r="H37" s="15">
        <v>6.0240963855421699</v>
      </c>
      <c r="I37" s="15">
        <v>10</v>
      </c>
      <c r="J37" s="15">
        <v>32.142857142857103</v>
      </c>
      <c r="K37" s="20" t="s">
        <v>80</v>
      </c>
      <c r="L37" s="15">
        <v>8.7378640776699008</v>
      </c>
      <c r="M37" s="15">
        <v>12.3456790123457</v>
      </c>
      <c r="N37" s="15">
        <v>10.1694915254237</v>
      </c>
      <c r="O37" s="20" t="s">
        <v>80</v>
      </c>
      <c r="P37" s="15">
        <v>17.0731707317073</v>
      </c>
      <c r="Q37" s="15">
        <v>13.4969325153374</v>
      </c>
      <c r="R37" s="15">
        <v>9.0909090909090899</v>
      </c>
      <c r="S37" s="15">
        <v>12.1621621621622</v>
      </c>
      <c r="T37" s="15">
        <v>11.1111111111111</v>
      </c>
      <c r="U37" s="15">
        <v>10.655737704918</v>
      </c>
      <c r="V37" s="15">
        <v>12.1621621621622</v>
      </c>
      <c r="W37" s="15">
        <v>29.545454545454501</v>
      </c>
      <c r="X37" s="15">
        <v>14.673913043478301</v>
      </c>
      <c r="Y37" s="15">
        <v>23.2258064516129</v>
      </c>
      <c r="Z37" s="15">
        <v>19.2982456140351</v>
      </c>
      <c r="AA37" s="32">
        <v>10.7857084983346</v>
      </c>
      <c r="AB37" s="15">
        <v>14.193548387096801</v>
      </c>
      <c r="AC37" s="15">
        <v>7.5709779179810699</v>
      </c>
      <c r="AD37" s="15">
        <v>9.0128755364806903</v>
      </c>
      <c r="AE37" s="15">
        <v>13.915857605177999</v>
      </c>
      <c r="AF37" s="15">
        <v>9.4540612516644504</v>
      </c>
      <c r="AG37" s="15">
        <v>12.0521172638436</v>
      </c>
      <c r="AH37" s="15">
        <v>12.0996441281139</v>
      </c>
      <c r="AI37" s="26" t="s">
        <v>80</v>
      </c>
      <c r="AJ37" s="38"/>
    </row>
    <row r="38" spans="1:36">
      <c r="A38" s="9" t="s">
        <v>187</v>
      </c>
      <c r="B38" s="36">
        <v>15.6664229990508</v>
      </c>
      <c r="C38" s="32">
        <v>15.334451680389501</v>
      </c>
      <c r="D38" s="32">
        <v>15.121777222743299</v>
      </c>
      <c r="E38" s="32">
        <v>18.462195291519301</v>
      </c>
      <c r="F38" s="15">
        <v>18.8524590163934</v>
      </c>
      <c r="G38" s="15">
        <v>18.644067796610202</v>
      </c>
      <c r="H38" s="15">
        <v>15.662650602409601</v>
      </c>
      <c r="I38" s="15">
        <v>17.7777777777778</v>
      </c>
      <c r="J38" s="15">
        <v>21.428571428571399</v>
      </c>
      <c r="K38" s="15">
        <v>22.2222222222222</v>
      </c>
      <c r="L38" s="15">
        <v>13.5922330097087</v>
      </c>
      <c r="M38" s="15">
        <v>19.7530864197531</v>
      </c>
      <c r="N38" s="15">
        <v>16.9491525423729</v>
      </c>
      <c r="O38" s="15">
        <v>22.8070175438597</v>
      </c>
      <c r="P38" s="15">
        <v>17.0731707317073</v>
      </c>
      <c r="Q38" s="15">
        <v>20.858895705521501</v>
      </c>
      <c r="R38" s="15">
        <v>19.318181818181799</v>
      </c>
      <c r="S38" s="15">
        <v>17.5675675675676</v>
      </c>
      <c r="T38" s="15">
        <v>20.8333333333333</v>
      </c>
      <c r="U38" s="15">
        <v>12.2950819672131</v>
      </c>
      <c r="V38" s="15">
        <v>14.8648648648649</v>
      </c>
      <c r="W38" s="15">
        <v>29.545454545454501</v>
      </c>
      <c r="X38" s="15">
        <v>14.673913043478301</v>
      </c>
      <c r="Y38" s="15">
        <v>19.354838709677399</v>
      </c>
      <c r="Z38" s="15">
        <v>40.350877192982502</v>
      </c>
      <c r="AA38" s="32">
        <v>12.344540508115699</v>
      </c>
      <c r="AB38" s="15">
        <v>10.9677419354839</v>
      </c>
      <c r="AC38" s="15">
        <v>13.249211356466899</v>
      </c>
      <c r="AD38" s="15">
        <v>10.300429184549399</v>
      </c>
      <c r="AE38" s="15">
        <v>12.944983818770201</v>
      </c>
      <c r="AF38" s="15">
        <v>15.5792276964048</v>
      </c>
      <c r="AG38" s="15">
        <v>12.703583061889301</v>
      </c>
      <c r="AH38" s="15">
        <v>13.167259786476899</v>
      </c>
      <c r="AI38" s="26" t="s">
        <v>80</v>
      </c>
      <c r="AJ38" s="38"/>
    </row>
    <row r="39" spans="1:36">
      <c r="A39" s="9" t="s">
        <v>188</v>
      </c>
      <c r="B39" s="36">
        <v>9.6429154198159299</v>
      </c>
      <c r="C39" s="32">
        <v>9.0453188888306801</v>
      </c>
      <c r="D39" s="32">
        <v>10.0441740912303</v>
      </c>
      <c r="E39" s="32">
        <v>12.255762228714699</v>
      </c>
      <c r="F39" s="15">
        <v>8.1967213114754092</v>
      </c>
      <c r="G39" s="15">
        <v>11.864406779661</v>
      </c>
      <c r="H39" s="15">
        <v>16.867469879518101</v>
      </c>
      <c r="I39" s="15">
        <v>12.2222222222222</v>
      </c>
      <c r="J39" s="15">
        <v>23.214285714285701</v>
      </c>
      <c r="K39" s="20" t="s">
        <v>80</v>
      </c>
      <c r="L39" s="15">
        <v>8.7378640776699008</v>
      </c>
      <c r="M39" s="15">
        <v>7.4074074074074101</v>
      </c>
      <c r="N39" s="15">
        <v>10.1694915254237</v>
      </c>
      <c r="O39" s="15">
        <v>8.7719298245614006</v>
      </c>
      <c r="P39" s="15">
        <v>6.0975609756097597</v>
      </c>
      <c r="Q39" s="15">
        <v>10.429447852760701</v>
      </c>
      <c r="R39" s="15">
        <v>5.6818181818181799</v>
      </c>
      <c r="S39" s="15">
        <v>8.1081081081081106</v>
      </c>
      <c r="T39" s="15">
        <v>13.8888888888889</v>
      </c>
      <c r="U39" s="15">
        <v>9.8360655737704903</v>
      </c>
      <c r="V39" s="15">
        <v>20.270270270270299</v>
      </c>
      <c r="W39" s="15">
        <v>36.363636363636402</v>
      </c>
      <c r="X39" s="15">
        <v>5.9782608695652204</v>
      </c>
      <c r="Y39" s="15">
        <v>14.8387096774194</v>
      </c>
      <c r="Z39" s="15">
        <v>22.8070175438597</v>
      </c>
      <c r="AA39" s="32">
        <v>8.2054510192685992</v>
      </c>
      <c r="AB39" s="15">
        <v>8.3870967741935498</v>
      </c>
      <c r="AC39" s="15">
        <v>4.41640378548896</v>
      </c>
      <c r="AD39" s="15">
        <v>7.2961373390557904</v>
      </c>
      <c r="AE39" s="15">
        <v>11.326860841423899</v>
      </c>
      <c r="AF39" s="15">
        <v>6.5246338215712401</v>
      </c>
      <c r="AG39" s="15">
        <v>8.7947882736156409</v>
      </c>
      <c r="AH39" s="15">
        <v>9.6085409252668992</v>
      </c>
      <c r="AI39" s="26" t="s">
        <v>80</v>
      </c>
      <c r="AJ39" s="38"/>
    </row>
    <row r="40" spans="1:36">
      <c r="A40" s="9" t="s">
        <v>189</v>
      </c>
      <c r="B40" s="36">
        <v>11.799331259253799</v>
      </c>
      <c r="C40" s="32">
        <v>11.5508706627297</v>
      </c>
      <c r="D40" s="32">
        <v>12.565060274432501</v>
      </c>
      <c r="E40" s="32">
        <v>14.004568965896199</v>
      </c>
      <c r="F40" s="15">
        <v>10.655737704918</v>
      </c>
      <c r="G40" s="15">
        <v>13.559322033898299</v>
      </c>
      <c r="H40" s="15">
        <v>18.0722891566265</v>
      </c>
      <c r="I40" s="15">
        <v>10</v>
      </c>
      <c r="J40" s="15">
        <v>21.428571428571399</v>
      </c>
      <c r="K40" s="20" t="s">
        <v>80</v>
      </c>
      <c r="L40" s="15">
        <v>9.7087378640776691</v>
      </c>
      <c r="M40" s="15">
        <v>9.8765432098765409</v>
      </c>
      <c r="N40" s="15">
        <v>8.4745762711864394</v>
      </c>
      <c r="O40" s="15">
        <v>8.7719298245614006</v>
      </c>
      <c r="P40" s="15">
        <v>14.634146341463399</v>
      </c>
      <c r="Q40" s="15">
        <v>12.269938650306701</v>
      </c>
      <c r="R40" s="15">
        <v>13.636363636363599</v>
      </c>
      <c r="S40" s="15">
        <v>16.2162162162162</v>
      </c>
      <c r="T40" s="15">
        <v>15.2777777777778</v>
      </c>
      <c r="U40" s="15">
        <v>12.2950819672131</v>
      </c>
      <c r="V40" s="15">
        <v>12.1621621621622</v>
      </c>
      <c r="W40" s="15">
        <v>22.727272727272702</v>
      </c>
      <c r="X40" s="15">
        <v>8.1521739130434803</v>
      </c>
      <c r="Y40" s="15">
        <v>17.419354838709701</v>
      </c>
      <c r="Z40" s="15">
        <v>20.175438596491201</v>
      </c>
      <c r="AA40" s="32">
        <v>11.3682470891825</v>
      </c>
      <c r="AB40" s="15">
        <v>8.3870967741935498</v>
      </c>
      <c r="AC40" s="15">
        <v>9.7791798107255499</v>
      </c>
      <c r="AD40" s="15">
        <v>13.733905579399099</v>
      </c>
      <c r="AE40" s="15">
        <v>12.944983818770201</v>
      </c>
      <c r="AF40" s="15">
        <v>11.5845539280959</v>
      </c>
      <c r="AG40" s="15">
        <v>12.3778501628664</v>
      </c>
      <c r="AH40" s="15">
        <v>9.6085409252668992</v>
      </c>
      <c r="AI40" s="26" t="s">
        <v>80</v>
      </c>
      <c r="AJ40" s="38"/>
    </row>
    <row r="41" spans="1:36">
      <c r="A41" s="9" t="s">
        <v>190</v>
      </c>
      <c r="B41" s="36">
        <v>8.4257752529168908</v>
      </c>
      <c r="C41" s="32">
        <v>8.3014564207397203</v>
      </c>
      <c r="D41" s="32">
        <v>8.2897845562391108</v>
      </c>
      <c r="E41" s="32">
        <v>8.4471176945889503</v>
      </c>
      <c r="F41" s="15">
        <v>12.2950819672131</v>
      </c>
      <c r="G41" s="15">
        <v>15.254237288135601</v>
      </c>
      <c r="H41" s="15">
        <v>13.253012048192801</v>
      </c>
      <c r="I41" s="15">
        <v>7.7777777777777803</v>
      </c>
      <c r="J41" s="20" t="s">
        <v>80</v>
      </c>
      <c r="K41" s="20" t="s">
        <v>80</v>
      </c>
      <c r="L41" s="15">
        <v>8.7378640776699008</v>
      </c>
      <c r="M41" s="15">
        <v>9.8765432098765409</v>
      </c>
      <c r="N41" s="20" t="s">
        <v>80</v>
      </c>
      <c r="O41" s="15">
        <v>8.7719298245614006</v>
      </c>
      <c r="P41" s="15">
        <v>10.975609756097599</v>
      </c>
      <c r="Q41" s="15">
        <v>4.2944785276073603</v>
      </c>
      <c r="R41" s="20" t="s">
        <v>80</v>
      </c>
      <c r="S41" s="20" t="s">
        <v>80</v>
      </c>
      <c r="T41" s="15">
        <v>9.7222222222222197</v>
      </c>
      <c r="U41" s="15">
        <v>4.9180327868852496</v>
      </c>
      <c r="V41" s="15">
        <v>14.8648648648649</v>
      </c>
      <c r="W41" s="15">
        <v>9.0909090909090899</v>
      </c>
      <c r="X41" s="15">
        <v>7.6086956521739104</v>
      </c>
      <c r="Y41" s="15">
        <v>8.3870967741935498</v>
      </c>
      <c r="Z41" s="15">
        <v>16.6666666666667</v>
      </c>
      <c r="AA41" s="32">
        <v>8.1589771664883699</v>
      </c>
      <c r="AB41" s="15">
        <v>4.5161290322580596</v>
      </c>
      <c r="AC41" s="15">
        <v>7.5709779179810699</v>
      </c>
      <c r="AD41" s="15">
        <v>6.0085836909871198</v>
      </c>
      <c r="AE41" s="15">
        <v>11.326860841423899</v>
      </c>
      <c r="AF41" s="15">
        <v>9.1877496671105199</v>
      </c>
      <c r="AG41" s="15">
        <v>7.8175895765472303</v>
      </c>
      <c r="AH41" s="15">
        <v>8.8967971530249095</v>
      </c>
      <c r="AI41" s="26" t="s">
        <v>80</v>
      </c>
      <c r="AJ41" s="38"/>
    </row>
    <row r="42" spans="1:36">
      <c r="A42" s="9" t="s">
        <v>191</v>
      </c>
      <c r="B42" s="36">
        <v>8.64224629944494</v>
      </c>
      <c r="C42" s="32">
        <v>8.5592412431964195</v>
      </c>
      <c r="D42" s="32">
        <v>9.0622155530494002</v>
      </c>
      <c r="E42" s="32">
        <v>10.64721139121</v>
      </c>
      <c r="F42" s="15">
        <v>11.4754098360656</v>
      </c>
      <c r="G42" s="15">
        <v>11.864406779661</v>
      </c>
      <c r="H42" s="15">
        <v>15.662650602409601</v>
      </c>
      <c r="I42" s="15">
        <v>10</v>
      </c>
      <c r="J42" s="15">
        <v>17.8571428571429</v>
      </c>
      <c r="K42" s="20" t="s">
        <v>80</v>
      </c>
      <c r="L42" s="15">
        <v>7.7669902912621396</v>
      </c>
      <c r="M42" s="15">
        <v>9.8765432098765409</v>
      </c>
      <c r="N42" s="15">
        <v>11.864406779661</v>
      </c>
      <c r="O42" s="20" t="s">
        <v>80</v>
      </c>
      <c r="P42" s="15">
        <v>14.634146341463399</v>
      </c>
      <c r="Q42" s="15">
        <v>4.2944785276073603</v>
      </c>
      <c r="R42" s="15">
        <v>5.6818181818181799</v>
      </c>
      <c r="S42" s="15">
        <v>9.4594594594594597</v>
      </c>
      <c r="T42" s="20" t="s">
        <v>80</v>
      </c>
      <c r="U42" s="15">
        <v>8.1967213114754092</v>
      </c>
      <c r="V42" s="15">
        <v>14.8648648648649</v>
      </c>
      <c r="W42" s="15">
        <v>23.863636363636399</v>
      </c>
      <c r="X42" s="15">
        <v>9.7826086956521703</v>
      </c>
      <c r="Y42" s="15">
        <v>13.548387096774199</v>
      </c>
      <c r="Z42" s="15">
        <v>28.0701754385965</v>
      </c>
      <c r="AA42" s="32">
        <v>7.7444437820792702</v>
      </c>
      <c r="AB42" s="15">
        <v>6.4516129032258096</v>
      </c>
      <c r="AC42" s="15">
        <v>9.7791798107255499</v>
      </c>
      <c r="AD42" s="15">
        <v>7.7253218884120196</v>
      </c>
      <c r="AE42" s="15">
        <v>8.7378640776699008</v>
      </c>
      <c r="AF42" s="15">
        <v>6.7909454061251697</v>
      </c>
      <c r="AG42" s="15">
        <v>8.7947882736156409</v>
      </c>
      <c r="AH42" s="15">
        <v>10.676156583629901</v>
      </c>
      <c r="AI42" s="24">
        <v>27.7777777777778</v>
      </c>
      <c r="AJ42" s="38"/>
    </row>
    <row r="43" spans="1:36">
      <c r="A43" s="9" t="s">
        <v>192</v>
      </c>
      <c r="B43" s="36">
        <v>5.04071518210396</v>
      </c>
      <c r="C43" s="32">
        <v>4.64970047276476</v>
      </c>
      <c r="D43" s="32">
        <v>4.5953025356170798</v>
      </c>
      <c r="E43" s="32">
        <v>5.6003113849822697</v>
      </c>
      <c r="F43" s="20" t="s">
        <v>80</v>
      </c>
      <c r="G43" s="15">
        <v>8.4745762711864394</v>
      </c>
      <c r="H43" s="15">
        <v>9.6385542168674707</v>
      </c>
      <c r="I43" s="20" t="s">
        <v>80</v>
      </c>
      <c r="J43" s="20" t="s">
        <v>80</v>
      </c>
      <c r="K43" s="20" t="s">
        <v>80</v>
      </c>
      <c r="L43" s="20" t="s">
        <v>80</v>
      </c>
      <c r="M43" s="20" t="s">
        <v>80</v>
      </c>
      <c r="N43" s="20" t="s">
        <v>80</v>
      </c>
      <c r="O43" s="20" t="s">
        <v>80</v>
      </c>
      <c r="P43" s="15">
        <v>7.3170731707317103</v>
      </c>
      <c r="Q43" s="15">
        <v>3.0674846625766898</v>
      </c>
      <c r="R43" s="20" t="s">
        <v>80</v>
      </c>
      <c r="S43" s="20" t="s">
        <v>80</v>
      </c>
      <c r="T43" s="15">
        <v>6.9444444444444402</v>
      </c>
      <c r="U43" s="15">
        <v>7.3770491803278704</v>
      </c>
      <c r="V43" s="20" t="s">
        <v>80</v>
      </c>
      <c r="W43" s="15">
        <v>10.2272727272727</v>
      </c>
      <c r="X43" s="15">
        <v>4.3478260869565197</v>
      </c>
      <c r="Y43" s="15">
        <v>3.2258064516128999</v>
      </c>
      <c r="Z43" s="15">
        <v>9.6491228070175392</v>
      </c>
      <c r="AA43" s="32">
        <v>3.7597342272450001</v>
      </c>
      <c r="AB43" s="20" t="s">
        <v>80</v>
      </c>
      <c r="AC43" s="15">
        <v>3.47003154574133</v>
      </c>
      <c r="AD43" s="15">
        <v>3.4334763948497899</v>
      </c>
      <c r="AE43" s="15">
        <v>4.2071197411003203</v>
      </c>
      <c r="AF43" s="15">
        <v>4.5272969374167804</v>
      </c>
      <c r="AG43" s="15">
        <v>4.2345276872964197</v>
      </c>
      <c r="AH43" s="15">
        <v>3.9145907473309598</v>
      </c>
      <c r="AI43" s="26" t="s">
        <v>80</v>
      </c>
      <c r="AJ43" s="38"/>
    </row>
    <row r="44" spans="1:36">
      <c r="A44" s="9" t="s">
        <v>193</v>
      </c>
      <c r="B44" s="36">
        <v>4.2750869581579201</v>
      </c>
      <c r="C44" s="32">
        <v>4.0666296394674299</v>
      </c>
      <c r="D44" s="32">
        <v>4.31300948427808</v>
      </c>
      <c r="E44" s="32">
        <v>5.2535877174244998</v>
      </c>
      <c r="F44" s="20" t="s">
        <v>80</v>
      </c>
      <c r="G44" s="15">
        <v>16.9491525423729</v>
      </c>
      <c r="H44" s="20" t="s">
        <v>80</v>
      </c>
      <c r="I44" s="15">
        <v>10</v>
      </c>
      <c r="J44" s="20" t="s">
        <v>80</v>
      </c>
      <c r="K44" s="20" t="s">
        <v>80</v>
      </c>
      <c r="L44" s="20" t="s">
        <v>80</v>
      </c>
      <c r="M44" s="20" t="s">
        <v>80</v>
      </c>
      <c r="N44" s="20" t="s">
        <v>80</v>
      </c>
      <c r="O44" s="20" t="s">
        <v>80</v>
      </c>
      <c r="P44" s="15">
        <v>7.3170731707317103</v>
      </c>
      <c r="Q44" s="15">
        <v>4.2944785276073603</v>
      </c>
      <c r="R44" s="20" t="s">
        <v>80</v>
      </c>
      <c r="S44" s="15">
        <v>8.1081081081081106</v>
      </c>
      <c r="T44" s="20" t="s">
        <v>80</v>
      </c>
      <c r="U44" s="15">
        <v>4.0983606557377001</v>
      </c>
      <c r="V44" s="15">
        <v>9.4594594594594597</v>
      </c>
      <c r="W44" s="20" t="s">
        <v>80</v>
      </c>
      <c r="X44" s="15">
        <v>4.3478260869565197</v>
      </c>
      <c r="Y44" s="15">
        <v>8.3870967741935498</v>
      </c>
      <c r="Z44" s="15">
        <v>8.7719298245614006</v>
      </c>
      <c r="AA44" s="32">
        <v>3.5310090435275598</v>
      </c>
      <c r="AB44" s="20" t="s">
        <v>80</v>
      </c>
      <c r="AC44" s="15">
        <v>2.20820189274448</v>
      </c>
      <c r="AD44" s="15">
        <v>4.2918454935622297</v>
      </c>
      <c r="AE44" s="15">
        <v>2.2653721682847898</v>
      </c>
      <c r="AF44" s="15">
        <v>3.5952063914780301</v>
      </c>
      <c r="AG44" s="15">
        <v>4.5602605863192203</v>
      </c>
      <c r="AH44" s="15">
        <v>3.2028469750889701</v>
      </c>
      <c r="AI44" s="26" t="s">
        <v>80</v>
      </c>
      <c r="AJ44" s="38"/>
    </row>
    <row r="45" spans="1:36">
      <c r="A45" s="9" t="s">
        <v>194</v>
      </c>
      <c r="B45" s="36">
        <v>9.4786400672536804</v>
      </c>
      <c r="C45" s="32">
        <v>9.4646857799728394</v>
      </c>
      <c r="D45" s="32">
        <v>10.2413225732685</v>
      </c>
      <c r="E45" s="32">
        <v>12.6715121316156</v>
      </c>
      <c r="F45" s="15">
        <v>14.7540983606557</v>
      </c>
      <c r="G45" s="15">
        <v>10.1694915254237</v>
      </c>
      <c r="H45" s="20" t="s">
        <v>80</v>
      </c>
      <c r="I45" s="15">
        <v>13.3333333333333</v>
      </c>
      <c r="J45" s="15">
        <v>30.3571428571429</v>
      </c>
      <c r="K45" s="15">
        <v>22.2222222222222</v>
      </c>
      <c r="L45" s="15">
        <v>8.7378640776699008</v>
      </c>
      <c r="M45" s="15">
        <v>8.6419753086419693</v>
      </c>
      <c r="N45" s="15">
        <v>18.644067796610202</v>
      </c>
      <c r="O45" s="15">
        <v>8.7719298245614006</v>
      </c>
      <c r="P45" s="15">
        <v>9.7560975609756095</v>
      </c>
      <c r="Q45" s="15">
        <v>7.9754601226993902</v>
      </c>
      <c r="R45" s="15">
        <v>7.9545454545454497</v>
      </c>
      <c r="S45" s="15">
        <v>12.1621621621622</v>
      </c>
      <c r="T45" s="15">
        <v>16.6666666666667</v>
      </c>
      <c r="U45" s="15">
        <v>12.2950819672131</v>
      </c>
      <c r="V45" s="15">
        <v>8.1081081081081106</v>
      </c>
      <c r="W45" s="15">
        <v>23.863636363636399</v>
      </c>
      <c r="X45" s="15">
        <v>11.413043478260899</v>
      </c>
      <c r="Y45" s="15">
        <v>18.064516129032299</v>
      </c>
      <c r="Z45" s="15">
        <v>21.052631578947398</v>
      </c>
      <c r="AA45" s="32">
        <v>8.2208534206096999</v>
      </c>
      <c r="AB45" s="15">
        <v>4.5161290322580596</v>
      </c>
      <c r="AC45" s="15">
        <v>9.7791798107255499</v>
      </c>
      <c r="AD45" s="15">
        <v>9.8712446351931291</v>
      </c>
      <c r="AE45" s="15">
        <v>8.7378640776699008</v>
      </c>
      <c r="AF45" s="15">
        <v>7.7230359520639196</v>
      </c>
      <c r="AG45" s="15">
        <v>10.7491856677524</v>
      </c>
      <c r="AH45" s="15">
        <v>11.387900355871899</v>
      </c>
      <c r="AI45" s="26" t="s">
        <v>80</v>
      </c>
      <c r="AJ45" s="38"/>
    </row>
    <row r="46" spans="1:36">
      <c r="A46" s="9" t="s">
        <v>195</v>
      </c>
      <c r="B46" s="36">
        <v>12.134961699338399</v>
      </c>
      <c r="C46" s="32">
        <v>12.135224378193101</v>
      </c>
      <c r="D46" s="32">
        <v>13.1325375458258</v>
      </c>
      <c r="E46" s="32">
        <v>15.8138999098126</v>
      </c>
      <c r="F46" s="15">
        <v>13.934426229508199</v>
      </c>
      <c r="G46" s="15">
        <v>16.9491525423729</v>
      </c>
      <c r="H46" s="15">
        <v>8.4337349397590398</v>
      </c>
      <c r="I46" s="15">
        <v>16.6666666666667</v>
      </c>
      <c r="J46" s="15">
        <v>25</v>
      </c>
      <c r="K46" s="15">
        <v>22.2222222222222</v>
      </c>
      <c r="L46" s="15">
        <v>8.7378640776699008</v>
      </c>
      <c r="M46" s="15">
        <v>11.1111111111111</v>
      </c>
      <c r="N46" s="15">
        <v>10.1694915254237</v>
      </c>
      <c r="O46" s="15">
        <v>12.280701754386</v>
      </c>
      <c r="P46" s="15">
        <v>9.7560975609756095</v>
      </c>
      <c r="Q46" s="15">
        <v>13.4969325153374</v>
      </c>
      <c r="R46" s="15">
        <v>11.363636363636401</v>
      </c>
      <c r="S46" s="15">
        <v>16.2162162162162</v>
      </c>
      <c r="T46" s="15">
        <v>19.4444444444444</v>
      </c>
      <c r="U46" s="15">
        <v>15.5737704918033</v>
      </c>
      <c r="V46" s="15">
        <v>21.6216216216216</v>
      </c>
      <c r="W46" s="15">
        <v>25</v>
      </c>
      <c r="X46" s="15">
        <v>16.847826086956498</v>
      </c>
      <c r="Y46" s="15">
        <v>15.4838709677419</v>
      </c>
      <c r="Z46" s="15">
        <v>19.2982456140351</v>
      </c>
      <c r="AA46" s="32">
        <v>10.9032423351179</v>
      </c>
      <c r="AB46" s="15">
        <v>8.3870967741935498</v>
      </c>
      <c r="AC46" s="15">
        <v>5.6782334384858002</v>
      </c>
      <c r="AD46" s="15">
        <v>17.167381974248901</v>
      </c>
      <c r="AE46" s="15">
        <v>14.2394822006473</v>
      </c>
      <c r="AF46" s="15">
        <v>10.252996005326199</v>
      </c>
      <c r="AG46" s="15">
        <v>14.657980456026101</v>
      </c>
      <c r="AH46" s="15">
        <v>7.1174377224199299</v>
      </c>
      <c r="AI46" s="26" t="s">
        <v>80</v>
      </c>
      <c r="AJ46" s="38"/>
    </row>
    <row r="47" spans="1:36">
      <c r="A47" s="9" t="s">
        <v>196</v>
      </c>
      <c r="B47" s="36">
        <v>16.396052662636802</v>
      </c>
      <c r="C47" s="32">
        <v>16.417575132437999</v>
      </c>
      <c r="D47" s="32">
        <v>17.278920827571898</v>
      </c>
      <c r="E47" s="32">
        <v>19.040417732774799</v>
      </c>
      <c r="F47" s="15">
        <v>27.0491803278689</v>
      </c>
      <c r="G47" s="15">
        <v>8.4745762711864394</v>
      </c>
      <c r="H47" s="15">
        <v>13.253012048192801</v>
      </c>
      <c r="I47" s="15">
        <v>17.7777777777778</v>
      </c>
      <c r="J47" s="15">
        <v>33.928571428571402</v>
      </c>
      <c r="K47" s="15">
        <v>27.7777777777778</v>
      </c>
      <c r="L47" s="15">
        <v>18.446601941747598</v>
      </c>
      <c r="M47" s="15">
        <v>18.518518518518501</v>
      </c>
      <c r="N47" s="15">
        <v>11.864406779661</v>
      </c>
      <c r="O47" s="15">
        <v>10.526315789473699</v>
      </c>
      <c r="P47" s="15">
        <v>15.853658536585399</v>
      </c>
      <c r="Q47" s="15">
        <v>14.1104294478528</v>
      </c>
      <c r="R47" s="15">
        <v>18.181818181818201</v>
      </c>
      <c r="S47" s="15">
        <v>16.2162162162162</v>
      </c>
      <c r="T47" s="15">
        <v>19.4444444444444</v>
      </c>
      <c r="U47" s="15">
        <v>14.7540983606557</v>
      </c>
      <c r="V47" s="15">
        <v>14.8648648648649</v>
      </c>
      <c r="W47" s="15">
        <v>32.954545454545503</v>
      </c>
      <c r="X47" s="15">
        <v>22.826086956521699</v>
      </c>
      <c r="Y47" s="15">
        <v>25.161290322580601</v>
      </c>
      <c r="Z47" s="15">
        <v>35.964912280701803</v>
      </c>
      <c r="AA47" s="32">
        <v>15.8144053755809</v>
      </c>
      <c r="AB47" s="15">
        <v>10.322580645161301</v>
      </c>
      <c r="AC47" s="15">
        <v>17.350157728706598</v>
      </c>
      <c r="AD47" s="15">
        <v>14.5922746781116</v>
      </c>
      <c r="AE47" s="15">
        <v>17.475728155339802</v>
      </c>
      <c r="AF47" s="15">
        <v>16.777629826897499</v>
      </c>
      <c r="AG47" s="15">
        <v>17.2638436482085</v>
      </c>
      <c r="AH47" s="15">
        <v>16.3701067615658</v>
      </c>
      <c r="AI47" s="26" t="s">
        <v>80</v>
      </c>
      <c r="AJ47" s="38"/>
    </row>
    <row r="48" spans="1:36">
      <c r="A48" s="9" t="s">
        <v>197</v>
      </c>
      <c r="B48" s="36">
        <v>8.0721542520431093</v>
      </c>
      <c r="C48" s="32">
        <v>7.8046431174528399</v>
      </c>
      <c r="D48" s="32">
        <v>7.9426962047208498</v>
      </c>
      <c r="E48" s="32">
        <v>8.6191245646281196</v>
      </c>
      <c r="F48" s="15">
        <v>5.7377049180327901</v>
      </c>
      <c r="G48" s="15">
        <v>10.1694915254237</v>
      </c>
      <c r="H48" s="15">
        <v>13.253012048192801</v>
      </c>
      <c r="I48" s="15">
        <v>7.7777777777777803</v>
      </c>
      <c r="J48" s="15">
        <v>10.714285714285699</v>
      </c>
      <c r="K48" s="20" t="s">
        <v>80</v>
      </c>
      <c r="L48" s="20" t="s">
        <v>80</v>
      </c>
      <c r="M48" s="20" t="s">
        <v>80</v>
      </c>
      <c r="N48" s="20" t="s">
        <v>80</v>
      </c>
      <c r="O48" s="20" t="s">
        <v>80</v>
      </c>
      <c r="P48" s="15">
        <v>9.7560975609756095</v>
      </c>
      <c r="Q48" s="15">
        <v>5.5214723926380396</v>
      </c>
      <c r="R48" s="15">
        <v>6.8181818181818201</v>
      </c>
      <c r="S48" s="15">
        <v>8.1081081081081106</v>
      </c>
      <c r="T48" s="15">
        <v>9.7222222222222197</v>
      </c>
      <c r="U48" s="15">
        <v>9.8360655737704903</v>
      </c>
      <c r="V48" s="15">
        <v>9.4594594594594597</v>
      </c>
      <c r="W48" s="15">
        <v>15.909090909090899</v>
      </c>
      <c r="X48" s="15">
        <v>9.2391304347826093</v>
      </c>
      <c r="Y48" s="15">
        <v>11.6129032258065</v>
      </c>
      <c r="Z48" s="15">
        <v>17.543859649122801</v>
      </c>
      <c r="AA48" s="32">
        <v>7.3803110070386397</v>
      </c>
      <c r="AB48" s="15">
        <v>6.4516129032258096</v>
      </c>
      <c r="AC48" s="15">
        <v>8.2018927444794993</v>
      </c>
      <c r="AD48" s="15">
        <v>7.7253218884120196</v>
      </c>
      <c r="AE48" s="15">
        <v>10.032362459546899</v>
      </c>
      <c r="AF48" s="15">
        <v>7.5898801597869499</v>
      </c>
      <c r="AG48" s="15">
        <v>9.7719869706840399</v>
      </c>
      <c r="AH48" s="15">
        <v>8.8967971530249095</v>
      </c>
      <c r="AI48" s="26" t="s">
        <v>80</v>
      </c>
      <c r="AJ48" s="38"/>
    </row>
    <row r="49" spans="1:36">
      <c r="A49" s="9" t="s">
        <v>198</v>
      </c>
      <c r="B49" s="36">
        <v>17.887479680374099</v>
      </c>
      <c r="C49" s="32">
        <v>18.497256954996701</v>
      </c>
      <c r="D49" s="32">
        <v>18.176487207964701</v>
      </c>
      <c r="E49" s="32">
        <v>19.250735780514301</v>
      </c>
      <c r="F49" s="15">
        <v>10.655737704918</v>
      </c>
      <c r="G49" s="15">
        <v>22.033898305084701</v>
      </c>
      <c r="H49" s="15">
        <v>14.4578313253012</v>
      </c>
      <c r="I49" s="15">
        <v>23.3333333333333</v>
      </c>
      <c r="J49" s="15">
        <v>12.5</v>
      </c>
      <c r="K49" s="15">
        <v>19.4444444444444</v>
      </c>
      <c r="L49" s="15">
        <v>17.475728155339802</v>
      </c>
      <c r="M49" s="15">
        <v>8.6419753086419693</v>
      </c>
      <c r="N49" s="15">
        <v>16.9491525423729</v>
      </c>
      <c r="O49" s="15">
        <v>22.8070175438597</v>
      </c>
      <c r="P49" s="15">
        <v>19.512195121951201</v>
      </c>
      <c r="Q49" s="15">
        <v>14.7239263803681</v>
      </c>
      <c r="R49" s="15">
        <v>20.454545454545499</v>
      </c>
      <c r="S49" s="15">
        <v>17.5675675675676</v>
      </c>
      <c r="T49" s="15">
        <v>19.4444444444444</v>
      </c>
      <c r="U49" s="15">
        <v>16.393442622950801</v>
      </c>
      <c r="V49" s="15">
        <v>20.270270270270299</v>
      </c>
      <c r="W49" s="15">
        <v>36.363636363636402</v>
      </c>
      <c r="X49" s="15">
        <v>19.021739130434799</v>
      </c>
      <c r="Y49" s="15">
        <v>27.741935483871</v>
      </c>
      <c r="Z49" s="15">
        <v>38.596491228070199</v>
      </c>
      <c r="AA49" s="32">
        <v>17.283352721533699</v>
      </c>
      <c r="AB49" s="15">
        <v>22.580645161290299</v>
      </c>
      <c r="AC49" s="15">
        <v>12.933753943217701</v>
      </c>
      <c r="AD49" s="15">
        <v>18.025751072961398</v>
      </c>
      <c r="AE49" s="15">
        <v>17.799352750809099</v>
      </c>
      <c r="AF49" s="15">
        <v>16.644474034620501</v>
      </c>
      <c r="AG49" s="15">
        <v>16.6123778501629</v>
      </c>
      <c r="AH49" s="15">
        <v>14.234875444839901</v>
      </c>
      <c r="AI49" s="24">
        <v>27.7777777777778</v>
      </c>
      <c r="AJ49" s="38"/>
    </row>
    <row r="50" spans="1:36">
      <c r="A50" s="9" t="s">
        <v>199</v>
      </c>
      <c r="B50" s="36">
        <v>11.3567429047348</v>
      </c>
      <c r="C50" s="32">
        <v>10.8094948091147</v>
      </c>
      <c r="D50" s="32">
        <v>10.4465377134746</v>
      </c>
      <c r="E50" s="32">
        <v>10.5205846634718</v>
      </c>
      <c r="F50" s="15">
        <v>9.0163934426229506</v>
      </c>
      <c r="G50" s="15">
        <v>16.9491525423729</v>
      </c>
      <c r="H50" s="15">
        <v>7.2289156626505999</v>
      </c>
      <c r="I50" s="15">
        <v>6.6666666666666696</v>
      </c>
      <c r="J50" s="15">
        <v>12.5</v>
      </c>
      <c r="K50" s="20" t="s">
        <v>80</v>
      </c>
      <c r="L50" s="20" t="s">
        <v>80</v>
      </c>
      <c r="M50" s="15">
        <v>9.8765432098765409</v>
      </c>
      <c r="N50" s="15">
        <v>16.9491525423729</v>
      </c>
      <c r="O50" s="15">
        <v>8.7719298245614006</v>
      </c>
      <c r="P50" s="15">
        <v>10.975609756097599</v>
      </c>
      <c r="Q50" s="15">
        <v>11.656441717791401</v>
      </c>
      <c r="R50" s="15">
        <v>7.9545454545454497</v>
      </c>
      <c r="S50" s="15">
        <v>6.7567567567567597</v>
      </c>
      <c r="T50" s="20" t="s">
        <v>80</v>
      </c>
      <c r="U50" s="15">
        <v>14.7540983606557</v>
      </c>
      <c r="V50" s="15">
        <v>14.8648648648649</v>
      </c>
      <c r="W50" s="15">
        <v>9.0909090909090899</v>
      </c>
      <c r="X50" s="15">
        <v>8.1521739130434803</v>
      </c>
      <c r="Y50" s="15">
        <v>6.4516129032258096</v>
      </c>
      <c r="Z50" s="15">
        <v>10.526315789473699</v>
      </c>
      <c r="AA50" s="32">
        <v>10.3849747881449</v>
      </c>
      <c r="AB50" s="15">
        <v>12.9032258064516</v>
      </c>
      <c r="AC50" s="15">
        <v>4.41640378548896</v>
      </c>
      <c r="AD50" s="15">
        <v>20.171673819742502</v>
      </c>
      <c r="AE50" s="15">
        <v>6.4724919093851101</v>
      </c>
      <c r="AF50" s="15">
        <v>8.3888149134487406</v>
      </c>
      <c r="AG50" s="15">
        <v>8.1433224755700309</v>
      </c>
      <c r="AH50" s="15">
        <v>6.7615658362989297</v>
      </c>
      <c r="AI50" s="26" t="s">
        <v>80</v>
      </c>
      <c r="AJ50" s="38"/>
    </row>
    <row r="51" spans="1:36">
      <c r="A51" s="9" t="s">
        <v>200</v>
      </c>
      <c r="B51" s="36">
        <v>13.537086730306299</v>
      </c>
      <c r="C51" s="32">
        <v>13.06358433736</v>
      </c>
      <c r="D51" s="32">
        <v>13.4056331579185</v>
      </c>
      <c r="E51" s="32">
        <v>15.2509270862432</v>
      </c>
      <c r="F51" s="15">
        <v>14.7540983606557</v>
      </c>
      <c r="G51" s="15">
        <v>11.864406779661</v>
      </c>
      <c r="H51" s="15">
        <v>15.662650602409601</v>
      </c>
      <c r="I51" s="15">
        <v>11.1111111111111</v>
      </c>
      <c r="J51" s="15">
        <v>21.428571428571399</v>
      </c>
      <c r="K51" s="15">
        <v>13.8888888888889</v>
      </c>
      <c r="L51" s="15">
        <v>11.6504854368932</v>
      </c>
      <c r="M51" s="15">
        <v>13.580246913580201</v>
      </c>
      <c r="N51" s="15">
        <v>10.1694915254237</v>
      </c>
      <c r="O51" s="15">
        <v>14.0350877192982</v>
      </c>
      <c r="P51" s="15">
        <v>18.292682926829301</v>
      </c>
      <c r="Q51" s="15">
        <v>14.7239263803681</v>
      </c>
      <c r="R51" s="15">
        <v>9.0909090909090899</v>
      </c>
      <c r="S51" s="15">
        <v>14.8648648648649</v>
      </c>
      <c r="T51" s="15">
        <v>16.6666666666667</v>
      </c>
      <c r="U51" s="15">
        <v>17.213114754098399</v>
      </c>
      <c r="V51" s="15">
        <v>24.324324324324301</v>
      </c>
      <c r="W51" s="15">
        <v>5.6818181818181799</v>
      </c>
      <c r="X51" s="15">
        <v>12.5</v>
      </c>
      <c r="Y51" s="15">
        <v>15.4838709677419</v>
      </c>
      <c r="Z51" s="15">
        <v>27.192982456140399</v>
      </c>
      <c r="AA51" s="32">
        <v>11.8714485314712</v>
      </c>
      <c r="AB51" s="15">
        <v>9.67741935483871</v>
      </c>
      <c r="AC51" s="15">
        <v>11.0410094637224</v>
      </c>
      <c r="AD51" s="15">
        <v>10.7296137339056</v>
      </c>
      <c r="AE51" s="15">
        <v>12.2977346278317</v>
      </c>
      <c r="AF51" s="15">
        <v>13.5818908122503</v>
      </c>
      <c r="AG51" s="15">
        <v>10.0977198697068</v>
      </c>
      <c r="AH51" s="15">
        <v>11.387900355871899</v>
      </c>
      <c r="AI51" s="26" t="s">
        <v>80</v>
      </c>
      <c r="AJ51" s="38"/>
    </row>
    <row r="52" spans="1:36">
      <c r="A52" s="9" t="s">
        <v>201</v>
      </c>
      <c r="B52" s="36">
        <v>19.038375606849701</v>
      </c>
      <c r="C52" s="32">
        <v>17.5410907929632</v>
      </c>
      <c r="D52" s="32">
        <v>18.904012727310299</v>
      </c>
      <c r="E52" s="32">
        <v>17.826351323466699</v>
      </c>
      <c r="F52" s="15">
        <v>11.4754098360656</v>
      </c>
      <c r="G52" s="15">
        <v>13.559322033898299</v>
      </c>
      <c r="H52" s="15">
        <v>20.481927710843401</v>
      </c>
      <c r="I52" s="15">
        <v>18.8888888888889</v>
      </c>
      <c r="J52" s="15">
        <v>12.5</v>
      </c>
      <c r="K52" s="15">
        <v>22.2222222222222</v>
      </c>
      <c r="L52" s="15">
        <v>9.7087378640776691</v>
      </c>
      <c r="M52" s="15">
        <v>16.049382716049401</v>
      </c>
      <c r="N52" s="15">
        <v>22.033898305084701</v>
      </c>
      <c r="O52" s="20" t="s">
        <v>80</v>
      </c>
      <c r="P52" s="15">
        <v>21.951219512195099</v>
      </c>
      <c r="Q52" s="15">
        <v>18.404907975460102</v>
      </c>
      <c r="R52" s="15">
        <v>18.181818181818201</v>
      </c>
      <c r="S52" s="15">
        <v>14.8648648648649</v>
      </c>
      <c r="T52" s="15">
        <v>23.6111111111111</v>
      </c>
      <c r="U52" s="15">
        <v>9.0163934426229506</v>
      </c>
      <c r="V52" s="15">
        <v>22.972972972973</v>
      </c>
      <c r="W52" s="15">
        <v>20.454545454545499</v>
      </c>
      <c r="X52" s="15">
        <v>15.7608695652174</v>
      </c>
      <c r="Y52" s="15">
        <v>22.580645161290299</v>
      </c>
      <c r="Z52" s="15">
        <v>32.456140350877199</v>
      </c>
      <c r="AA52" s="32">
        <v>19.7999846550961</v>
      </c>
      <c r="AB52" s="15">
        <v>16.7741935483871</v>
      </c>
      <c r="AC52" s="15">
        <v>20.820189274448001</v>
      </c>
      <c r="AD52" s="15">
        <v>17.596566523605201</v>
      </c>
      <c r="AE52" s="15">
        <v>25.889967637540501</v>
      </c>
      <c r="AF52" s="15">
        <v>21.438082556591201</v>
      </c>
      <c r="AG52" s="15">
        <v>17.915309446254099</v>
      </c>
      <c r="AH52" s="15">
        <v>16.725978647686802</v>
      </c>
      <c r="AI52" s="24">
        <v>27.7777777777778</v>
      </c>
      <c r="AJ52" s="38"/>
    </row>
    <row r="53" spans="1:36">
      <c r="A53" s="9" t="s">
        <v>202</v>
      </c>
      <c r="B53" s="36">
        <v>16.492159997940099</v>
      </c>
      <c r="C53" s="32">
        <v>16.607758166374499</v>
      </c>
      <c r="D53" s="32">
        <v>17.5957824663517</v>
      </c>
      <c r="E53" s="32">
        <v>17.239327110062298</v>
      </c>
      <c r="F53" s="15">
        <v>12.2950819672131</v>
      </c>
      <c r="G53" s="15">
        <v>18.644067796610202</v>
      </c>
      <c r="H53" s="15">
        <v>13.253012048192801</v>
      </c>
      <c r="I53" s="15">
        <v>21.1111111111111</v>
      </c>
      <c r="J53" s="15">
        <v>19.6428571428571</v>
      </c>
      <c r="K53" s="20" t="s">
        <v>80</v>
      </c>
      <c r="L53" s="15">
        <v>5.8252427184466002</v>
      </c>
      <c r="M53" s="15">
        <v>12.3456790123457</v>
      </c>
      <c r="N53" s="15">
        <v>13.559322033898299</v>
      </c>
      <c r="O53" s="15">
        <v>17.543859649122801</v>
      </c>
      <c r="P53" s="15">
        <v>13.4146341463415</v>
      </c>
      <c r="Q53" s="15">
        <v>19.631901840490801</v>
      </c>
      <c r="R53" s="15">
        <v>11.363636363636401</v>
      </c>
      <c r="S53" s="15">
        <v>14.8648648648649</v>
      </c>
      <c r="T53" s="15">
        <v>23.6111111111111</v>
      </c>
      <c r="U53" s="15">
        <v>14.7540983606557</v>
      </c>
      <c r="V53" s="15">
        <v>28.3783783783784</v>
      </c>
      <c r="W53" s="15">
        <v>20.454545454545499</v>
      </c>
      <c r="X53" s="15">
        <v>19.565217391304301</v>
      </c>
      <c r="Y53" s="15">
        <v>19.354838709677399</v>
      </c>
      <c r="Z53" s="15">
        <v>22.8070175438597</v>
      </c>
      <c r="AA53" s="32">
        <v>17.892140850910302</v>
      </c>
      <c r="AB53" s="15">
        <v>10.322580645161301</v>
      </c>
      <c r="AC53" s="15">
        <v>11.671924290220799</v>
      </c>
      <c r="AD53" s="15">
        <v>16.309012875536499</v>
      </c>
      <c r="AE53" s="15">
        <v>19.093851132686101</v>
      </c>
      <c r="AF53" s="15">
        <v>18.1091877496671</v>
      </c>
      <c r="AG53" s="15">
        <v>19.869706840390901</v>
      </c>
      <c r="AH53" s="15">
        <v>19.217081850533798</v>
      </c>
      <c r="AI53" s="26" t="s">
        <v>80</v>
      </c>
      <c r="AJ53" s="38"/>
    </row>
    <row r="54" spans="1:36">
      <c r="A54" s="9" t="s">
        <v>203</v>
      </c>
      <c r="B54" s="36">
        <v>17.1272477347595</v>
      </c>
      <c r="C54" s="32">
        <v>16.011226180524201</v>
      </c>
      <c r="D54" s="32">
        <v>16.885853588549502</v>
      </c>
      <c r="E54" s="32">
        <v>18.560684106367901</v>
      </c>
      <c r="F54" s="15">
        <v>23.770491803278698</v>
      </c>
      <c r="G54" s="15">
        <v>18.644067796610202</v>
      </c>
      <c r="H54" s="15">
        <v>9.6385542168674707</v>
      </c>
      <c r="I54" s="15">
        <v>17.7777777777778</v>
      </c>
      <c r="J54" s="15">
        <v>35.714285714285701</v>
      </c>
      <c r="K54" s="15">
        <v>30.5555555555556</v>
      </c>
      <c r="L54" s="15">
        <v>13.5922330097087</v>
      </c>
      <c r="M54" s="15">
        <v>13.580246913580201</v>
      </c>
      <c r="N54" s="15">
        <v>18.644067796610202</v>
      </c>
      <c r="O54" s="15">
        <v>24.5614035087719</v>
      </c>
      <c r="P54" s="15">
        <v>14.634146341463399</v>
      </c>
      <c r="Q54" s="15">
        <v>21.472392638036801</v>
      </c>
      <c r="R54" s="15">
        <v>17.045454545454501</v>
      </c>
      <c r="S54" s="15">
        <v>16.2162162162162</v>
      </c>
      <c r="T54" s="15">
        <v>15.2777777777778</v>
      </c>
      <c r="U54" s="15">
        <v>15.5737704918033</v>
      </c>
      <c r="V54" s="15">
        <v>13.5135135135135</v>
      </c>
      <c r="W54" s="15">
        <v>51.136363636363598</v>
      </c>
      <c r="X54" s="15">
        <v>15.7608695652174</v>
      </c>
      <c r="Y54" s="15">
        <v>19.354838709677399</v>
      </c>
      <c r="Z54" s="15">
        <v>21.052631578947398</v>
      </c>
      <c r="AA54" s="32">
        <v>15.493392911743101</v>
      </c>
      <c r="AB54" s="15">
        <v>12.9032258064516</v>
      </c>
      <c r="AC54" s="15">
        <v>21.451104100946399</v>
      </c>
      <c r="AD54" s="15">
        <v>18.454935622317599</v>
      </c>
      <c r="AE54" s="15">
        <v>15.8576051779935</v>
      </c>
      <c r="AF54" s="15">
        <v>17.976031957390099</v>
      </c>
      <c r="AG54" s="15">
        <v>11.400651465797999</v>
      </c>
      <c r="AH54" s="15">
        <v>16.014234875444799</v>
      </c>
      <c r="AI54" s="26" t="s">
        <v>80</v>
      </c>
      <c r="AJ54" s="38"/>
    </row>
    <row r="55" spans="1:36">
      <c r="A55" s="9" t="s">
        <v>204</v>
      </c>
      <c r="B55" s="36">
        <v>7.3665660204329297</v>
      </c>
      <c r="C55" s="32">
        <v>7.9162055279894998</v>
      </c>
      <c r="D55" s="32">
        <v>8.1326724753517805</v>
      </c>
      <c r="E55" s="32">
        <v>9.1149847223490106</v>
      </c>
      <c r="F55" s="15">
        <v>6.5573770491803298</v>
      </c>
      <c r="G55" s="20" t="s">
        <v>80</v>
      </c>
      <c r="H55" s="20" t="s">
        <v>80</v>
      </c>
      <c r="I55" s="15">
        <v>13.3333333333333</v>
      </c>
      <c r="J55" s="15">
        <v>14.285714285714301</v>
      </c>
      <c r="K55" s="15">
        <v>13.8888888888889</v>
      </c>
      <c r="L55" s="15">
        <v>8.7378640776699008</v>
      </c>
      <c r="M55" s="20" t="s">
        <v>80</v>
      </c>
      <c r="N55" s="20" t="s">
        <v>80</v>
      </c>
      <c r="O55" s="20" t="s">
        <v>80</v>
      </c>
      <c r="P55" s="15">
        <v>8.5365853658536608</v>
      </c>
      <c r="Q55" s="15">
        <v>8.5889570552147205</v>
      </c>
      <c r="R55" s="15">
        <v>10.2272727272727</v>
      </c>
      <c r="S55" s="15">
        <v>9.4594594594594597</v>
      </c>
      <c r="T55" s="15">
        <v>9.7222222222222197</v>
      </c>
      <c r="U55" s="15">
        <v>4.0983606557377001</v>
      </c>
      <c r="V55" s="15">
        <v>12.1621621621622</v>
      </c>
      <c r="W55" s="15">
        <v>5.6818181818181799</v>
      </c>
      <c r="X55" s="15">
        <v>14.130434782608701</v>
      </c>
      <c r="Y55" s="15">
        <v>15.4838709677419</v>
      </c>
      <c r="Z55" s="15">
        <v>20.175438596491201</v>
      </c>
      <c r="AA55" s="32">
        <v>7.3159742114160098</v>
      </c>
      <c r="AB55" s="15">
        <v>3.2258064516128999</v>
      </c>
      <c r="AC55" s="15">
        <v>10.0946372239748</v>
      </c>
      <c r="AD55" s="15">
        <v>3.8626609442060098</v>
      </c>
      <c r="AE55" s="15">
        <v>9.7087378640776691</v>
      </c>
      <c r="AF55" s="15">
        <v>7.4567243675099899</v>
      </c>
      <c r="AG55" s="15">
        <v>8.1433224755700309</v>
      </c>
      <c r="AH55" s="15">
        <v>9.9644128113879002</v>
      </c>
      <c r="AI55" s="26" t="s">
        <v>80</v>
      </c>
      <c r="AJ55" s="38"/>
    </row>
    <row r="56" spans="1:36">
      <c r="A56" s="9" t="s">
        <v>205</v>
      </c>
      <c r="B56" s="36">
        <v>10.333373390479901</v>
      </c>
      <c r="C56" s="32">
        <v>10.497953996089301</v>
      </c>
      <c r="D56" s="32">
        <v>11.240150435686299</v>
      </c>
      <c r="E56" s="32">
        <v>11.628891567463199</v>
      </c>
      <c r="F56" s="15">
        <v>9.8360655737704903</v>
      </c>
      <c r="G56" s="20" t="s">
        <v>80</v>
      </c>
      <c r="H56" s="15">
        <v>14.4578313253012</v>
      </c>
      <c r="I56" s="15">
        <v>14.4444444444444</v>
      </c>
      <c r="J56" s="15">
        <v>14.285714285714301</v>
      </c>
      <c r="K56" s="15">
        <v>16.6666666666667</v>
      </c>
      <c r="L56" s="20" t="s">
        <v>80</v>
      </c>
      <c r="M56" s="15">
        <v>16.049382716049401</v>
      </c>
      <c r="N56" s="20" t="s">
        <v>80</v>
      </c>
      <c r="O56" s="15">
        <v>15.789473684210501</v>
      </c>
      <c r="P56" s="15">
        <v>8.5365853658536608</v>
      </c>
      <c r="Q56" s="15">
        <v>8.5889570552147205</v>
      </c>
      <c r="R56" s="15">
        <v>6.8181818181818201</v>
      </c>
      <c r="S56" s="20" t="s">
        <v>80</v>
      </c>
      <c r="T56" s="15">
        <v>16.6666666666667</v>
      </c>
      <c r="U56" s="15">
        <v>9.8360655737704903</v>
      </c>
      <c r="V56" s="15">
        <v>12.1621621621622</v>
      </c>
      <c r="W56" s="15">
        <v>20.454545454545499</v>
      </c>
      <c r="X56" s="15">
        <v>13.0434782608696</v>
      </c>
      <c r="Y56" s="15">
        <v>14.8387096774194</v>
      </c>
      <c r="Z56" s="15">
        <v>21.9298245614035</v>
      </c>
      <c r="AA56" s="32">
        <v>10.916949530461901</v>
      </c>
      <c r="AB56" s="15">
        <v>7.0967741935483897</v>
      </c>
      <c r="AC56" s="15">
        <v>13.249211356466899</v>
      </c>
      <c r="AD56" s="15">
        <v>8.5836909871244593</v>
      </c>
      <c r="AE56" s="15">
        <v>12.2977346278317</v>
      </c>
      <c r="AF56" s="15">
        <v>13.1824234354194</v>
      </c>
      <c r="AG56" s="15">
        <v>10.0977198697068</v>
      </c>
      <c r="AH56" s="15">
        <v>7.8291814946619196</v>
      </c>
      <c r="AI56" s="26" t="s">
        <v>80</v>
      </c>
      <c r="AJ56" s="38"/>
    </row>
    <row r="57" spans="1:36">
      <c r="A57" s="9" t="s">
        <v>206</v>
      </c>
      <c r="B57" s="36">
        <v>9.0367005028882907</v>
      </c>
      <c r="C57" s="32">
        <v>8.94287216543478</v>
      </c>
      <c r="D57" s="32">
        <v>9.9864721691745704</v>
      </c>
      <c r="E57" s="32">
        <v>11.6929366238278</v>
      </c>
      <c r="F57" s="15">
        <v>7.3770491803278704</v>
      </c>
      <c r="G57" s="15">
        <v>13.559322033898299</v>
      </c>
      <c r="H57" s="15">
        <v>18.0722891566265</v>
      </c>
      <c r="I57" s="15">
        <v>8.8888888888888893</v>
      </c>
      <c r="J57" s="15">
        <v>10.714285714285699</v>
      </c>
      <c r="K57" s="15">
        <v>13.8888888888889</v>
      </c>
      <c r="L57" s="15">
        <v>5.8252427184466002</v>
      </c>
      <c r="M57" s="15">
        <v>8.6419753086419693</v>
      </c>
      <c r="N57" s="15">
        <v>8.4745762711864394</v>
      </c>
      <c r="O57" s="15">
        <v>14.0350877192982</v>
      </c>
      <c r="P57" s="15">
        <v>7.3170731707317103</v>
      </c>
      <c r="Q57" s="15">
        <v>5.5214723926380396</v>
      </c>
      <c r="R57" s="20" t="s">
        <v>80</v>
      </c>
      <c r="S57" s="15">
        <v>8.1081081081081106</v>
      </c>
      <c r="T57" s="15">
        <v>13.8888888888889</v>
      </c>
      <c r="U57" s="15">
        <v>13.1147540983607</v>
      </c>
      <c r="V57" s="15">
        <v>10.8108108108108</v>
      </c>
      <c r="W57" s="15">
        <v>26.136363636363601</v>
      </c>
      <c r="X57" s="15">
        <v>12.5</v>
      </c>
      <c r="Y57" s="15">
        <v>13.548387096774199</v>
      </c>
      <c r="Z57" s="15">
        <v>21.9298245614035</v>
      </c>
      <c r="AA57" s="32">
        <v>8.5677109129206706</v>
      </c>
      <c r="AB57" s="15">
        <v>5.1612903225806503</v>
      </c>
      <c r="AC57" s="15">
        <v>11.3564668769716</v>
      </c>
      <c r="AD57" s="15">
        <v>8.5836909871244593</v>
      </c>
      <c r="AE57" s="15">
        <v>9.3851132686084107</v>
      </c>
      <c r="AF57" s="15">
        <v>10.9187749667111</v>
      </c>
      <c r="AG57" s="15">
        <v>9.1205211726384405</v>
      </c>
      <c r="AH57" s="15">
        <v>7.1174377224199299</v>
      </c>
      <c r="AI57" s="26" t="s">
        <v>80</v>
      </c>
      <c r="AJ57" s="38"/>
    </row>
    <row r="58" spans="1:36">
      <c r="A58" s="9" t="s">
        <v>207</v>
      </c>
      <c r="B58" s="36">
        <v>12.578480973612001</v>
      </c>
      <c r="C58" s="32">
        <v>13.039370272176701</v>
      </c>
      <c r="D58" s="32">
        <v>13.648247374093501</v>
      </c>
      <c r="E58" s="32">
        <v>13.495868797679201</v>
      </c>
      <c r="F58" s="15">
        <v>6.5573770491803298</v>
      </c>
      <c r="G58" s="15">
        <v>20.338983050847499</v>
      </c>
      <c r="H58" s="15">
        <v>14.4578313253012</v>
      </c>
      <c r="I58" s="15">
        <v>12.2222222222222</v>
      </c>
      <c r="J58" s="15">
        <v>23.214285714285701</v>
      </c>
      <c r="K58" s="20" t="s">
        <v>80</v>
      </c>
      <c r="L58" s="15">
        <v>11.6504854368932</v>
      </c>
      <c r="M58" s="15">
        <v>6.1728395061728403</v>
      </c>
      <c r="N58" s="15">
        <v>15.254237288135601</v>
      </c>
      <c r="O58" s="15">
        <v>12.280701754386</v>
      </c>
      <c r="P58" s="15">
        <v>15.853658536585399</v>
      </c>
      <c r="Q58" s="15">
        <v>9.2024539877300597</v>
      </c>
      <c r="R58" s="15">
        <v>17.045454545454501</v>
      </c>
      <c r="S58" s="15">
        <v>14.8648648648649</v>
      </c>
      <c r="T58" s="15">
        <v>16.6666666666667</v>
      </c>
      <c r="U58" s="15">
        <v>8.1967213114754092</v>
      </c>
      <c r="V58" s="15">
        <v>14.8648648648649</v>
      </c>
      <c r="W58" s="15">
        <v>28.409090909090899</v>
      </c>
      <c r="X58" s="15">
        <v>9.7826086956521703</v>
      </c>
      <c r="Y58" s="15">
        <v>10.322580645161301</v>
      </c>
      <c r="Z58" s="15">
        <v>15.789473684210501</v>
      </c>
      <c r="AA58" s="32">
        <v>13.774935521572999</v>
      </c>
      <c r="AB58" s="15">
        <v>11.6129032258065</v>
      </c>
      <c r="AC58" s="15">
        <v>11.3564668769716</v>
      </c>
      <c r="AD58" s="15">
        <v>10.300429184549399</v>
      </c>
      <c r="AE58" s="15">
        <v>15.8576051779935</v>
      </c>
      <c r="AF58" s="15">
        <v>11.051930758988</v>
      </c>
      <c r="AG58" s="15">
        <v>20.8469055374593</v>
      </c>
      <c r="AH58" s="15">
        <v>9.9644128113879002</v>
      </c>
      <c r="AI58" s="26" t="s">
        <v>80</v>
      </c>
      <c r="AJ58" s="38"/>
    </row>
    <row r="59" spans="1:36">
      <c r="A59" s="9" t="s">
        <v>208</v>
      </c>
      <c r="B59" s="36">
        <v>2.7703451670810102</v>
      </c>
      <c r="C59" s="32">
        <v>2.7154581272209599</v>
      </c>
      <c r="D59" s="32">
        <v>2.9890126056690001</v>
      </c>
      <c r="E59" s="32">
        <v>3.4942923134361701</v>
      </c>
      <c r="F59" s="20" t="s">
        <v>80</v>
      </c>
      <c r="G59" s="20" t="s">
        <v>80</v>
      </c>
      <c r="H59" s="15">
        <v>8.4337349397590398</v>
      </c>
      <c r="I59" s="20" t="s">
        <v>80</v>
      </c>
      <c r="J59" s="20" t="s">
        <v>80</v>
      </c>
      <c r="K59" s="20" t="s">
        <v>80</v>
      </c>
      <c r="L59" s="20" t="s">
        <v>80</v>
      </c>
      <c r="M59" s="20" t="s">
        <v>80</v>
      </c>
      <c r="N59" s="20" t="s">
        <v>80</v>
      </c>
      <c r="O59" s="20" t="s">
        <v>80</v>
      </c>
      <c r="P59" s="20" t="s">
        <v>80</v>
      </c>
      <c r="Q59" s="20" t="s">
        <v>80</v>
      </c>
      <c r="R59" s="20" t="s">
        <v>80</v>
      </c>
      <c r="S59" s="20" t="s">
        <v>80</v>
      </c>
      <c r="T59" s="20" t="s">
        <v>80</v>
      </c>
      <c r="U59" s="20" t="s">
        <v>80</v>
      </c>
      <c r="V59" s="20" t="s">
        <v>80</v>
      </c>
      <c r="W59" s="15">
        <v>11.363636363636401</v>
      </c>
      <c r="X59" s="15">
        <v>4.3478260869565197</v>
      </c>
      <c r="Y59" s="15">
        <v>6.4516129032258096</v>
      </c>
      <c r="Z59" s="15">
        <v>8.7719298245614006</v>
      </c>
      <c r="AA59" s="32">
        <v>2.56892107021593</v>
      </c>
      <c r="AB59" s="20" t="s">
        <v>80</v>
      </c>
      <c r="AC59" s="15">
        <v>1.5772870662460601</v>
      </c>
      <c r="AD59" s="15">
        <v>2.1459227467811202</v>
      </c>
      <c r="AE59" s="15">
        <v>4.2071197411003203</v>
      </c>
      <c r="AF59" s="15">
        <v>2.79627163781625</v>
      </c>
      <c r="AG59" s="15">
        <v>4.5602605863192203</v>
      </c>
      <c r="AH59" s="15">
        <v>2.1352313167259802</v>
      </c>
      <c r="AI59" s="26" t="s">
        <v>80</v>
      </c>
      <c r="AJ59" s="38"/>
    </row>
    <row r="60" spans="1:36">
      <c r="A60" s="9" t="s">
        <v>209</v>
      </c>
      <c r="B60" s="36">
        <v>2.7574126033696298</v>
      </c>
      <c r="C60" s="32">
        <v>2.7687150404199699</v>
      </c>
      <c r="D60" s="32">
        <v>2.7088233337083998</v>
      </c>
      <c r="E60" s="32">
        <v>2.9493012943079799</v>
      </c>
      <c r="F60" s="20" t="s">
        <v>80</v>
      </c>
      <c r="G60" s="20" t="s">
        <v>80</v>
      </c>
      <c r="H60" s="15">
        <v>7.2289156626505999</v>
      </c>
      <c r="I60" s="20" t="s">
        <v>80</v>
      </c>
      <c r="J60" s="20" t="s">
        <v>80</v>
      </c>
      <c r="K60" s="20" t="s">
        <v>80</v>
      </c>
      <c r="L60" s="20" t="s">
        <v>80</v>
      </c>
      <c r="M60" s="20" t="s">
        <v>80</v>
      </c>
      <c r="N60" s="20" t="s">
        <v>80</v>
      </c>
      <c r="O60" s="20" t="s">
        <v>80</v>
      </c>
      <c r="P60" s="20" t="s">
        <v>80</v>
      </c>
      <c r="Q60" s="20" t="s">
        <v>80</v>
      </c>
      <c r="R60" s="20" t="s">
        <v>80</v>
      </c>
      <c r="S60" s="20" t="s">
        <v>80</v>
      </c>
      <c r="T60" s="20" t="s">
        <v>80</v>
      </c>
      <c r="U60" s="20" t="s">
        <v>80</v>
      </c>
      <c r="V60" s="20" t="s">
        <v>80</v>
      </c>
      <c r="W60" s="15">
        <v>10.2272727272727</v>
      </c>
      <c r="X60" s="15">
        <v>3.8043478260869601</v>
      </c>
      <c r="Y60" s="15">
        <v>7.0967741935483897</v>
      </c>
      <c r="Z60" s="15">
        <v>7.8947368421052602</v>
      </c>
      <c r="AA60" s="32">
        <v>2.5088890118704601</v>
      </c>
      <c r="AB60" s="20" t="s">
        <v>80</v>
      </c>
      <c r="AC60" s="15">
        <v>1.8927444794952699</v>
      </c>
      <c r="AD60" s="15">
        <v>3.0042918454935599</v>
      </c>
      <c r="AE60" s="15">
        <v>4.2071197411003203</v>
      </c>
      <c r="AF60" s="15">
        <v>2.3968042609853502</v>
      </c>
      <c r="AG60" s="15">
        <v>3.90879478827362</v>
      </c>
      <c r="AH60" s="15">
        <v>1.77935943060498</v>
      </c>
      <c r="AI60" s="26" t="s">
        <v>80</v>
      </c>
      <c r="AJ60" s="38"/>
    </row>
    <row r="61" spans="1:36">
      <c r="A61" s="9" t="s">
        <v>210</v>
      </c>
      <c r="B61" s="36">
        <v>3.8513079361879301</v>
      </c>
      <c r="C61" s="32">
        <v>3.72792337132466</v>
      </c>
      <c r="D61" s="32">
        <v>3.5809987674344699</v>
      </c>
      <c r="E61" s="32">
        <v>4.4561760588755899</v>
      </c>
      <c r="F61" s="20" t="s">
        <v>80</v>
      </c>
      <c r="G61" s="20" t="s">
        <v>80</v>
      </c>
      <c r="H61" s="15">
        <v>7.2289156626505999</v>
      </c>
      <c r="I61" s="20" t="s">
        <v>80</v>
      </c>
      <c r="J61" s="20" t="s">
        <v>80</v>
      </c>
      <c r="K61" s="20" t="s">
        <v>80</v>
      </c>
      <c r="L61" s="20" t="s">
        <v>80</v>
      </c>
      <c r="M61" s="20" t="s">
        <v>80</v>
      </c>
      <c r="N61" s="20" t="s">
        <v>80</v>
      </c>
      <c r="O61" s="20" t="s">
        <v>80</v>
      </c>
      <c r="P61" s="20" t="s">
        <v>80</v>
      </c>
      <c r="Q61" s="20" t="s">
        <v>80</v>
      </c>
      <c r="R61" s="20" t="s">
        <v>80</v>
      </c>
      <c r="S61" s="15">
        <v>9.4594594594594597</v>
      </c>
      <c r="T61" s="20" t="s">
        <v>80</v>
      </c>
      <c r="U61" s="15">
        <v>4.9180327868852496</v>
      </c>
      <c r="V61" s="20" t="s">
        <v>80</v>
      </c>
      <c r="W61" s="15">
        <v>9.0909090909090899</v>
      </c>
      <c r="X61" s="15">
        <v>4.8913043478260896</v>
      </c>
      <c r="Y61" s="15">
        <v>6.4516129032258096</v>
      </c>
      <c r="Z61" s="15">
        <v>6.1403508771929802</v>
      </c>
      <c r="AA61" s="32">
        <v>2.8533729267296701</v>
      </c>
      <c r="AB61" s="20" t="s">
        <v>80</v>
      </c>
      <c r="AC61" s="15">
        <v>2.5236593059936898</v>
      </c>
      <c r="AD61" s="15">
        <v>3.0042918454935599</v>
      </c>
      <c r="AE61" s="15">
        <v>3.55987055016181</v>
      </c>
      <c r="AF61" s="15">
        <v>3.0625832223701699</v>
      </c>
      <c r="AG61" s="15">
        <v>5.2117263843648196</v>
      </c>
      <c r="AH61" s="15">
        <v>3.5587188612099601</v>
      </c>
      <c r="AI61" s="26" t="s">
        <v>80</v>
      </c>
      <c r="AJ61" s="38"/>
    </row>
    <row r="62" spans="1:36">
      <c r="A62" s="9" t="s">
        <v>211</v>
      </c>
      <c r="B62" s="36">
        <v>9.9645988293959995</v>
      </c>
      <c r="C62" s="32">
        <v>9.8672052033820297</v>
      </c>
      <c r="D62" s="32">
        <v>10.265258748401299</v>
      </c>
      <c r="E62" s="32">
        <v>12.209760040780401</v>
      </c>
      <c r="F62" s="15">
        <v>16.393442622950801</v>
      </c>
      <c r="G62" s="15">
        <v>10.1694915254237</v>
      </c>
      <c r="H62" s="15">
        <v>9.6385542168674707</v>
      </c>
      <c r="I62" s="15">
        <v>12.2222222222222</v>
      </c>
      <c r="J62" s="15">
        <v>21.428571428571399</v>
      </c>
      <c r="K62" s="15">
        <v>16.6666666666667</v>
      </c>
      <c r="L62" s="15">
        <v>12.621359223301001</v>
      </c>
      <c r="M62" s="15">
        <v>9.8765432098765409</v>
      </c>
      <c r="N62" s="15">
        <v>8.4745762711864394</v>
      </c>
      <c r="O62" s="20" t="s">
        <v>80</v>
      </c>
      <c r="P62" s="15">
        <v>7.3170731707317103</v>
      </c>
      <c r="Q62" s="15">
        <v>7.9754601226993902</v>
      </c>
      <c r="R62" s="15">
        <v>7.9545454545454497</v>
      </c>
      <c r="S62" s="15">
        <v>12.1621621621622</v>
      </c>
      <c r="T62" s="15">
        <v>16.6666666666667</v>
      </c>
      <c r="U62" s="15">
        <v>9.0163934426229506</v>
      </c>
      <c r="V62" s="15">
        <v>12.1621621621622</v>
      </c>
      <c r="W62" s="15">
        <v>19.318181818181799</v>
      </c>
      <c r="X62" s="15">
        <v>13.586956521739101</v>
      </c>
      <c r="Y62" s="15">
        <v>21.935483870967701</v>
      </c>
      <c r="Z62" s="15">
        <v>18.421052631578899</v>
      </c>
      <c r="AA62" s="32">
        <v>8.6485927294634308</v>
      </c>
      <c r="AB62" s="15">
        <v>6.4516129032258096</v>
      </c>
      <c r="AC62" s="15">
        <v>12.3028391167192</v>
      </c>
      <c r="AD62" s="15">
        <v>9.4420600858369106</v>
      </c>
      <c r="AE62" s="15">
        <v>9.7087378640776691</v>
      </c>
      <c r="AF62" s="15">
        <v>9.0545938748335608</v>
      </c>
      <c r="AG62" s="15">
        <v>8.4690553745928305</v>
      </c>
      <c r="AH62" s="15">
        <v>9.2526690391459105</v>
      </c>
      <c r="AI62" s="26" t="s">
        <v>80</v>
      </c>
      <c r="AJ62" s="38"/>
    </row>
    <row r="63" spans="1:36">
      <c r="A63" s="9" t="s">
        <v>212</v>
      </c>
      <c r="B63" s="36">
        <v>11.1626096279553</v>
      </c>
      <c r="C63" s="32">
        <v>10.7299333836168</v>
      </c>
      <c r="D63" s="32">
        <v>11.5420759331725</v>
      </c>
      <c r="E63" s="32">
        <v>12.365185752215099</v>
      </c>
      <c r="F63" s="15">
        <v>10.655737704918</v>
      </c>
      <c r="G63" s="15">
        <v>13.559322033898299</v>
      </c>
      <c r="H63" s="15">
        <v>20.481927710843401</v>
      </c>
      <c r="I63" s="15">
        <v>10</v>
      </c>
      <c r="J63" s="15">
        <v>8.9285714285714306</v>
      </c>
      <c r="K63" s="20" t="s">
        <v>80</v>
      </c>
      <c r="L63" s="15">
        <v>9.7087378640776691</v>
      </c>
      <c r="M63" s="20" t="s">
        <v>80</v>
      </c>
      <c r="N63" s="15">
        <v>15.254237288135601</v>
      </c>
      <c r="O63" s="15">
        <v>10.526315789473699</v>
      </c>
      <c r="P63" s="15">
        <v>9.7560975609756095</v>
      </c>
      <c r="Q63" s="15">
        <v>12.269938650306701</v>
      </c>
      <c r="R63" s="20" t="s">
        <v>80</v>
      </c>
      <c r="S63" s="15">
        <v>12.1621621621622</v>
      </c>
      <c r="T63" s="15">
        <v>18.0555555555556</v>
      </c>
      <c r="U63" s="15">
        <v>8.1967213114754092</v>
      </c>
      <c r="V63" s="15">
        <v>20.270270270270299</v>
      </c>
      <c r="W63" s="15">
        <v>17.045454545454501</v>
      </c>
      <c r="X63" s="15">
        <v>12.5</v>
      </c>
      <c r="Y63" s="15">
        <v>13.548387096774199</v>
      </c>
      <c r="Z63" s="15">
        <v>14.912280701754399</v>
      </c>
      <c r="AA63" s="32">
        <v>10.8577391937137</v>
      </c>
      <c r="AB63" s="15">
        <v>9.0322580645161299</v>
      </c>
      <c r="AC63" s="15">
        <v>10.725552050473199</v>
      </c>
      <c r="AD63" s="15">
        <v>11.587982832618</v>
      </c>
      <c r="AE63" s="15">
        <v>11.0032362459547</v>
      </c>
      <c r="AF63" s="15">
        <v>10.7856191744341</v>
      </c>
      <c r="AG63" s="15">
        <v>12.3778501628664</v>
      </c>
      <c r="AH63" s="15">
        <v>7.8291814946619196</v>
      </c>
      <c r="AI63" s="24">
        <v>27.7777777777778</v>
      </c>
      <c r="AJ63" s="38"/>
    </row>
    <row r="64" spans="1:36">
      <c r="A64" s="11" t="s">
        <v>213</v>
      </c>
      <c r="B64" s="37">
        <v>1.56184640078493</v>
      </c>
      <c r="C64" s="33">
        <v>1.6551901519563299</v>
      </c>
      <c r="D64" s="33">
        <v>1.8815431427504301</v>
      </c>
      <c r="E64" s="33">
        <v>2.8870855566642502</v>
      </c>
      <c r="F64" s="28" t="s">
        <v>80</v>
      </c>
      <c r="G64" s="28" t="s">
        <v>80</v>
      </c>
      <c r="H64" s="28" t="s">
        <v>80</v>
      </c>
      <c r="I64" s="28" t="s">
        <v>80</v>
      </c>
      <c r="J64" s="28" t="s">
        <v>80</v>
      </c>
      <c r="K64" s="28" t="s">
        <v>80</v>
      </c>
      <c r="L64" s="28" t="s">
        <v>80</v>
      </c>
      <c r="M64" s="28" t="s">
        <v>80</v>
      </c>
      <c r="N64" s="28" t="s">
        <v>80</v>
      </c>
      <c r="O64" s="28" t="s">
        <v>80</v>
      </c>
      <c r="P64" s="28" t="s">
        <v>80</v>
      </c>
      <c r="Q64" s="28" t="s">
        <v>80</v>
      </c>
      <c r="R64" s="28" t="s">
        <v>80</v>
      </c>
      <c r="S64" s="16">
        <v>6.7567567567567597</v>
      </c>
      <c r="T64" s="28" t="s">
        <v>80</v>
      </c>
      <c r="U64" s="16">
        <v>4.9180327868852496</v>
      </c>
      <c r="V64" s="28" t="s">
        <v>80</v>
      </c>
      <c r="W64" s="28" t="s">
        <v>80</v>
      </c>
      <c r="X64" s="28" t="s">
        <v>80</v>
      </c>
      <c r="Y64" s="28" t="s">
        <v>80</v>
      </c>
      <c r="Z64" s="16">
        <v>4.3859649122807003</v>
      </c>
      <c r="AA64" s="33">
        <v>1.0455312267150201</v>
      </c>
      <c r="AB64" s="28" t="s">
        <v>80</v>
      </c>
      <c r="AC64" s="28" t="s">
        <v>80</v>
      </c>
      <c r="AD64" s="28" t="s">
        <v>80</v>
      </c>
      <c r="AE64" s="28" t="s">
        <v>80</v>
      </c>
      <c r="AF64" s="16">
        <v>1.4647137150466001</v>
      </c>
      <c r="AG64" s="28" t="s">
        <v>80</v>
      </c>
      <c r="AH64" s="28" t="s">
        <v>80</v>
      </c>
      <c r="AI64" s="29" t="s">
        <v>80</v>
      </c>
      <c r="AJ64" s="38"/>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71"/>
  <sheetViews>
    <sheetView zoomScale="70" workbookViewId="0"/>
  </sheetViews>
  <sheetFormatPr defaultColWidth="10.90625" defaultRowHeight="15"/>
  <cols>
    <col min="1" max="1" width="51.6796875" customWidth="1"/>
    <col min="2" max="4" width="15.90625" customWidth="1"/>
  </cols>
  <sheetData>
    <row r="1" spans="1:4" ht="39.9" customHeight="1">
      <c r="A1" s="10" t="s">
        <v>250</v>
      </c>
      <c r="B1" s="12"/>
      <c r="C1" s="12"/>
      <c r="D1" s="12"/>
    </row>
    <row r="2" spans="1:4" ht="45">
      <c r="A2" s="7" t="s">
        <v>2</v>
      </c>
      <c r="B2" s="6" t="s">
        <v>18</v>
      </c>
      <c r="C2" s="6" t="s">
        <v>19</v>
      </c>
      <c r="D2" s="8" t="s">
        <v>20</v>
      </c>
    </row>
    <row r="3" spans="1:4">
      <c r="A3" s="9" t="s">
        <v>152</v>
      </c>
      <c r="B3" s="15">
        <v>19.663407937520599</v>
      </c>
      <c r="C3" s="15">
        <v>20.075821170752999</v>
      </c>
      <c r="D3" s="24">
        <v>21.500697152544401</v>
      </c>
    </row>
    <row r="4" spans="1:4">
      <c r="A4" s="9" t="s">
        <v>153</v>
      </c>
      <c r="B4" s="15">
        <v>9.12371896411012</v>
      </c>
      <c r="C4" s="15">
        <v>7.5753089711349499</v>
      </c>
      <c r="D4" s="26" t="s">
        <v>80</v>
      </c>
    </row>
    <row r="5" spans="1:4">
      <c r="A5" s="9" t="s">
        <v>154</v>
      </c>
      <c r="B5" s="15">
        <v>10.3043655453636</v>
      </c>
      <c r="C5" s="15">
        <v>11.5639640944938</v>
      </c>
      <c r="D5" s="26" t="s">
        <v>80</v>
      </c>
    </row>
    <row r="6" spans="1:4">
      <c r="A6" s="9" t="s">
        <v>155</v>
      </c>
      <c r="B6" s="15">
        <v>11.435387030166901</v>
      </c>
      <c r="C6" s="15">
        <v>10.6471952520344</v>
      </c>
      <c r="D6" s="26" t="s">
        <v>80</v>
      </c>
    </row>
    <row r="7" spans="1:4">
      <c r="A7" s="9" t="s">
        <v>156</v>
      </c>
      <c r="B7" s="15">
        <v>12.5204858525183</v>
      </c>
      <c r="C7" s="15">
        <v>12.1386571185365</v>
      </c>
      <c r="D7" s="24">
        <v>11.6606889240563</v>
      </c>
    </row>
    <row r="8" spans="1:4">
      <c r="A8" s="9" t="s">
        <v>157</v>
      </c>
      <c r="B8" s="15">
        <v>4.2647697475436797</v>
      </c>
      <c r="C8" s="15">
        <v>3.58635545960452</v>
      </c>
      <c r="D8" s="26" t="s">
        <v>80</v>
      </c>
    </row>
    <row r="9" spans="1:4">
      <c r="A9" s="9" t="s">
        <v>158</v>
      </c>
      <c r="B9" s="15">
        <v>6.9763653054640304</v>
      </c>
      <c r="C9" s="15">
        <v>6.5321897216169802</v>
      </c>
      <c r="D9" s="26" t="s">
        <v>80</v>
      </c>
    </row>
    <row r="10" spans="1:4">
      <c r="A10" s="9" t="s">
        <v>159</v>
      </c>
      <c r="B10" s="15">
        <v>15.646436313533099</v>
      </c>
      <c r="C10" s="15">
        <v>15.458505314532401</v>
      </c>
      <c r="D10" s="24">
        <v>17.5207411833964</v>
      </c>
    </row>
    <row r="11" spans="1:4">
      <c r="A11" s="9" t="s">
        <v>160</v>
      </c>
      <c r="B11" s="15">
        <v>14.8212994657453</v>
      </c>
      <c r="C11" s="15">
        <v>14.7403663361354</v>
      </c>
      <c r="D11" s="24">
        <v>14.124146295173899</v>
      </c>
    </row>
    <row r="12" spans="1:4">
      <c r="A12" s="9" t="s">
        <v>161</v>
      </c>
      <c r="B12" s="15">
        <v>15.0174873659606</v>
      </c>
      <c r="C12" s="15">
        <v>15.0182753343611</v>
      </c>
      <c r="D12" s="24">
        <v>15.9181449392979</v>
      </c>
    </row>
    <row r="13" spans="1:4">
      <c r="A13" s="9" t="s">
        <v>162</v>
      </c>
      <c r="B13" s="15">
        <v>8.6292681075159692</v>
      </c>
      <c r="C13" s="15">
        <v>8.2753673515878301</v>
      </c>
      <c r="D13" s="26" t="s">
        <v>80</v>
      </c>
    </row>
    <row r="14" spans="1:4">
      <c r="A14" s="9" t="s">
        <v>163</v>
      </c>
      <c r="B14" s="15">
        <v>13.0424501775009</v>
      </c>
      <c r="C14" s="15">
        <v>14.3822656816004</v>
      </c>
      <c r="D14" s="24">
        <v>15.533261045025901</v>
      </c>
    </row>
    <row r="15" spans="1:4">
      <c r="A15" s="9" t="s">
        <v>164</v>
      </c>
      <c r="B15" s="15">
        <v>8.0664929830010799</v>
      </c>
      <c r="C15" s="15">
        <v>8.0928373053001792</v>
      </c>
      <c r="D15" s="26" t="s">
        <v>80</v>
      </c>
    </row>
    <row r="16" spans="1:4">
      <c r="A16" s="9" t="s">
        <v>165</v>
      </c>
      <c r="B16" s="15">
        <v>7.6822119995059897</v>
      </c>
      <c r="C16" s="15">
        <v>8.0405705226938906</v>
      </c>
      <c r="D16" s="26" t="s">
        <v>80</v>
      </c>
    </row>
    <row r="17" spans="1:4">
      <c r="A17" s="9" t="s">
        <v>166</v>
      </c>
      <c r="B17" s="15">
        <v>10.2865473444041</v>
      </c>
      <c r="C17" s="15">
        <v>9.1882863230999394</v>
      </c>
      <c r="D17" s="26" t="s">
        <v>80</v>
      </c>
    </row>
    <row r="18" spans="1:4">
      <c r="A18" s="9" t="s">
        <v>167</v>
      </c>
      <c r="B18" s="15">
        <v>5.7490051227088399</v>
      </c>
      <c r="C18" s="15">
        <v>6.0459944604474298</v>
      </c>
      <c r="D18" s="26" t="s">
        <v>80</v>
      </c>
    </row>
    <row r="19" spans="1:4">
      <c r="A19" s="9" t="s">
        <v>168</v>
      </c>
      <c r="B19" s="15">
        <v>10.987776797482899</v>
      </c>
      <c r="C19" s="15">
        <v>9.0603162254681706</v>
      </c>
      <c r="D19" s="26" t="s">
        <v>80</v>
      </c>
    </row>
    <row r="20" spans="1:4">
      <c r="A20" s="9" t="s">
        <v>169</v>
      </c>
      <c r="B20" s="15">
        <v>12.3359358628576</v>
      </c>
      <c r="C20" s="15">
        <v>11.4784887221138</v>
      </c>
      <c r="D20" s="26" t="s">
        <v>80</v>
      </c>
    </row>
    <row r="21" spans="1:4">
      <c r="A21" s="9" t="s">
        <v>170</v>
      </c>
      <c r="B21" s="15">
        <v>5.51532538032051</v>
      </c>
      <c r="C21" s="15">
        <v>4.8535392331522997</v>
      </c>
      <c r="D21" s="26" t="s">
        <v>80</v>
      </c>
    </row>
    <row r="22" spans="1:4">
      <c r="A22" s="9" t="s">
        <v>171</v>
      </c>
      <c r="B22" s="15">
        <v>12.097493076620101</v>
      </c>
      <c r="C22" s="15">
        <v>11.1621471602648</v>
      </c>
      <c r="D22" s="26" t="s">
        <v>80</v>
      </c>
    </row>
    <row r="23" spans="1:4">
      <c r="A23" s="9" t="s">
        <v>172</v>
      </c>
      <c r="B23" s="15">
        <v>6.6440855274347204</v>
      </c>
      <c r="C23" s="15">
        <v>6.4246242025334199</v>
      </c>
      <c r="D23" s="26" t="s">
        <v>80</v>
      </c>
    </row>
    <row r="24" spans="1:4">
      <c r="A24" s="9" t="s">
        <v>173</v>
      </c>
      <c r="B24" s="15">
        <v>4.4522684338142797</v>
      </c>
      <c r="C24" s="15">
        <v>3.48060386729958</v>
      </c>
      <c r="D24" s="26" t="s">
        <v>80</v>
      </c>
    </row>
    <row r="25" spans="1:4">
      <c r="A25" s="9" t="s">
        <v>174</v>
      </c>
      <c r="B25" s="15">
        <v>4.3640742239868997</v>
      </c>
      <c r="C25" s="15">
        <v>4.2881055008423097</v>
      </c>
      <c r="D25" s="26" t="s">
        <v>80</v>
      </c>
    </row>
    <row r="26" spans="1:4">
      <c r="A26" s="9" t="s">
        <v>175</v>
      </c>
      <c r="B26" s="15">
        <v>10.9753941611577</v>
      </c>
      <c r="C26" s="15">
        <v>10.720435967749699</v>
      </c>
      <c r="D26" s="24">
        <v>11.565469880065701</v>
      </c>
    </row>
    <row r="27" spans="1:4">
      <c r="A27" s="9" t="s">
        <v>176</v>
      </c>
      <c r="B27" s="15">
        <v>9.0327579865323795</v>
      </c>
      <c r="C27" s="15">
        <v>6.6671333941998103</v>
      </c>
      <c r="D27" s="26" t="s">
        <v>80</v>
      </c>
    </row>
    <row r="28" spans="1:4">
      <c r="A28" s="9" t="s">
        <v>177</v>
      </c>
      <c r="B28" s="15">
        <v>16.1305789291171</v>
      </c>
      <c r="C28" s="15">
        <v>16.205007230951999</v>
      </c>
      <c r="D28" s="24">
        <v>17.076503390952499</v>
      </c>
    </row>
    <row r="29" spans="1:4">
      <c r="A29" s="9" t="s">
        <v>178</v>
      </c>
      <c r="B29" s="15">
        <v>9.0591510656122303</v>
      </c>
      <c r="C29" s="15">
        <v>7.70214475074863</v>
      </c>
      <c r="D29" s="26" t="s">
        <v>80</v>
      </c>
    </row>
    <row r="30" spans="1:4">
      <c r="A30" s="9" t="s">
        <v>179</v>
      </c>
      <c r="B30" s="15">
        <v>11.2765127816303</v>
      </c>
      <c r="C30" s="15">
        <v>13.9849626148757</v>
      </c>
      <c r="D30" s="24">
        <v>14.4930663959175</v>
      </c>
    </row>
    <row r="31" spans="1:4">
      <c r="A31" s="9" t="s">
        <v>180</v>
      </c>
      <c r="B31" s="15">
        <v>14.171154459351101</v>
      </c>
      <c r="C31" s="15">
        <v>14.891041847392099</v>
      </c>
      <c r="D31" s="24">
        <v>15.448212718960701</v>
      </c>
    </row>
    <row r="32" spans="1:4">
      <c r="A32" s="9" t="s">
        <v>181</v>
      </c>
      <c r="B32" s="15">
        <v>5.1471384786880696</v>
      </c>
      <c r="C32" s="15">
        <v>5.5980499336740497</v>
      </c>
      <c r="D32" s="26" t="s">
        <v>80</v>
      </c>
    </row>
    <row r="33" spans="1:4">
      <c r="A33" s="9" t="s">
        <v>182</v>
      </c>
      <c r="B33" s="15">
        <v>9.4367004799546095</v>
      </c>
      <c r="C33" s="15">
        <v>8.9362400267970301</v>
      </c>
      <c r="D33" s="26" t="s">
        <v>80</v>
      </c>
    </row>
    <row r="34" spans="1:4">
      <c r="A34" s="9" t="s">
        <v>183</v>
      </c>
      <c r="B34" s="15">
        <v>18.329980402851501</v>
      </c>
      <c r="C34" s="15">
        <v>17.075863284635101</v>
      </c>
      <c r="D34" s="24">
        <v>15.8089112544126</v>
      </c>
    </row>
    <row r="35" spans="1:4">
      <c r="A35" s="9" t="s">
        <v>184</v>
      </c>
      <c r="B35" s="15">
        <v>11.5432778201159</v>
      </c>
      <c r="C35" s="15">
        <v>10.995753092343</v>
      </c>
      <c r="D35" s="24">
        <v>12.234131839311299</v>
      </c>
    </row>
    <row r="36" spans="1:4">
      <c r="A36" s="9" t="s">
        <v>185</v>
      </c>
      <c r="B36" s="15">
        <v>6.1474383846734604</v>
      </c>
      <c r="C36" s="15">
        <v>4.8721702009875498</v>
      </c>
      <c r="D36" s="26" t="s">
        <v>80</v>
      </c>
    </row>
    <row r="37" spans="1:4">
      <c r="A37" s="9" t="s">
        <v>186</v>
      </c>
      <c r="B37" s="15">
        <v>11.152704531694599</v>
      </c>
      <c r="C37" s="15">
        <v>10.2079207125552</v>
      </c>
      <c r="D37" s="24">
        <v>10.974448438912599</v>
      </c>
    </row>
    <row r="38" spans="1:4">
      <c r="A38" s="9" t="s">
        <v>187</v>
      </c>
      <c r="B38" s="15">
        <v>13.2580705212756</v>
      </c>
      <c r="C38" s="15">
        <v>13.092876414103699</v>
      </c>
      <c r="D38" s="24">
        <v>12.528147705226299</v>
      </c>
    </row>
    <row r="39" spans="1:4">
      <c r="A39" s="9" t="s">
        <v>188</v>
      </c>
      <c r="B39" s="15">
        <v>9.5619838742495507</v>
      </c>
      <c r="C39" s="15">
        <v>7.1136106938819204</v>
      </c>
      <c r="D39" s="26" t="s">
        <v>80</v>
      </c>
    </row>
    <row r="40" spans="1:4">
      <c r="A40" s="9" t="s">
        <v>189</v>
      </c>
      <c r="B40" s="15">
        <v>10.616843916097499</v>
      </c>
      <c r="C40" s="15">
        <v>11.726930451940801</v>
      </c>
      <c r="D40" s="26" t="s">
        <v>80</v>
      </c>
    </row>
    <row r="41" spans="1:4">
      <c r="A41" s="9" t="s">
        <v>190</v>
      </c>
      <c r="B41" s="15">
        <v>7.3219097513533304</v>
      </c>
      <c r="C41" s="15">
        <v>7.0367634082355703</v>
      </c>
      <c r="D41" s="26" t="s">
        <v>80</v>
      </c>
    </row>
    <row r="42" spans="1:4">
      <c r="A42" s="9" t="s">
        <v>191</v>
      </c>
      <c r="B42" s="15">
        <v>8.9752650044603204</v>
      </c>
      <c r="C42" s="15">
        <v>7.7241058986760498</v>
      </c>
      <c r="D42" s="26" t="s">
        <v>80</v>
      </c>
    </row>
    <row r="43" spans="1:4">
      <c r="A43" s="9" t="s">
        <v>192</v>
      </c>
      <c r="B43" s="15">
        <v>5.1988901643499101</v>
      </c>
      <c r="C43" s="15">
        <v>5.2706469609146502</v>
      </c>
      <c r="D43" s="26" t="s">
        <v>80</v>
      </c>
    </row>
    <row r="44" spans="1:4">
      <c r="A44" s="9" t="s">
        <v>193</v>
      </c>
      <c r="B44" s="15">
        <v>4.0188848096017002</v>
      </c>
      <c r="C44" s="15">
        <v>3.84930087213908</v>
      </c>
      <c r="D44" s="26" t="s">
        <v>80</v>
      </c>
    </row>
    <row r="45" spans="1:4">
      <c r="A45" s="9" t="s">
        <v>194</v>
      </c>
      <c r="B45" s="15">
        <v>9.9349764529603402</v>
      </c>
      <c r="C45" s="15">
        <v>10.392241293916101</v>
      </c>
      <c r="D45" s="26" t="s">
        <v>80</v>
      </c>
    </row>
    <row r="46" spans="1:4">
      <c r="A46" s="9" t="s">
        <v>195</v>
      </c>
      <c r="B46" s="15">
        <v>11.4474337724302</v>
      </c>
      <c r="C46" s="15">
        <v>10.874257207308199</v>
      </c>
      <c r="D46" s="26" t="s">
        <v>80</v>
      </c>
    </row>
    <row r="47" spans="1:4">
      <c r="A47" s="9" t="s">
        <v>196</v>
      </c>
      <c r="B47" s="15">
        <v>14.349930964329401</v>
      </c>
      <c r="C47" s="15">
        <v>14.2682233201859</v>
      </c>
      <c r="D47" s="24">
        <v>14.215268744245</v>
      </c>
    </row>
    <row r="48" spans="1:4">
      <c r="A48" s="9" t="s">
        <v>197</v>
      </c>
      <c r="B48" s="15">
        <v>8.0686836500071095</v>
      </c>
      <c r="C48" s="15">
        <v>9.2894587125365895</v>
      </c>
      <c r="D48" s="26" t="s">
        <v>80</v>
      </c>
    </row>
    <row r="49" spans="1:4">
      <c r="A49" s="9" t="s">
        <v>198</v>
      </c>
      <c r="B49" s="15">
        <v>14.7160678159638</v>
      </c>
      <c r="C49" s="15">
        <v>15.3151970383544</v>
      </c>
      <c r="D49" s="24">
        <v>15.8450545512987</v>
      </c>
    </row>
    <row r="50" spans="1:4">
      <c r="A50" s="9" t="s">
        <v>199</v>
      </c>
      <c r="B50" s="15">
        <v>10.6202102528443</v>
      </c>
      <c r="C50" s="15">
        <v>9.9143669874501796</v>
      </c>
      <c r="D50" s="26" t="s">
        <v>80</v>
      </c>
    </row>
    <row r="51" spans="1:4">
      <c r="A51" s="9" t="s">
        <v>200</v>
      </c>
      <c r="B51" s="15">
        <v>11.582412745666</v>
      </c>
      <c r="C51" s="15">
        <v>11.909141356438001</v>
      </c>
      <c r="D51" s="24">
        <v>11.8247130800933</v>
      </c>
    </row>
    <row r="52" spans="1:4">
      <c r="A52" s="9" t="s">
        <v>201</v>
      </c>
      <c r="B52" s="15">
        <v>18.5031954932183</v>
      </c>
      <c r="C52" s="15">
        <v>18.676366064504101</v>
      </c>
      <c r="D52" s="24">
        <v>19.723498138028798</v>
      </c>
    </row>
    <row r="53" spans="1:4">
      <c r="A53" s="9" t="s">
        <v>202</v>
      </c>
      <c r="B53" s="15">
        <v>14.507494064534599</v>
      </c>
      <c r="C53" s="15">
        <v>13.7973795641888</v>
      </c>
      <c r="D53" s="24">
        <v>12.805706346481299</v>
      </c>
    </row>
    <row r="54" spans="1:4">
      <c r="A54" s="9" t="s">
        <v>203</v>
      </c>
      <c r="B54" s="15">
        <v>14.7865648991214</v>
      </c>
      <c r="C54" s="15">
        <v>12.2864019422396</v>
      </c>
      <c r="D54" s="24">
        <v>12.6906702609094</v>
      </c>
    </row>
    <row r="55" spans="1:4">
      <c r="A55" s="9" t="s">
        <v>204</v>
      </c>
      <c r="B55" s="15">
        <v>6.3798932352811404</v>
      </c>
      <c r="C55" s="15">
        <v>8.1079942414673898</v>
      </c>
      <c r="D55" s="26" t="s">
        <v>80</v>
      </c>
    </row>
    <row r="56" spans="1:4">
      <c r="A56" s="9" t="s">
        <v>205</v>
      </c>
      <c r="B56" s="15">
        <v>8.5445067396954109</v>
      </c>
      <c r="C56" s="15">
        <v>8.0356097609833501</v>
      </c>
      <c r="D56" s="26" t="s">
        <v>80</v>
      </c>
    </row>
    <row r="57" spans="1:4">
      <c r="A57" s="9" t="s">
        <v>206</v>
      </c>
      <c r="B57" s="15">
        <v>7.9050075093065502</v>
      </c>
      <c r="C57" s="15">
        <v>7.4728763415363497</v>
      </c>
      <c r="D57" s="26" t="s">
        <v>80</v>
      </c>
    </row>
    <row r="58" spans="1:4">
      <c r="A58" s="9" t="s">
        <v>207</v>
      </c>
      <c r="B58" s="15">
        <v>12.893833022931901</v>
      </c>
      <c r="C58" s="15">
        <v>14.0423453474162</v>
      </c>
      <c r="D58" s="24">
        <v>13.398155864917999</v>
      </c>
    </row>
    <row r="59" spans="1:4">
      <c r="A59" s="9" t="s">
        <v>208</v>
      </c>
      <c r="B59" s="15">
        <v>4.4486652432699296</v>
      </c>
      <c r="C59" s="15">
        <v>3.2197357166380902</v>
      </c>
      <c r="D59" s="26" t="s">
        <v>80</v>
      </c>
    </row>
    <row r="60" spans="1:4">
      <c r="A60" s="9" t="s">
        <v>209</v>
      </c>
      <c r="B60" s="15">
        <v>4.39046728976738</v>
      </c>
      <c r="C60" s="15">
        <v>3.6542787648931401</v>
      </c>
      <c r="D60" s="26" t="s">
        <v>80</v>
      </c>
    </row>
    <row r="61" spans="1:4">
      <c r="A61" s="9" t="s">
        <v>210</v>
      </c>
      <c r="B61" s="15">
        <v>6.3405332130841199</v>
      </c>
      <c r="C61" s="15">
        <v>5.7594522750203501</v>
      </c>
      <c r="D61" s="26" t="s">
        <v>80</v>
      </c>
    </row>
    <row r="62" spans="1:4">
      <c r="A62" s="9" t="s">
        <v>211</v>
      </c>
      <c r="B62" s="15">
        <v>9.6398059347400302</v>
      </c>
      <c r="C62" s="15">
        <v>10.3701543023305</v>
      </c>
      <c r="D62" s="26" t="s">
        <v>80</v>
      </c>
    </row>
    <row r="63" spans="1:4">
      <c r="A63" s="9" t="s">
        <v>212</v>
      </c>
      <c r="B63" s="15">
        <v>11.869512802441101</v>
      </c>
      <c r="C63" s="15">
        <v>11.5912906490372</v>
      </c>
      <c r="D63" s="24">
        <v>10.298381955412401</v>
      </c>
    </row>
    <row r="64" spans="1:4">
      <c r="A64" s="11" t="s">
        <v>213</v>
      </c>
      <c r="B64" s="16">
        <v>1.95454557261704</v>
      </c>
      <c r="C64" s="28" t="s">
        <v>80</v>
      </c>
      <c r="D64" s="29" t="s">
        <v>80</v>
      </c>
    </row>
    <row r="65" spans="1:1" ht="30" customHeight="1">
      <c r="A65" t="s">
        <v>146</v>
      </c>
    </row>
    <row r="66" spans="1:1">
      <c r="A66" t="s">
        <v>93</v>
      </c>
    </row>
    <row r="67" spans="1:1">
      <c r="A67" t="s">
        <v>94</v>
      </c>
    </row>
    <row r="68" spans="1:1">
      <c r="A68" t="s">
        <v>95</v>
      </c>
    </row>
    <row r="69" spans="1:1">
      <c r="A69" t="s">
        <v>96</v>
      </c>
    </row>
    <row r="70" spans="1:1">
      <c r="A70" t="s">
        <v>97</v>
      </c>
    </row>
    <row r="71" spans="1:1">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3"/>
  <sheetViews>
    <sheetView zoomScale="70" workbookViewId="0"/>
  </sheetViews>
  <sheetFormatPr defaultColWidth="10.90625" defaultRowHeight="15"/>
  <cols>
    <col min="1" max="1" width="51.6796875" customWidth="1"/>
    <col min="2" max="16" width="15.90625" customWidth="1"/>
  </cols>
  <sheetData>
    <row r="1" spans="1:16" ht="39.9" customHeight="1">
      <c r="A1" s="10" t="s">
        <v>251</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ht="30">
      <c r="A3" s="40" t="s">
        <v>252</v>
      </c>
      <c r="B3" s="15"/>
      <c r="C3" s="15"/>
      <c r="D3" s="24"/>
      <c r="E3" s="15"/>
      <c r="F3" s="15"/>
      <c r="G3" s="24"/>
      <c r="H3" s="15"/>
      <c r="I3" s="15"/>
      <c r="J3" s="24"/>
      <c r="K3" s="15"/>
      <c r="L3" s="15"/>
      <c r="M3" s="24"/>
      <c r="N3" s="15"/>
      <c r="O3" s="15"/>
      <c r="P3" s="24"/>
    </row>
    <row r="4" spans="1:16">
      <c r="A4" s="9" t="s">
        <v>253</v>
      </c>
      <c r="B4" s="15">
        <v>50.388484904716798</v>
      </c>
      <c r="C4" s="15">
        <v>60.3465556313961</v>
      </c>
      <c r="D4" s="24">
        <v>42.1093057542083</v>
      </c>
      <c r="E4" s="15">
        <v>55.107711649409197</v>
      </c>
      <c r="F4" s="15">
        <v>63.779323865823002</v>
      </c>
      <c r="G4" s="24">
        <v>47.735264765888999</v>
      </c>
      <c r="H4" s="15">
        <v>46.207561478287502</v>
      </c>
      <c r="I4" s="15">
        <v>57.452270081495698</v>
      </c>
      <c r="J4" s="24">
        <v>36.992214726879403</v>
      </c>
      <c r="K4" s="15">
        <v>42.734182151837999</v>
      </c>
      <c r="L4" s="20" t="s">
        <v>80</v>
      </c>
      <c r="M4" s="26" t="s">
        <v>80</v>
      </c>
      <c r="N4" s="15">
        <v>36.547216220184197</v>
      </c>
      <c r="O4" s="15">
        <v>48.839543706905403</v>
      </c>
      <c r="P4" s="26" t="s">
        <v>80</v>
      </c>
    </row>
    <row r="5" spans="1:16">
      <c r="A5" s="9" t="s">
        <v>254</v>
      </c>
      <c r="B5" s="15">
        <v>33.880275383755098</v>
      </c>
      <c r="C5" s="15">
        <v>24.3534228803479</v>
      </c>
      <c r="D5" s="24">
        <v>41.800938008179003</v>
      </c>
      <c r="E5" s="15">
        <v>31.1074465239159</v>
      </c>
      <c r="F5" s="15">
        <v>21.725710110468398</v>
      </c>
      <c r="G5" s="24">
        <v>39.083628075532197</v>
      </c>
      <c r="H5" s="15">
        <v>36.9856380981713</v>
      </c>
      <c r="I5" s="15">
        <v>27.069817643496101</v>
      </c>
      <c r="J5" s="24">
        <v>45.111924606695503</v>
      </c>
      <c r="K5" s="20" t="s">
        <v>80</v>
      </c>
      <c r="L5" s="20" t="s">
        <v>80</v>
      </c>
      <c r="M5" s="26" t="s">
        <v>80</v>
      </c>
      <c r="N5" s="15">
        <v>32.215218860315801</v>
      </c>
      <c r="O5" s="20" t="s">
        <v>80</v>
      </c>
      <c r="P5" s="26" t="s">
        <v>80</v>
      </c>
    </row>
    <row r="6" spans="1:16">
      <c r="A6" s="9" t="s">
        <v>255</v>
      </c>
      <c r="B6" s="15">
        <v>6.5333892967648604</v>
      </c>
      <c r="C6" s="15">
        <v>3.3527114797278501</v>
      </c>
      <c r="D6" s="24">
        <v>9.1778173381068804</v>
      </c>
      <c r="E6" s="15">
        <v>5.5199429607325596</v>
      </c>
      <c r="F6" s="15">
        <v>3.7955783933717999</v>
      </c>
      <c r="G6" s="24">
        <v>6.9859663325605297</v>
      </c>
      <c r="H6" s="15">
        <v>7.10648432448329</v>
      </c>
      <c r="I6" s="15">
        <v>2.5129358672476299</v>
      </c>
      <c r="J6" s="24">
        <v>10.8710231263821</v>
      </c>
      <c r="K6" s="20" t="s">
        <v>80</v>
      </c>
      <c r="L6" s="20" t="s">
        <v>80</v>
      </c>
      <c r="M6" s="26" t="s">
        <v>80</v>
      </c>
      <c r="N6" s="20" t="s">
        <v>80</v>
      </c>
      <c r="O6" s="20" t="s">
        <v>80</v>
      </c>
      <c r="P6" s="26" t="s">
        <v>80</v>
      </c>
    </row>
    <row r="7" spans="1:16">
      <c r="A7" s="9" t="s">
        <v>256</v>
      </c>
      <c r="B7" s="15">
        <v>9.1978504147632805</v>
      </c>
      <c r="C7" s="15">
        <v>11.9473100085282</v>
      </c>
      <c r="D7" s="24">
        <v>6.91193889950583</v>
      </c>
      <c r="E7" s="15">
        <v>8.2648988659422802</v>
      </c>
      <c r="F7" s="15">
        <v>10.699387630336799</v>
      </c>
      <c r="G7" s="24">
        <v>6.1951408260183198</v>
      </c>
      <c r="H7" s="15">
        <v>9.7003160990579094</v>
      </c>
      <c r="I7" s="15">
        <v>12.9649764077606</v>
      </c>
      <c r="J7" s="24">
        <v>7.0248375400430101</v>
      </c>
      <c r="K7" s="20" t="s">
        <v>80</v>
      </c>
      <c r="L7" s="20" t="s">
        <v>80</v>
      </c>
      <c r="M7" s="26" t="s">
        <v>80</v>
      </c>
      <c r="N7" s="20" t="s">
        <v>80</v>
      </c>
      <c r="O7" s="20" t="s">
        <v>80</v>
      </c>
      <c r="P7" s="26" t="s">
        <v>80</v>
      </c>
    </row>
    <row r="8" spans="1:16" ht="30">
      <c r="A8" s="40" t="s">
        <v>257</v>
      </c>
      <c r="B8" s="15"/>
      <c r="C8" s="15"/>
      <c r="D8" s="24"/>
      <c r="E8" s="15"/>
      <c r="F8" s="15"/>
      <c r="G8" s="24"/>
      <c r="H8" s="15"/>
      <c r="I8" s="15"/>
      <c r="J8" s="24"/>
      <c r="K8" s="15"/>
      <c r="L8" s="15"/>
      <c r="M8" s="24"/>
      <c r="N8" s="15"/>
      <c r="O8" s="15"/>
      <c r="P8" s="24"/>
    </row>
    <row r="9" spans="1:16">
      <c r="A9" s="9" t="s">
        <v>258</v>
      </c>
      <c r="B9" s="15">
        <v>15.2441238964078</v>
      </c>
      <c r="C9" s="15">
        <v>20.353916749565101</v>
      </c>
      <c r="D9" s="24">
        <v>10.9958220300698</v>
      </c>
      <c r="E9" s="15">
        <v>17.950737162044899</v>
      </c>
      <c r="F9" s="15">
        <v>22.429619533209902</v>
      </c>
      <c r="G9" s="24">
        <v>14.1428728854981</v>
      </c>
      <c r="H9" s="15">
        <v>12.6868144459074</v>
      </c>
      <c r="I9" s="15">
        <v>18.489333663695199</v>
      </c>
      <c r="J9" s="24">
        <v>7.9314909857362501</v>
      </c>
      <c r="K9" s="20" t="s">
        <v>80</v>
      </c>
      <c r="L9" s="20" t="s">
        <v>80</v>
      </c>
      <c r="M9" s="26" t="s">
        <v>80</v>
      </c>
      <c r="N9" s="20" t="s">
        <v>80</v>
      </c>
      <c r="O9" s="20" t="s">
        <v>80</v>
      </c>
      <c r="P9" s="26" t="s">
        <v>80</v>
      </c>
    </row>
    <row r="10" spans="1:16">
      <c r="A10" s="9" t="s">
        <v>259</v>
      </c>
      <c r="B10" s="15">
        <v>43.548976048333898</v>
      </c>
      <c r="C10" s="15">
        <v>49.297378256130699</v>
      </c>
      <c r="D10" s="24">
        <v>38.769731853971798</v>
      </c>
      <c r="E10" s="15">
        <v>45.023898914614698</v>
      </c>
      <c r="F10" s="15">
        <v>49.0950021945049</v>
      </c>
      <c r="G10" s="24">
        <v>41.562720999912301</v>
      </c>
      <c r="H10" s="15">
        <v>43.5269084101243</v>
      </c>
      <c r="I10" s="15">
        <v>51.1740079746072</v>
      </c>
      <c r="J10" s="24">
        <v>37.259900823182903</v>
      </c>
      <c r="K10" s="20" t="s">
        <v>80</v>
      </c>
      <c r="L10" s="20" t="s">
        <v>80</v>
      </c>
      <c r="M10" s="26" t="s">
        <v>80</v>
      </c>
      <c r="N10" s="15">
        <v>22.456331646846898</v>
      </c>
      <c r="O10" s="20" t="s">
        <v>80</v>
      </c>
      <c r="P10" s="26" t="s">
        <v>80</v>
      </c>
    </row>
    <row r="11" spans="1:16">
      <c r="A11" s="9" t="s">
        <v>260</v>
      </c>
      <c r="B11" s="15">
        <v>15.3630176804163</v>
      </c>
      <c r="C11" s="15">
        <v>11.031375509555099</v>
      </c>
      <c r="D11" s="24">
        <v>18.964362010335201</v>
      </c>
      <c r="E11" s="15">
        <v>16.283594246450601</v>
      </c>
      <c r="F11" s="15">
        <v>11.927806551099501</v>
      </c>
      <c r="G11" s="24">
        <v>19.986805669936899</v>
      </c>
      <c r="H11" s="15">
        <v>14.3107650464289</v>
      </c>
      <c r="I11" s="15">
        <v>9.7375201324050096</v>
      </c>
      <c r="J11" s="24">
        <v>18.058664538445999</v>
      </c>
      <c r="K11" s="20" t="s">
        <v>80</v>
      </c>
      <c r="L11" s="20" t="s">
        <v>80</v>
      </c>
      <c r="M11" s="26" t="s">
        <v>80</v>
      </c>
      <c r="N11" s="20" t="s">
        <v>80</v>
      </c>
      <c r="O11" s="20" t="s">
        <v>80</v>
      </c>
      <c r="P11" s="26" t="s">
        <v>80</v>
      </c>
    </row>
    <row r="12" spans="1:16">
      <c r="A12" s="9" t="s">
        <v>261</v>
      </c>
      <c r="B12" s="15">
        <v>18.729056953935601</v>
      </c>
      <c r="C12" s="15">
        <v>11.879423062472799</v>
      </c>
      <c r="D12" s="24">
        <v>24.423869499390001</v>
      </c>
      <c r="E12" s="15">
        <v>15.1913983938319</v>
      </c>
      <c r="F12" s="15">
        <v>10.0513926215251</v>
      </c>
      <c r="G12" s="24">
        <v>19.561337753619199</v>
      </c>
      <c r="H12" s="15">
        <v>21.4962507887249</v>
      </c>
      <c r="I12" s="15">
        <v>13.0030852152018</v>
      </c>
      <c r="J12" s="24">
        <v>28.456632648225199</v>
      </c>
      <c r="K12" s="20" t="s">
        <v>80</v>
      </c>
      <c r="L12" s="20" t="s">
        <v>80</v>
      </c>
      <c r="M12" s="26" t="s">
        <v>80</v>
      </c>
      <c r="N12" s="15">
        <v>31.226437845251802</v>
      </c>
      <c r="O12" s="20" t="s">
        <v>80</v>
      </c>
      <c r="P12" s="26" t="s">
        <v>80</v>
      </c>
    </row>
    <row r="13" spans="1:16">
      <c r="A13" s="9" t="s">
        <v>262</v>
      </c>
      <c r="B13" s="15">
        <v>7.1148254209063699</v>
      </c>
      <c r="C13" s="15">
        <v>7.4379064222762903</v>
      </c>
      <c r="D13" s="24">
        <v>6.8462146062331097</v>
      </c>
      <c r="E13" s="15">
        <v>5.5503712830579204</v>
      </c>
      <c r="F13" s="15">
        <v>6.4961790996607496</v>
      </c>
      <c r="G13" s="24">
        <v>4.7462626910334498</v>
      </c>
      <c r="H13" s="15">
        <v>7.9792613088144702</v>
      </c>
      <c r="I13" s="15">
        <v>7.5960530140908196</v>
      </c>
      <c r="J13" s="24">
        <v>8.2933110044096701</v>
      </c>
      <c r="K13" s="20" t="s">
        <v>80</v>
      </c>
      <c r="L13" s="20" t="s">
        <v>80</v>
      </c>
      <c r="M13" s="26" t="s">
        <v>80</v>
      </c>
      <c r="N13" s="20" t="s">
        <v>80</v>
      </c>
      <c r="O13" s="20" t="s">
        <v>80</v>
      </c>
      <c r="P13" s="26" t="s">
        <v>80</v>
      </c>
    </row>
    <row r="14" spans="1:16">
      <c r="A14" s="40" t="s">
        <v>263</v>
      </c>
      <c r="B14" s="15"/>
      <c r="C14" s="15"/>
      <c r="D14" s="24"/>
      <c r="E14" s="15"/>
      <c r="F14" s="15"/>
      <c r="G14" s="24"/>
      <c r="H14" s="15"/>
      <c r="I14" s="15"/>
      <c r="J14" s="24"/>
      <c r="K14" s="15"/>
      <c r="L14" s="15"/>
      <c r="M14" s="24"/>
      <c r="N14" s="15"/>
      <c r="O14" s="15"/>
      <c r="P14" s="24"/>
    </row>
    <row r="15" spans="1:16">
      <c r="A15" s="9" t="s">
        <v>264</v>
      </c>
      <c r="B15" s="15">
        <v>58.511305693563898</v>
      </c>
      <c r="C15" s="15">
        <v>68.349261196696006</v>
      </c>
      <c r="D15" s="24">
        <v>50.331990812123699</v>
      </c>
      <c r="E15" s="15">
        <v>68.210823096035199</v>
      </c>
      <c r="F15" s="15">
        <v>73.993266546191293</v>
      </c>
      <c r="G15" s="24">
        <v>63.2946949148714</v>
      </c>
      <c r="H15" s="15">
        <v>50.142816154642603</v>
      </c>
      <c r="I15" s="15">
        <v>64.047036068556096</v>
      </c>
      <c r="J15" s="24">
        <v>38.747927026258402</v>
      </c>
      <c r="K15" s="20" t="s">
        <v>80</v>
      </c>
      <c r="L15" s="20" t="s">
        <v>80</v>
      </c>
      <c r="M15" s="26" t="s">
        <v>80</v>
      </c>
      <c r="N15" s="15">
        <v>31.585355934520301</v>
      </c>
      <c r="O15" s="15">
        <v>42.954672914051898</v>
      </c>
      <c r="P15" s="26" t="s">
        <v>80</v>
      </c>
    </row>
    <row r="16" spans="1:16">
      <c r="A16" s="9" t="s">
        <v>265</v>
      </c>
      <c r="B16" s="15">
        <v>34.831406017500697</v>
      </c>
      <c r="C16" s="15">
        <v>28.385599526895401</v>
      </c>
      <c r="D16" s="24">
        <v>40.190474874308102</v>
      </c>
      <c r="E16" s="15">
        <v>27.391743345303802</v>
      </c>
      <c r="F16" s="15">
        <v>23.063192120806001</v>
      </c>
      <c r="G16" s="24">
        <v>31.071798816973001</v>
      </c>
      <c r="H16" s="15">
        <v>41.793486614972799</v>
      </c>
      <c r="I16" s="15">
        <v>32.8182459371588</v>
      </c>
      <c r="J16" s="24">
        <v>49.1489422289849</v>
      </c>
      <c r="K16" s="15">
        <v>51.631778623252004</v>
      </c>
      <c r="L16" s="20" t="s">
        <v>80</v>
      </c>
      <c r="M16" s="24">
        <v>50.241983348391202</v>
      </c>
      <c r="N16" s="15">
        <v>46.163621626770698</v>
      </c>
      <c r="O16" s="15">
        <v>45.528666878651698</v>
      </c>
      <c r="P16" s="24">
        <v>46.846937780205799</v>
      </c>
    </row>
    <row r="17" spans="1:16">
      <c r="A17" s="9" t="s">
        <v>266</v>
      </c>
      <c r="B17" s="15">
        <v>6.6572882889353702</v>
      </c>
      <c r="C17" s="15">
        <v>3.2651392764085698</v>
      </c>
      <c r="D17" s="24">
        <v>9.47753431356821</v>
      </c>
      <c r="E17" s="15">
        <v>4.3974335586610396</v>
      </c>
      <c r="F17" s="15">
        <v>2.9435413330027398</v>
      </c>
      <c r="G17" s="24">
        <v>5.6335062681556103</v>
      </c>
      <c r="H17" s="15">
        <v>8.0636972303845909</v>
      </c>
      <c r="I17" s="15">
        <v>3.1347179942850598</v>
      </c>
      <c r="J17" s="24">
        <v>12.103130744756699</v>
      </c>
      <c r="K17" s="20" t="s">
        <v>80</v>
      </c>
      <c r="L17" s="20" t="s">
        <v>80</v>
      </c>
      <c r="M17" s="26" t="s">
        <v>80</v>
      </c>
      <c r="N17" s="20" t="s">
        <v>80</v>
      </c>
      <c r="O17" s="20" t="s">
        <v>80</v>
      </c>
      <c r="P17" s="26" t="s">
        <v>80</v>
      </c>
    </row>
    <row r="18" spans="1:16" ht="30">
      <c r="A18" s="40" t="s">
        <v>267</v>
      </c>
      <c r="B18" s="15"/>
      <c r="C18" s="15"/>
      <c r="D18" s="24"/>
      <c r="E18" s="15"/>
      <c r="F18" s="15"/>
      <c r="G18" s="24"/>
      <c r="H18" s="15"/>
      <c r="I18" s="15"/>
      <c r="J18" s="24"/>
      <c r="K18" s="15"/>
      <c r="L18" s="15"/>
      <c r="M18" s="24"/>
      <c r="N18" s="15"/>
      <c r="O18" s="15"/>
      <c r="P18" s="24"/>
    </row>
    <row r="19" spans="1:16">
      <c r="A19" s="9" t="s">
        <v>264</v>
      </c>
      <c r="B19" s="15">
        <v>39.364610845461698</v>
      </c>
      <c r="C19" s="15">
        <v>48.878805905446796</v>
      </c>
      <c r="D19" s="24">
        <v>31.454471669259402</v>
      </c>
      <c r="E19" s="15">
        <v>45.3578467805632</v>
      </c>
      <c r="F19" s="15">
        <v>53.214065429669802</v>
      </c>
      <c r="G19" s="24">
        <v>38.678632667848497</v>
      </c>
      <c r="H19" s="15">
        <v>34.091058574805302</v>
      </c>
      <c r="I19" s="15">
        <v>45.074827179065103</v>
      </c>
      <c r="J19" s="24">
        <v>25.089559301039799</v>
      </c>
      <c r="K19" s="20" t="s">
        <v>80</v>
      </c>
      <c r="L19" s="20" t="s">
        <v>80</v>
      </c>
      <c r="M19" s="26" t="s">
        <v>80</v>
      </c>
      <c r="N19" s="20" t="s">
        <v>80</v>
      </c>
      <c r="O19" s="20" t="s">
        <v>80</v>
      </c>
      <c r="P19" s="26" t="s">
        <v>80</v>
      </c>
    </row>
    <row r="20" spans="1:16">
      <c r="A20" s="9" t="s">
        <v>268</v>
      </c>
      <c r="B20" s="15">
        <v>25.089389109274698</v>
      </c>
      <c r="C20" s="15">
        <v>24.298046333620999</v>
      </c>
      <c r="D20" s="24">
        <v>25.747314603973599</v>
      </c>
      <c r="E20" s="15">
        <v>23.7400623927408</v>
      </c>
      <c r="F20" s="15">
        <v>22.4689632734021</v>
      </c>
      <c r="G20" s="24">
        <v>24.820727730066999</v>
      </c>
      <c r="H20" s="15">
        <v>26.827633000441001</v>
      </c>
      <c r="I20" s="15">
        <v>26.505919567773201</v>
      </c>
      <c r="J20" s="24">
        <v>27.091285971917099</v>
      </c>
      <c r="K20" s="20" t="s">
        <v>80</v>
      </c>
      <c r="L20" s="20" t="s">
        <v>80</v>
      </c>
      <c r="M20" s="26" t="s">
        <v>80</v>
      </c>
      <c r="N20" s="15">
        <v>19.160111320578899</v>
      </c>
      <c r="O20" s="20" t="s">
        <v>80</v>
      </c>
      <c r="P20" s="26" t="s">
        <v>80</v>
      </c>
    </row>
    <row r="21" spans="1:16">
      <c r="A21" s="9" t="s">
        <v>266</v>
      </c>
      <c r="B21" s="15">
        <v>5.40151440433754</v>
      </c>
      <c r="C21" s="15">
        <v>3.8859597535314498</v>
      </c>
      <c r="D21" s="24">
        <v>6.6615524991457198</v>
      </c>
      <c r="E21" s="15">
        <v>4.7300816331792896</v>
      </c>
      <c r="F21" s="15">
        <v>3.8712941187959098</v>
      </c>
      <c r="G21" s="24">
        <v>5.4602071480215901</v>
      </c>
      <c r="H21" s="15">
        <v>6.0257435065192899</v>
      </c>
      <c r="I21" s="15">
        <v>3.7554148358975401</v>
      </c>
      <c r="J21" s="24">
        <v>7.8863400482094503</v>
      </c>
      <c r="K21" s="20" t="s">
        <v>80</v>
      </c>
      <c r="L21" s="20" t="s">
        <v>80</v>
      </c>
      <c r="M21" s="26" t="s">
        <v>80</v>
      </c>
      <c r="N21" s="20" t="s">
        <v>80</v>
      </c>
      <c r="O21" s="20" t="s">
        <v>80</v>
      </c>
      <c r="P21" s="26" t="s">
        <v>80</v>
      </c>
    </row>
    <row r="22" spans="1:16">
      <c r="A22" s="9" t="s">
        <v>269</v>
      </c>
      <c r="B22" s="15">
        <v>30.144485640926</v>
      </c>
      <c r="C22" s="15">
        <v>22.937188007400799</v>
      </c>
      <c r="D22" s="24">
        <v>36.136661227621197</v>
      </c>
      <c r="E22" s="15">
        <v>26.1720091935168</v>
      </c>
      <c r="F22" s="15">
        <v>20.4456771781322</v>
      </c>
      <c r="G22" s="24">
        <v>31.040432454062898</v>
      </c>
      <c r="H22" s="15">
        <v>33.055564918234403</v>
      </c>
      <c r="I22" s="15">
        <v>24.663838417264198</v>
      </c>
      <c r="J22" s="24">
        <v>39.932814678833701</v>
      </c>
      <c r="K22" s="15">
        <v>40.535978830125302</v>
      </c>
      <c r="L22" s="20" t="s">
        <v>80</v>
      </c>
      <c r="M22" s="24">
        <v>49.117024270219098</v>
      </c>
      <c r="N22" s="15">
        <v>52.114748933230899</v>
      </c>
      <c r="O22" s="20" t="s">
        <v>80</v>
      </c>
      <c r="P22" s="24">
        <v>61.912964892841003</v>
      </c>
    </row>
    <row r="23" spans="1:16" ht="30">
      <c r="A23" s="40" t="s">
        <v>270</v>
      </c>
      <c r="B23" s="15"/>
      <c r="C23" s="15"/>
      <c r="D23" s="24"/>
      <c r="E23" s="15"/>
      <c r="F23" s="15"/>
      <c r="G23" s="24"/>
      <c r="H23" s="15"/>
      <c r="I23" s="15"/>
      <c r="J23" s="24"/>
      <c r="K23" s="15"/>
      <c r="L23" s="15"/>
      <c r="M23" s="24"/>
      <c r="N23" s="15"/>
      <c r="O23" s="15"/>
      <c r="P23" s="24"/>
    </row>
    <row r="24" spans="1:16">
      <c r="A24" s="9" t="s">
        <v>253</v>
      </c>
      <c r="B24" s="15">
        <v>45.405211794734299</v>
      </c>
      <c r="C24" s="15">
        <v>49.554214289948</v>
      </c>
      <c r="D24" s="24">
        <v>41.955714809163403</v>
      </c>
      <c r="E24" s="15">
        <v>51.165695654203503</v>
      </c>
      <c r="F24" s="15">
        <v>55.138761000421098</v>
      </c>
      <c r="G24" s="24">
        <v>47.787867806424302</v>
      </c>
      <c r="H24" s="15">
        <v>39.960381841818503</v>
      </c>
      <c r="I24" s="15">
        <v>44.075553766593202</v>
      </c>
      <c r="J24" s="24">
        <v>36.587885713494003</v>
      </c>
      <c r="K24" s="15">
        <v>38.939635607076497</v>
      </c>
      <c r="L24" s="20" t="s">
        <v>80</v>
      </c>
      <c r="M24" s="26" t="s">
        <v>80</v>
      </c>
      <c r="N24" s="15">
        <v>33.913775369310898</v>
      </c>
      <c r="O24" s="15">
        <v>42.233518555428802</v>
      </c>
      <c r="P24" s="26" t="s">
        <v>80</v>
      </c>
    </row>
    <row r="25" spans="1:16">
      <c r="A25" s="9" t="s">
        <v>254</v>
      </c>
      <c r="B25" s="15">
        <v>23.414104117023001</v>
      </c>
      <c r="C25" s="15">
        <v>24.6227129597515</v>
      </c>
      <c r="D25" s="24">
        <v>22.409261973752301</v>
      </c>
      <c r="E25" s="15">
        <v>21.912371442300699</v>
      </c>
      <c r="F25" s="15">
        <v>22.202541549249499</v>
      </c>
      <c r="G25" s="24">
        <v>21.665674098453099</v>
      </c>
      <c r="H25" s="15">
        <v>25.209067885529599</v>
      </c>
      <c r="I25" s="15">
        <v>27.0579869081708</v>
      </c>
      <c r="J25" s="24">
        <v>23.693828094962601</v>
      </c>
      <c r="K25" s="20" t="s">
        <v>80</v>
      </c>
      <c r="L25" s="20" t="s">
        <v>80</v>
      </c>
      <c r="M25" s="26" t="s">
        <v>80</v>
      </c>
      <c r="N25" s="15">
        <v>23.708831397984302</v>
      </c>
      <c r="O25" s="20" t="s">
        <v>80</v>
      </c>
      <c r="P25" s="26" t="s">
        <v>80</v>
      </c>
    </row>
    <row r="26" spans="1:16">
      <c r="A26" s="9" t="s">
        <v>255</v>
      </c>
      <c r="B26" s="15">
        <v>6.9479989099247303</v>
      </c>
      <c r="C26" s="15">
        <v>6.7360331313541</v>
      </c>
      <c r="D26" s="24">
        <v>7.1242280915333298</v>
      </c>
      <c r="E26" s="15">
        <v>6.8026653693676797</v>
      </c>
      <c r="F26" s="15">
        <v>6.7471115540919504</v>
      </c>
      <c r="G26" s="24">
        <v>6.8498962120386597</v>
      </c>
      <c r="H26" s="15">
        <v>7.0347417615454599</v>
      </c>
      <c r="I26" s="15">
        <v>6.6637969023397003</v>
      </c>
      <c r="J26" s="24">
        <v>7.3387412357744299</v>
      </c>
      <c r="K26" s="20" t="s">
        <v>80</v>
      </c>
      <c r="L26" s="20" t="s">
        <v>80</v>
      </c>
      <c r="M26" s="26" t="s">
        <v>80</v>
      </c>
      <c r="N26" s="20" t="s">
        <v>80</v>
      </c>
      <c r="O26" s="20" t="s">
        <v>80</v>
      </c>
      <c r="P26" s="26" t="s">
        <v>80</v>
      </c>
    </row>
    <row r="27" spans="1:16">
      <c r="A27" s="9" t="s">
        <v>271</v>
      </c>
      <c r="B27" s="15">
        <v>24.232685178318</v>
      </c>
      <c r="C27" s="15">
        <v>19.087039618946399</v>
      </c>
      <c r="D27" s="24">
        <v>28.510795125550999</v>
      </c>
      <c r="E27" s="15">
        <v>20.119267534128198</v>
      </c>
      <c r="F27" s="15">
        <v>15.911585896237399</v>
      </c>
      <c r="G27" s="24">
        <v>23.696561883084001</v>
      </c>
      <c r="H27" s="15">
        <v>27.795808511106401</v>
      </c>
      <c r="I27" s="15">
        <v>22.202662422896399</v>
      </c>
      <c r="J27" s="24">
        <v>32.379544955768999</v>
      </c>
      <c r="K27" s="20" t="s">
        <v>80</v>
      </c>
      <c r="L27" s="20" t="s">
        <v>80</v>
      </c>
      <c r="M27" s="26" t="s">
        <v>80</v>
      </c>
      <c r="N27" s="15">
        <v>35.042737757810698</v>
      </c>
      <c r="O27" s="20" t="s">
        <v>80</v>
      </c>
      <c r="P27" s="24">
        <v>44.158679607746798</v>
      </c>
    </row>
    <row r="28" spans="1:16" ht="30">
      <c r="A28" s="40" t="s">
        <v>272</v>
      </c>
      <c r="B28" s="15"/>
      <c r="C28" s="15"/>
      <c r="D28" s="24"/>
      <c r="E28" s="15"/>
      <c r="F28" s="15"/>
      <c r="G28" s="24"/>
      <c r="H28" s="15"/>
      <c r="I28" s="15"/>
      <c r="J28" s="24"/>
      <c r="K28" s="15"/>
      <c r="L28" s="15"/>
      <c r="M28" s="24"/>
      <c r="N28" s="15"/>
      <c r="O28" s="15"/>
      <c r="P28" s="24"/>
    </row>
    <row r="29" spans="1:16">
      <c r="A29" s="9" t="s">
        <v>253</v>
      </c>
      <c r="B29" s="15">
        <v>56.532145098629798</v>
      </c>
      <c r="C29" s="15">
        <v>61.879088514365698</v>
      </c>
      <c r="D29" s="24">
        <v>52.086675322249597</v>
      </c>
      <c r="E29" s="15">
        <v>61.596861999338003</v>
      </c>
      <c r="F29" s="15">
        <v>66.489260343374497</v>
      </c>
      <c r="G29" s="24">
        <v>57.437433968624198</v>
      </c>
      <c r="H29" s="15">
        <v>52.295544174764402</v>
      </c>
      <c r="I29" s="15">
        <v>57.8714573152645</v>
      </c>
      <c r="J29" s="24">
        <v>47.725930602850099</v>
      </c>
      <c r="K29" s="15">
        <v>44.2376937131449</v>
      </c>
      <c r="L29" s="20" t="s">
        <v>80</v>
      </c>
      <c r="M29" s="26" t="s">
        <v>80</v>
      </c>
      <c r="N29" s="15">
        <v>38.870643879495397</v>
      </c>
      <c r="O29" s="15">
        <v>44.066731528874897</v>
      </c>
      <c r="P29" s="26" t="s">
        <v>80</v>
      </c>
    </row>
    <row r="30" spans="1:16">
      <c r="A30" s="9" t="s">
        <v>254</v>
      </c>
      <c r="B30" s="15">
        <v>27.156252966800199</v>
      </c>
      <c r="C30" s="15">
        <v>25.947529946077498</v>
      </c>
      <c r="D30" s="24">
        <v>28.161190038104198</v>
      </c>
      <c r="E30" s="15">
        <v>24.952746453714202</v>
      </c>
      <c r="F30" s="15">
        <v>23.6440852281914</v>
      </c>
      <c r="G30" s="24">
        <v>26.065346410089901</v>
      </c>
      <c r="H30" s="15">
        <v>28.824702739949899</v>
      </c>
      <c r="I30" s="15">
        <v>27.502123534688799</v>
      </c>
      <c r="J30" s="24">
        <v>29.908592630987599</v>
      </c>
      <c r="K30" s="15">
        <v>36.120591090470803</v>
      </c>
      <c r="L30" s="20" t="s">
        <v>80</v>
      </c>
      <c r="M30" s="26" t="s">
        <v>80</v>
      </c>
      <c r="N30" s="15">
        <v>36.348431469137999</v>
      </c>
      <c r="O30" s="20" t="s">
        <v>80</v>
      </c>
      <c r="P30" s="26" t="s">
        <v>80</v>
      </c>
    </row>
    <row r="31" spans="1:16">
      <c r="A31" s="9" t="s">
        <v>255</v>
      </c>
      <c r="B31" s="15">
        <v>4.1486455229221102</v>
      </c>
      <c r="C31" s="15">
        <v>3.4950258308238702</v>
      </c>
      <c r="D31" s="24">
        <v>4.69206750451976</v>
      </c>
      <c r="E31" s="15">
        <v>3.80250798606462</v>
      </c>
      <c r="F31" s="15">
        <v>2.96839469060588</v>
      </c>
      <c r="G31" s="24">
        <v>4.5116559290466398</v>
      </c>
      <c r="H31" s="15">
        <v>4.3373925594111302</v>
      </c>
      <c r="I31" s="15">
        <v>3.9505612115915598</v>
      </c>
      <c r="J31" s="24">
        <v>4.65441144627271</v>
      </c>
      <c r="K31" s="20" t="s">
        <v>80</v>
      </c>
      <c r="L31" s="20" t="s">
        <v>80</v>
      </c>
      <c r="M31" s="26" t="s">
        <v>80</v>
      </c>
      <c r="N31" s="20" t="s">
        <v>80</v>
      </c>
      <c r="O31" s="20" t="s">
        <v>80</v>
      </c>
      <c r="P31" s="26" t="s">
        <v>80</v>
      </c>
    </row>
    <row r="32" spans="1:16">
      <c r="A32" s="9" t="s">
        <v>273</v>
      </c>
      <c r="B32" s="15">
        <v>12.162956411647899</v>
      </c>
      <c r="C32" s="15">
        <v>8.6783557087328997</v>
      </c>
      <c r="D32" s="24">
        <v>15.0600671351265</v>
      </c>
      <c r="E32" s="15">
        <v>9.6478835608832494</v>
      </c>
      <c r="F32" s="15">
        <v>6.8982597378282602</v>
      </c>
      <c r="G32" s="24">
        <v>11.9855636922393</v>
      </c>
      <c r="H32" s="15">
        <v>14.542360525874599</v>
      </c>
      <c r="I32" s="15">
        <v>10.675857938455099</v>
      </c>
      <c r="J32" s="24">
        <v>17.711065319889599</v>
      </c>
      <c r="K32" s="20" t="s">
        <v>80</v>
      </c>
      <c r="L32" s="20" t="s">
        <v>80</v>
      </c>
      <c r="M32" s="26" t="s">
        <v>80</v>
      </c>
      <c r="N32" s="20" t="s">
        <v>80</v>
      </c>
      <c r="O32" s="20" t="s">
        <v>80</v>
      </c>
      <c r="P32" s="26" t="s">
        <v>80</v>
      </c>
    </row>
    <row r="33" spans="1:16">
      <c r="A33" s="40" t="s">
        <v>274</v>
      </c>
      <c r="B33" s="15"/>
      <c r="C33" s="15"/>
      <c r="D33" s="24"/>
      <c r="E33" s="15"/>
      <c r="F33" s="15"/>
      <c r="G33" s="24"/>
      <c r="H33" s="15"/>
      <c r="I33" s="15"/>
      <c r="J33" s="24"/>
      <c r="K33" s="15"/>
      <c r="L33" s="15"/>
      <c r="M33" s="24"/>
      <c r="N33" s="15"/>
      <c r="O33" s="15"/>
      <c r="P33" s="24"/>
    </row>
    <row r="34" spans="1:16">
      <c r="A34" s="9" t="s">
        <v>275</v>
      </c>
      <c r="B34" s="15">
        <v>26.873563451707401</v>
      </c>
      <c r="C34" s="15">
        <v>33.406173267582098</v>
      </c>
      <c r="D34" s="24">
        <v>21.442325969019599</v>
      </c>
      <c r="E34" s="15">
        <v>33.236227668102501</v>
      </c>
      <c r="F34" s="15">
        <v>38.639049880735897</v>
      </c>
      <c r="G34" s="24">
        <v>28.642846553994499</v>
      </c>
      <c r="H34" s="15">
        <v>20.291948714247301</v>
      </c>
      <c r="I34" s="15">
        <v>28.0605228242311</v>
      </c>
      <c r="J34" s="24">
        <v>13.925389409448</v>
      </c>
      <c r="K34" s="20" t="s">
        <v>80</v>
      </c>
      <c r="L34" s="20" t="s">
        <v>80</v>
      </c>
      <c r="M34" s="26" t="s">
        <v>80</v>
      </c>
      <c r="N34" s="15">
        <v>24.669091614940701</v>
      </c>
      <c r="O34" s="20" t="s">
        <v>80</v>
      </c>
      <c r="P34" s="26" t="s">
        <v>80</v>
      </c>
    </row>
    <row r="35" spans="1:16">
      <c r="A35" s="9" t="s">
        <v>276</v>
      </c>
      <c r="B35" s="15">
        <v>41.461733713460802</v>
      </c>
      <c r="C35" s="15">
        <v>39.3847441309088</v>
      </c>
      <c r="D35" s="24">
        <v>43.188551017702103</v>
      </c>
      <c r="E35" s="15">
        <v>42.178130084014903</v>
      </c>
      <c r="F35" s="15">
        <v>38.371364178852097</v>
      </c>
      <c r="G35" s="24">
        <v>45.414573173650197</v>
      </c>
      <c r="H35" s="15">
        <v>41.845439112245003</v>
      </c>
      <c r="I35" s="15">
        <v>41.304655560987001</v>
      </c>
      <c r="J35" s="24">
        <v>42.288626047376297</v>
      </c>
      <c r="K35" s="20" t="s">
        <v>80</v>
      </c>
      <c r="L35" s="20" t="s">
        <v>80</v>
      </c>
      <c r="M35" s="26" t="s">
        <v>80</v>
      </c>
      <c r="N35" s="15">
        <v>24.750330824172998</v>
      </c>
      <c r="O35" s="20" t="s">
        <v>80</v>
      </c>
      <c r="P35" s="26" t="s">
        <v>80</v>
      </c>
    </row>
    <row r="36" spans="1:16">
      <c r="A36" s="9" t="s">
        <v>277</v>
      </c>
      <c r="B36" s="15">
        <v>23.252427505491202</v>
      </c>
      <c r="C36" s="15">
        <v>19.968564587421898</v>
      </c>
      <c r="D36" s="24">
        <v>25.9826440454849</v>
      </c>
      <c r="E36" s="15">
        <v>18.538016247238399</v>
      </c>
      <c r="F36" s="15">
        <v>15.7083895867179</v>
      </c>
      <c r="G36" s="24">
        <v>20.9437133349603</v>
      </c>
      <c r="H36" s="15">
        <v>27.644812620019302</v>
      </c>
      <c r="I36" s="15">
        <v>23.664575386927702</v>
      </c>
      <c r="J36" s="24">
        <v>30.906726071946299</v>
      </c>
      <c r="K36" s="20" t="s">
        <v>80</v>
      </c>
      <c r="L36" s="20" t="s">
        <v>80</v>
      </c>
      <c r="M36" s="26" t="s">
        <v>80</v>
      </c>
      <c r="N36" s="15">
        <v>29.458326477661799</v>
      </c>
      <c r="O36" s="20" t="s">
        <v>80</v>
      </c>
      <c r="P36" s="26" t="s">
        <v>80</v>
      </c>
    </row>
    <row r="37" spans="1:16">
      <c r="A37" s="11" t="s">
        <v>278</v>
      </c>
      <c r="B37" s="16">
        <v>8.4122753293405808</v>
      </c>
      <c r="C37" s="16">
        <v>7.2405180140872298</v>
      </c>
      <c r="D37" s="25">
        <v>9.3864789677933906</v>
      </c>
      <c r="E37" s="16">
        <v>6.0476260006441702</v>
      </c>
      <c r="F37" s="16">
        <v>7.28119635369415</v>
      </c>
      <c r="G37" s="25">
        <v>4.9988669373949897</v>
      </c>
      <c r="H37" s="16">
        <v>10.217799553488399</v>
      </c>
      <c r="I37" s="16">
        <v>6.9702462278541697</v>
      </c>
      <c r="J37" s="25">
        <v>12.8792584712294</v>
      </c>
      <c r="K37" s="28" t="s">
        <v>80</v>
      </c>
      <c r="L37" s="28" t="s">
        <v>80</v>
      </c>
      <c r="M37" s="29" t="s">
        <v>80</v>
      </c>
      <c r="N37" s="28" t="s">
        <v>80</v>
      </c>
      <c r="O37" s="28" t="s">
        <v>80</v>
      </c>
      <c r="P37" s="29" t="s">
        <v>80</v>
      </c>
    </row>
    <row r="38" spans="1:16" ht="30" customHeight="1">
      <c r="A38" t="s">
        <v>93</v>
      </c>
    </row>
    <row r="39" spans="1:16">
      <c r="A39" t="s">
        <v>94</v>
      </c>
    </row>
    <row r="40" spans="1:16">
      <c r="A40" t="s">
        <v>95</v>
      </c>
    </row>
    <row r="41" spans="1:16">
      <c r="A41" t="s">
        <v>96</v>
      </c>
    </row>
    <row r="42" spans="1:16">
      <c r="A42" t="s">
        <v>97</v>
      </c>
    </row>
    <row r="43" spans="1:16">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J44"/>
  <sheetViews>
    <sheetView zoomScale="55" workbookViewId="0"/>
  </sheetViews>
  <sheetFormatPr defaultColWidth="10.90625" defaultRowHeight="15"/>
  <cols>
    <col min="1" max="1" width="51.6796875" customWidth="1"/>
    <col min="2" max="35" width="13.6796875" customWidth="1"/>
  </cols>
  <sheetData>
    <row r="1" spans="1:36" ht="39.9" customHeight="1">
      <c r="A1" s="10" t="s">
        <v>279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45">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ht="30">
      <c r="A3" s="40" t="s">
        <v>252</v>
      </c>
      <c r="B3" s="36"/>
      <c r="C3" s="32"/>
      <c r="D3" s="32"/>
      <c r="E3" s="32"/>
      <c r="F3" s="15"/>
      <c r="G3" s="15"/>
      <c r="H3" s="15"/>
      <c r="I3" s="15"/>
      <c r="J3" s="15"/>
      <c r="K3" s="15"/>
      <c r="L3" s="15"/>
      <c r="M3" s="15"/>
      <c r="N3" s="15"/>
      <c r="O3" s="15"/>
      <c r="P3" s="15"/>
      <c r="Q3" s="15"/>
      <c r="R3" s="15"/>
      <c r="S3" s="15"/>
      <c r="T3" s="15"/>
      <c r="U3" s="15"/>
      <c r="V3" s="15"/>
      <c r="W3" s="15"/>
      <c r="X3" s="15"/>
      <c r="Y3" s="15"/>
      <c r="Z3" s="15"/>
      <c r="AA3" s="32"/>
      <c r="AB3" s="15"/>
      <c r="AC3" s="15"/>
      <c r="AD3" s="15"/>
      <c r="AE3" s="15"/>
      <c r="AF3" s="15"/>
      <c r="AG3" s="15"/>
      <c r="AH3" s="15"/>
      <c r="AI3" s="24"/>
      <c r="AJ3" s="38"/>
    </row>
    <row r="4" spans="1:36">
      <c r="A4" s="9" t="s">
        <v>253</v>
      </c>
      <c r="B4" s="36">
        <v>51.412597068578997</v>
      </c>
      <c r="C4" s="32">
        <v>52.564848192151501</v>
      </c>
      <c r="D4" s="32">
        <v>50.388484904716798</v>
      </c>
      <c r="E4" s="32">
        <v>60.3465556313961</v>
      </c>
      <c r="F4" s="15">
        <v>68.852459016393396</v>
      </c>
      <c r="G4" s="15">
        <v>59.322033898305101</v>
      </c>
      <c r="H4" s="15">
        <v>56.6265060240964</v>
      </c>
      <c r="I4" s="15">
        <v>55.5555555555556</v>
      </c>
      <c r="J4" s="15">
        <v>51.785714285714299</v>
      </c>
      <c r="K4" s="15">
        <v>55.5555555555556</v>
      </c>
      <c r="L4" s="15">
        <v>57.2815533980583</v>
      </c>
      <c r="M4" s="15">
        <v>67.901234567901199</v>
      </c>
      <c r="N4" s="15">
        <v>54.237288135593197</v>
      </c>
      <c r="O4" s="15">
        <v>68.421052631579002</v>
      </c>
      <c r="P4" s="15">
        <v>59.756097560975597</v>
      </c>
      <c r="Q4" s="15">
        <v>58.895705521472401</v>
      </c>
      <c r="R4" s="15">
        <v>60.227272727272698</v>
      </c>
      <c r="S4" s="15">
        <v>67.567567567567593</v>
      </c>
      <c r="T4" s="15">
        <v>51.3888888888889</v>
      </c>
      <c r="U4" s="15">
        <v>63.114754098360699</v>
      </c>
      <c r="V4" s="15">
        <v>68.918918918918905</v>
      </c>
      <c r="W4" s="15">
        <v>47.727272727272698</v>
      </c>
      <c r="X4" s="15">
        <v>65.760869565217405</v>
      </c>
      <c r="Y4" s="15">
        <v>63.870967741935502</v>
      </c>
      <c r="Z4" s="15">
        <v>64.035087719298204</v>
      </c>
      <c r="AA4" s="32">
        <v>42.1093057542083</v>
      </c>
      <c r="AB4" s="15">
        <v>35.4838709677419</v>
      </c>
      <c r="AC4" s="15">
        <v>47.003154574132502</v>
      </c>
      <c r="AD4" s="15">
        <v>41.630901287553598</v>
      </c>
      <c r="AE4" s="15">
        <v>44.012944983818798</v>
      </c>
      <c r="AF4" s="15">
        <v>46.071904127829598</v>
      </c>
      <c r="AG4" s="15">
        <v>29.967426710097701</v>
      </c>
      <c r="AH4" s="15">
        <v>58.718861209964402</v>
      </c>
      <c r="AI4" s="24">
        <v>50</v>
      </c>
      <c r="AJ4" s="38"/>
    </row>
    <row r="5" spans="1:36">
      <c r="A5" s="9" t="s">
        <v>254</v>
      </c>
      <c r="B5" s="36">
        <v>33.290941640186297</v>
      </c>
      <c r="C5" s="32">
        <v>32.727005877833101</v>
      </c>
      <c r="D5" s="32">
        <v>33.880275383755098</v>
      </c>
      <c r="E5" s="32">
        <v>24.3534228803479</v>
      </c>
      <c r="F5" s="15">
        <v>26.229508196721302</v>
      </c>
      <c r="G5" s="15">
        <v>27.118644067796598</v>
      </c>
      <c r="H5" s="15">
        <v>18.0722891566265</v>
      </c>
      <c r="I5" s="15">
        <v>26.6666666666667</v>
      </c>
      <c r="J5" s="15">
        <v>28.571428571428601</v>
      </c>
      <c r="K5" s="15">
        <v>30.5555555555556</v>
      </c>
      <c r="L5" s="15">
        <v>31.067961165048501</v>
      </c>
      <c r="M5" s="15">
        <v>19.7530864197531</v>
      </c>
      <c r="N5" s="15">
        <v>28.8135593220339</v>
      </c>
      <c r="O5" s="15">
        <v>19.2982456140351</v>
      </c>
      <c r="P5" s="15">
        <v>28.048780487804901</v>
      </c>
      <c r="Q5" s="15">
        <v>29.4478527607362</v>
      </c>
      <c r="R5" s="15">
        <v>27.272727272727298</v>
      </c>
      <c r="S5" s="15">
        <v>13.5135135135135</v>
      </c>
      <c r="T5" s="15">
        <v>26.3888888888889</v>
      </c>
      <c r="U5" s="15">
        <v>22.9508196721311</v>
      </c>
      <c r="V5" s="15">
        <v>21.6216216216216</v>
      </c>
      <c r="W5" s="15">
        <v>22.727272727272702</v>
      </c>
      <c r="X5" s="15">
        <v>19.565217391304301</v>
      </c>
      <c r="Y5" s="15">
        <v>16.129032258064498</v>
      </c>
      <c r="Z5" s="15">
        <v>20.175438596491201</v>
      </c>
      <c r="AA5" s="32">
        <v>41.800938008179003</v>
      </c>
      <c r="AB5" s="15">
        <v>43.225806451612897</v>
      </c>
      <c r="AC5" s="15">
        <v>42.271293375394301</v>
      </c>
      <c r="AD5" s="15">
        <v>39.484978540772502</v>
      </c>
      <c r="AE5" s="15">
        <v>40.453074433657001</v>
      </c>
      <c r="AF5" s="15">
        <v>41.011984021304897</v>
      </c>
      <c r="AG5" s="15">
        <v>45.276872964169399</v>
      </c>
      <c r="AH5" s="15">
        <v>33.096085409252701</v>
      </c>
      <c r="AI5" s="24">
        <v>27.7777777777778</v>
      </c>
      <c r="AJ5" s="38"/>
    </row>
    <row r="6" spans="1:36">
      <c r="A6" s="9" t="s">
        <v>255</v>
      </c>
      <c r="B6" s="36">
        <v>6.7829086738774702</v>
      </c>
      <c r="C6" s="32">
        <v>6.2425010898129001</v>
      </c>
      <c r="D6" s="32">
        <v>6.5333892967648604</v>
      </c>
      <c r="E6" s="32">
        <v>3.3527114797278501</v>
      </c>
      <c r="F6" s="20" t="s">
        <v>80</v>
      </c>
      <c r="G6" s="20" t="s">
        <v>80</v>
      </c>
      <c r="H6" s="20" t="s">
        <v>80</v>
      </c>
      <c r="I6" s="20" t="s">
        <v>80</v>
      </c>
      <c r="J6" s="20" t="s">
        <v>80</v>
      </c>
      <c r="K6" s="20" t="s">
        <v>80</v>
      </c>
      <c r="L6" s="20" t="s">
        <v>80</v>
      </c>
      <c r="M6" s="20" t="s">
        <v>80</v>
      </c>
      <c r="N6" s="20" t="s">
        <v>80</v>
      </c>
      <c r="O6" s="20" t="s">
        <v>80</v>
      </c>
      <c r="P6" s="20" t="s">
        <v>80</v>
      </c>
      <c r="Q6" s="20" t="s">
        <v>80</v>
      </c>
      <c r="R6" s="15">
        <v>5.6818181818181799</v>
      </c>
      <c r="S6" s="20" t="s">
        <v>80</v>
      </c>
      <c r="T6" s="20" t="s">
        <v>80</v>
      </c>
      <c r="U6" s="20" t="s">
        <v>80</v>
      </c>
      <c r="V6" s="20" t="s">
        <v>80</v>
      </c>
      <c r="W6" s="15">
        <v>9.0909090909090899</v>
      </c>
      <c r="X6" s="15">
        <v>5.4347826086956497</v>
      </c>
      <c r="Y6" s="15">
        <v>3.2258064516128999</v>
      </c>
      <c r="Z6" s="20" t="s">
        <v>80</v>
      </c>
      <c r="AA6" s="32">
        <v>9.1778173381068804</v>
      </c>
      <c r="AB6" s="15">
        <v>9.0322580645161299</v>
      </c>
      <c r="AC6" s="15">
        <v>7.8864353312302802</v>
      </c>
      <c r="AD6" s="15">
        <v>8.5836909871244593</v>
      </c>
      <c r="AE6" s="15">
        <v>6.1488673139158596</v>
      </c>
      <c r="AF6" s="15">
        <v>6.9241011984021297</v>
      </c>
      <c r="AG6" s="15">
        <v>13.6807817589577</v>
      </c>
      <c r="AH6" s="15">
        <v>5.3380782918149503</v>
      </c>
      <c r="AI6" s="26" t="s">
        <v>80</v>
      </c>
      <c r="AJ6" s="38"/>
    </row>
    <row r="7" spans="1:36">
      <c r="A7" s="9" t="s">
        <v>256</v>
      </c>
      <c r="B7" s="36">
        <v>8.5135526173571403</v>
      </c>
      <c r="C7" s="32">
        <v>8.4656448402025006</v>
      </c>
      <c r="D7" s="32">
        <v>9.1978504147632805</v>
      </c>
      <c r="E7" s="32">
        <v>11.9473100085282</v>
      </c>
      <c r="F7" s="15">
        <v>4.9180327868852496</v>
      </c>
      <c r="G7" s="15">
        <v>10.1694915254237</v>
      </c>
      <c r="H7" s="15">
        <v>24.096385542168701</v>
      </c>
      <c r="I7" s="15">
        <v>13.3333333333333</v>
      </c>
      <c r="J7" s="15">
        <v>17.8571428571429</v>
      </c>
      <c r="K7" s="15">
        <v>13.8888888888889</v>
      </c>
      <c r="L7" s="15">
        <v>8.7378640776699008</v>
      </c>
      <c r="M7" s="15">
        <v>12.3456790123457</v>
      </c>
      <c r="N7" s="15">
        <v>10.1694915254237</v>
      </c>
      <c r="O7" s="15">
        <v>10.526315789473699</v>
      </c>
      <c r="P7" s="15">
        <v>8.5365853658536608</v>
      </c>
      <c r="Q7" s="15">
        <v>11.0429447852761</v>
      </c>
      <c r="R7" s="15">
        <v>6.8181818181818201</v>
      </c>
      <c r="S7" s="15">
        <v>14.8648648648649</v>
      </c>
      <c r="T7" s="15">
        <v>18.0555555555556</v>
      </c>
      <c r="U7" s="15">
        <v>10.655737704918</v>
      </c>
      <c r="V7" s="15">
        <v>8.1081081081081106</v>
      </c>
      <c r="W7" s="15">
        <v>20.454545454545499</v>
      </c>
      <c r="X7" s="15">
        <v>9.2391304347826093</v>
      </c>
      <c r="Y7" s="15">
        <v>16.7741935483871</v>
      </c>
      <c r="Z7" s="15">
        <v>14.0350877192982</v>
      </c>
      <c r="AA7" s="32">
        <v>6.91193889950583</v>
      </c>
      <c r="AB7" s="15">
        <v>12.258064516129</v>
      </c>
      <c r="AC7" s="15">
        <v>2.8391167192429001</v>
      </c>
      <c r="AD7" s="15">
        <v>10.300429184549399</v>
      </c>
      <c r="AE7" s="15">
        <v>9.3851132686084107</v>
      </c>
      <c r="AF7" s="15">
        <v>5.9920106524633798</v>
      </c>
      <c r="AG7" s="15">
        <v>11.074918566775199</v>
      </c>
      <c r="AH7" s="15">
        <v>2.8469750889679699</v>
      </c>
      <c r="AI7" s="26" t="s">
        <v>80</v>
      </c>
      <c r="AJ7" s="38"/>
    </row>
    <row r="8" spans="1:36" ht="30">
      <c r="A8" s="40" t="s">
        <v>257</v>
      </c>
      <c r="B8" s="36"/>
      <c r="C8" s="32"/>
      <c r="D8" s="32"/>
      <c r="E8" s="32"/>
      <c r="F8" s="15"/>
      <c r="G8" s="15"/>
      <c r="H8" s="15"/>
      <c r="I8" s="15"/>
      <c r="J8" s="15"/>
      <c r="K8" s="15"/>
      <c r="L8" s="15"/>
      <c r="M8" s="15"/>
      <c r="N8" s="15"/>
      <c r="O8" s="15"/>
      <c r="P8" s="15"/>
      <c r="Q8" s="15"/>
      <c r="R8" s="15"/>
      <c r="S8" s="15"/>
      <c r="T8" s="15"/>
      <c r="U8" s="15"/>
      <c r="V8" s="15"/>
      <c r="W8" s="15"/>
      <c r="X8" s="15"/>
      <c r="Y8" s="15"/>
      <c r="Z8" s="15"/>
      <c r="AA8" s="32"/>
      <c r="AB8" s="15"/>
      <c r="AC8" s="15"/>
      <c r="AD8" s="15"/>
      <c r="AE8" s="15"/>
      <c r="AF8" s="15"/>
      <c r="AG8" s="15"/>
      <c r="AH8" s="15"/>
      <c r="AI8" s="24"/>
      <c r="AJ8" s="38"/>
    </row>
    <row r="9" spans="1:36">
      <c r="A9" s="9" t="s">
        <v>258</v>
      </c>
      <c r="B9" s="36">
        <v>15.3555012742789</v>
      </c>
      <c r="C9" s="32">
        <v>15.2308857961863</v>
      </c>
      <c r="D9" s="32">
        <v>15.2441238964078</v>
      </c>
      <c r="E9" s="32">
        <v>20.353916749565101</v>
      </c>
      <c r="F9" s="15">
        <v>27.868852459016399</v>
      </c>
      <c r="G9" s="15">
        <v>32.203389830508499</v>
      </c>
      <c r="H9" s="15">
        <v>26.506024096385499</v>
      </c>
      <c r="I9" s="15">
        <v>15.5555555555556</v>
      </c>
      <c r="J9" s="15">
        <v>8.9285714285714306</v>
      </c>
      <c r="K9" s="15">
        <v>22.2222222222222</v>
      </c>
      <c r="L9" s="15">
        <v>21.3592233009709</v>
      </c>
      <c r="M9" s="15">
        <v>18.518518518518501</v>
      </c>
      <c r="N9" s="15">
        <v>11.864406779661</v>
      </c>
      <c r="O9" s="15">
        <v>17.543859649122801</v>
      </c>
      <c r="P9" s="15">
        <v>19.512195121951201</v>
      </c>
      <c r="Q9" s="15">
        <v>11.0429447852761</v>
      </c>
      <c r="R9" s="15">
        <v>26.136363636363601</v>
      </c>
      <c r="S9" s="15">
        <v>29.729729729729701</v>
      </c>
      <c r="T9" s="15">
        <v>25</v>
      </c>
      <c r="U9" s="15">
        <v>16.393442622950801</v>
      </c>
      <c r="V9" s="15">
        <v>20.270270270270299</v>
      </c>
      <c r="W9" s="15">
        <v>15.909090909090899</v>
      </c>
      <c r="X9" s="15">
        <v>18.478260869565201</v>
      </c>
      <c r="Y9" s="15">
        <v>20</v>
      </c>
      <c r="Z9" s="15">
        <v>11.403508771929801</v>
      </c>
      <c r="AA9" s="32">
        <v>10.9958220300698</v>
      </c>
      <c r="AB9" s="15">
        <v>14.193548387096801</v>
      </c>
      <c r="AC9" s="15">
        <v>18.296529968454301</v>
      </c>
      <c r="AD9" s="15">
        <v>13.3047210300429</v>
      </c>
      <c r="AE9" s="15">
        <v>9.7087378640776691</v>
      </c>
      <c r="AF9" s="15">
        <v>10.6524633821571</v>
      </c>
      <c r="AG9" s="15">
        <v>7.8175895765472303</v>
      </c>
      <c r="AH9" s="15">
        <v>15.6583629893238</v>
      </c>
      <c r="AI9" s="24">
        <v>38.8888888888889</v>
      </c>
      <c r="AJ9" s="38"/>
    </row>
    <row r="10" spans="1:36">
      <c r="A10" s="9" t="s">
        <v>259</v>
      </c>
      <c r="B10" s="36">
        <v>44.745349152909299</v>
      </c>
      <c r="C10" s="32">
        <v>45.318583663116698</v>
      </c>
      <c r="D10" s="32">
        <v>43.548976048333898</v>
      </c>
      <c r="E10" s="32">
        <v>49.297378256130699</v>
      </c>
      <c r="F10" s="15">
        <v>54.0983606557377</v>
      </c>
      <c r="G10" s="15">
        <v>49.152542372881399</v>
      </c>
      <c r="H10" s="15">
        <v>44.578313253011999</v>
      </c>
      <c r="I10" s="15">
        <v>57.7777777777778</v>
      </c>
      <c r="J10" s="15">
        <v>62.5</v>
      </c>
      <c r="K10" s="15">
        <v>55.5555555555556</v>
      </c>
      <c r="L10" s="15">
        <v>52.427184466019398</v>
      </c>
      <c r="M10" s="15">
        <v>64.197530864197503</v>
      </c>
      <c r="N10" s="15">
        <v>44.067796610169502</v>
      </c>
      <c r="O10" s="15">
        <v>49.122807017543899</v>
      </c>
      <c r="P10" s="15">
        <v>47.560975609756099</v>
      </c>
      <c r="Q10" s="15">
        <v>57.668711656441701</v>
      </c>
      <c r="R10" s="15">
        <v>44.318181818181799</v>
      </c>
      <c r="S10" s="15">
        <v>39.1891891891892</v>
      </c>
      <c r="T10" s="15">
        <v>34.7222222222222</v>
      </c>
      <c r="U10" s="15">
        <v>49.180327868852501</v>
      </c>
      <c r="V10" s="15">
        <v>50</v>
      </c>
      <c r="W10" s="15">
        <v>55.681818181818201</v>
      </c>
      <c r="X10" s="15">
        <v>53.260869565217398</v>
      </c>
      <c r="Y10" s="15">
        <v>53.548387096774199</v>
      </c>
      <c r="Z10" s="15">
        <v>69.298245614035096</v>
      </c>
      <c r="AA10" s="32">
        <v>38.769731853971798</v>
      </c>
      <c r="AB10" s="15">
        <v>30.9677419354839</v>
      </c>
      <c r="AC10" s="15">
        <v>48.264984227129297</v>
      </c>
      <c r="AD10" s="15">
        <v>33.905579399141601</v>
      </c>
      <c r="AE10" s="15">
        <v>43.6893203883495</v>
      </c>
      <c r="AF10" s="15">
        <v>41.011984021304897</v>
      </c>
      <c r="AG10" s="15">
        <v>30.9446254071661</v>
      </c>
      <c r="AH10" s="15">
        <v>46.263345195729499</v>
      </c>
      <c r="AI10" s="24">
        <v>27.7777777777778</v>
      </c>
      <c r="AJ10" s="38"/>
    </row>
    <row r="11" spans="1:36">
      <c r="A11" s="9" t="s">
        <v>260</v>
      </c>
      <c r="B11" s="36">
        <v>14.7884917062672</v>
      </c>
      <c r="C11" s="32">
        <v>14.706087889156001</v>
      </c>
      <c r="D11" s="32">
        <v>15.3630176804163</v>
      </c>
      <c r="E11" s="32">
        <v>11.031375509555099</v>
      </c>
      <c r="F11" s="15">
        <v>9.0163934426229506</v>
      </c>
      <c r="G11" s="20" t="s">
        <v>80</v>
      </c>
      <c r="H11" s="15">
        <v>7.2289156626505999</v>
      </c>
      <c r="I11" s="15">
        <v>10</v>
      </c>
      <c r="J11" s="15">
        <v>10.714285714285699</v>
      </c>
      <c r="K11" s="20" t="s">
        <v>80</v>
      </c>
      <c r="L11" s="15">
        <v>8.7378640776699008</v>
      </c>
      <c r="M11" s="15">
        <v>8.6419753086419693</v>
      </c>
      <c r="N11" s="15">
        <v>16.9491525423729</v>
      </c>
      <c r="O11" s="15">
        <v>14.0350877192982</v>
      </c>
      <c r="P11" s="15">
        <v>9.7560975609756095</v>
      </c>
      <c r="Q11" s="15">
        <v>11.0429447852761</v>
      </c>
      <c r="R11" s="15">
        <v>11.363636363636401</v>
      </c>
      <c r="S11" s="20" t="s">
        <v>80</v>
      </c>
      <c r="T11" s="15">
        <v>9.7222222222222197</v>
      </c>
      <c r="U11" s="15">
        <v>13.934426229508199</v>
      </c>
      <c r="V11" s="15">
        <v>9.4594594594594597</v>
      </c>
      <c r="W11" s="15">
        <v>17.045454545454501</v>
      </c>
      <c r="X11" s="15">
        <v>13.0434782608696</v>
      </c>
      <c r="Y11" s="15">
        <v>12.9032258064516</v>
      </c>
      <c r="Z11" s="15">
        <v>7.0175438596491198</v>
      </c>
      <c r="AA11" s="32">
        <v>18.964362010335201</v>
      </c>
      <c r="AB11" s="15">
        <v>11.6129032258065</v>
      </c>
      <c r="AC11" s="15">
        <v>17.981072555204999</v>
      </c>
      <c r="AD11" s="15">
        <v>18.454935622317599</v>
      </c>
      <c r="AE11" s="15">
        <v>15.210355987054999</v>
      </c>
      <c r="AF11" s="15">
        <v>16.378162450066601</v>
      </c>
      <c r="AG11" s="15">
        <v>27.6872964169381</v>
      </c>
      <c r="AH11" s="15">
        <v>14.234875444839901</v>
      </c>
      <c r="AI11" s="26" t="s">
        <v>80</v>
      </c>
      <c r="AJ11" s="38"/>
    </row>
    <row r="12" spans="1:36">
      <c r="A12" s="9" t="s">
        <v>261</v>
      </c>
      <c r="B12" s="36">
        <v>18.120517769943</v>
      </c>
      <c r="C12" s="32">
        <v>18.022045730298601</v>
      </c>
      <c r="D12" s="32">
        <v>18.729056953935601</v>
      </c>
      <c r="E12" s="32">
        <v>11.879423062472799</v>
      </c>
      <c r="F12" s="15">
        <v>6.5573770491803298</v>
      </c>
      <c r="G12" s="15">
        <v>8.4745762711864394</v>
      </c>
      <c r="H12" s="15">
        <v>12.048192771084301</v>
      </c>
      <c r="I12" s="15">
        <v>14.4444444444444</v>
      </c>
      <c r="J12" s="15">
        <v>10.714285714285699</v>
      </c>
      <c r="K12" s="20" t="s">
        <v>80</v>
      </c>
      <c r="L12" s="15">
        <v>10.6796116504854</v>
      </c>
      <c r="M12" s="15">
        <v>8.6419753086419693</v>
      </c>
      <c r="N12" s="15">
        <v>18.644067796610202</v>
      </c>
      <c r="O12" s="15">
        <v>14.0350877192982</v>
      </c>
      <c r="P12" s="15">
        <v>17.0731707317073</v>
      </c>
      <c r="Q12" s="15">
        <v>15.3374233128834</v>
      </c>
      <c r="R12" s="15">
        <v>11.363636363636401</v>
      </c>
      <c r="S12" s="15">
        <v>18.918918918918902</v>
      </c>
      <c r="T12" s="15">
        <v>15.2777777777778</v>
      </c>
      <c r="U12" s="15">
        <v>9.0163934426229506</v>
      </c>
      <c r="V12" s="15">
        <v>8.1081081081081106</v>
      </c>
      <c r="W12" s="20" t="s">
        <v>80</v>
      </c>
      <c r="X12" s="15">
        <v>8.6956521739130395</v>
      </c>
      <c r="Y12" s="15">
        <v>4.5161290322580596</v>
      </c>
      <c r="Z12" s="15">
        <v>8.7719298245614006</v>
      </c>
      <c r="AA12" s="32">
        <v>24.423869499390001</v>
      </c>
      <c r="AB12" s="15">
        <v>29.677419354838701</v>
      </c>
      <c r="AC12" s="15">
        <v>11.3564668769716</v>
      </c>
      <c r="AD12" s="15">
        <v>25.321888412017199</v>
      </c>
      <c r="AE12" s="15">
        <v>23.624595469255699</v>
      </c>
      <c r="AF12" s="15">
        <v>25.432756324900101</v>
      </c>
      <c r="AG12" s="15">
        <v>24.4299674267101</v>
      </c>
      <c r="AH12" s="15">
        <v>19.572953736654799</v>
      </c>
      <c r="AI12" s="26" t="s">
        <v>80</v>
      </c>
      <c r="AJ12" s="38"/>
    </row>
    <row r="13" spans="1:36">
      <c r="A13" s="9" t="s">
        <v>262</v>
      </c>
      <c r="B13" s="36">
        <v>6.99014009660171</v>
      </c>
      <c r="C13" s="32">
        <v>6.7223969212424697</v>
      </c>
      <c r="D13" s="32">
        <v>7.1148254209063699</v>
      </c>
      <c r="E13" s="32">
        <v>7.4379064222762903</v>
      </c>
      <c r="F13" s="20" t="s">
        <v>80</v>
      </c>
      <c r="G13" s="20" t="s">
        <v>80</v>
      </c>
      <c r="H13" s="15">
        <v>9.6385542168674707</v>
      </c>
      <c r="I13" s="20" t="s">
        <v>80</v>
      </c>
      <c r="J13" s="20" t="s">
        <v>80</v>
      </c>
      <c r="K13" s="20" t="s">
        <v>80</v>
      </c>
      <c r="L13" s="15">
        <v>6.7961165048543704</v>
      </c>
      <c r="M13" s="20" t="s">
        <v>80</v>
      </c>
      <c r="N13" s="15">
        <v>8.4745762711864394</v>
      </c>
      <c r="O13" s="20" t="s">
        <v>80</v>
      </c>
      <c r="P13" s="15">
        <v>6.0975609756097597</v>
      </c>
      <c r="Q13" s="15">
        <v>4.9079754601227004</v>
      </c>
      <c r="R13" s="15">
        <v>6.8181818181818201</v>
      </c>
      <c r="S13" s="15">
        <v>8.1081081081081106</v>
      </c>
      <c r="T13" s="15">
        <v>15.2777777777778</v>
      </c>
      <c r="U13" s="15">
        <v>11.4754098360656</v>
      </c>
      <c r="V13" s="15">
        <v>12.1621621621622</v>
      </c>
      <c r="W13" s="15">
        <v>7.9545454545454497</v>
      </c>
      <c r="X13" s="15">
        <v>6.5217391304347796</v>
      </c>
      <c r="Y13" s="15">
        <v>9.0322580645161299</v>
      </c>
      <c r="Z13" s="20" t="s">
        <v>80</v>
      </c>
      <c r="AA13" s="32">
        <v>6.8462146062331097</v>
      </c>
      <c r="AB13" s="15">
        <v>13.548387096774199</v>
      </c>
      <c r="AC13" s="15">
        <v>4.1009463722397497</v>
      </c>
      <c r="AD13" s="15">
        <v>9.0128755364806903</v>
      </c>
      <c r="AE13" s="15">
        <v>7.7669902912621396</v>
      </c>
      <c r="AF13" s="15">
        <v>6.5246338215712401</v>
      </c>
      <c r="AG13" s="15">
        <v>9.1205211726384405</v>
      </c>
      <c r="AH13" s="15">
        <v>4.2704626334519604</v>
      </c>
      <c r="AI13" s="26" t="s">
        <v>80</v>
      </c>
      <c r="AJ13" s="38"/>
    </row>
    <row r="14" spans="1:36">
      <c r="A14" s="40" t="s">
        <v>263</v>
      </c>
      <c r="B14" s="36"/>
      <c r="C14" s="32"/>
      <c r="D14" s="32"/>
      <c r="E14" s="32"/>
      <c r="F14" s="15"/>
      <c r="G14" s="15"/>
      <c r="H14" s="15"/>
      <c r="I14" s="15"/>
      <c r="J14" s="15"/>
      <c r="K14" s="15"/>
      <c r="L14" s="15"/>
      <c r="M14" s="15"/>
      <c r="N14" s="15"/>
      <c r="O14" s="15"/>
      <c r="P14" s="15"/>
      <c r="Q14" s="15"/>
      <c r="R14" s="15"/>
      <c r="S14" s="15"/>
      <c r="T14" s="15"/>
      <c r="U14" s="15"/>
      <c r="V14" s="15"/>
      <c r="W14" s="15"/>
      <c r="X14" s="15"/>
      <c r="Y14" s="15"/>
      <c r="Z14" s="15"/>
      <c r="AA14" s="32"/>
      <c r="AB14" s="15"/>
      <c r="AC14" s="15"/>
      <c r="AD14" s="15"/>
      <c r="AE14" s="15"/>
      <c r="AF14" s="15"/>
      <c r="AG14" s="15"/>
      <c r="AH14" s="15"/>
      <c r="AI14" s="24"/>
      <c r="AJ14" s="38"/>
    </row>
    <row r="15" spans="1:36">
      <c r="A15" s="9" t="s">
        <v>264</v>
      </c>
      <c r="B15" s="36">
        <v>57.3251753061665</v>
      </c>
      <c r="C15" s="32">
        <v>59.5234638904805</v>
      </c>
      <c r="D15" s="32">
        <v>58.511305693563898</v>
      </c>
      <c r="E15" s="32">
        <v>68.349261196696006</v>
      </c>
      <c r="F15" s="15">
        <v>72.950819672131104</v>
      </c>
      <c r="G15" s="15">
        <v>77.966101694915295</v>
      </c>
      <c r="H15" s="15">
        <v>81.927710843373504</v>
      </c>
      <c r="I15" s="15">
        <v>57.7777777777778</v>
      </c>
      <c r="J15" s="15">
        <v>67.857142857142804</v>
      </c>
      <c r="K15" s="15">
        <v>86.1111111111111</v>
      </c>
      <c r="L15" s="15">
        <v>61.165048543689302</v>
      </c>
      <c r="M15" s="15">
        <v>76.543209876543202</v>
      </c>
      <c r="N15" s="15">
        <v>72.881355932203405</v>
      </c>
      <c r="O15" s="15">
        <v>63.157894736842103</v>
      </c>
      <c r="P15" s="15">
        <v>69.512195121951194</v>
      </c>
      <c r="Q15" s="15">
        <v>66.257668711656507</v>
      </c>
      <c r="R15" s="15">
        <v>68.181818181818201</v>
      </c>
      <c r="S15" s="15">
        <v>60.8108108108108</v>
      </c>
      <c r="T15" s="15">
        <v>62.5</v>
      </c>
      <c r="U15" s="15">
        <v>59.016393442622899</v>
      </c>
      <c r="V15" s="15">
        <v>72.972972972972997</v>
      </c>
      <c r="W15" s="15">
        <v>56.818181818181799</v>
      </c>
      <c r="X15" s="15">
        <v>75</v>
      </c>
      <c r="Y15" s="15">
        <v>67.096774193548399</v>
      </c>
      <c r="Z15" s="15">
        <v>73.684210526315795</v>
      </c>
      <c r="AA15" s="32">
        <v>50.331990812123699</v>
      </c>
      <c r="AB15" s="15">
        <v>40.645161290322598</v>
      </c>
      <c r="AC15" s="15">
        <v>50.788643533123</v>
      </c>
      <c r="AD15" s="15">
        <v>38.1974248927039</v>
      </c>
      <c r="AE15" s="15">
        <v>50.485436893203897</v>
      </c>
      <c r="AF15" s="15">
        <v>56.857523302263701</v>
      </c>
      <c r="AG15" s="15">
        <v>36.156351791530902</v>
      </c>
      <c r="AH15" s="15">
        <v>57.295373665480398</v>
      </c>
      <c r="AI15" s="24">
        <v>55.5555555555556</v>
      </c>
      <c r="AJ15" s="38"/>
    </row>
    <row r="16" spans="1:36">
      <c r="A16" s="9" t="s">
        <v>265</v>
      </c>
      <c r="B16" s="36">
        <v>35.141830361794</v>
      </c>
      <c r="C16" s="32">
        <v>33.900522947359001</v>
      </c>
      <c r="D16" s="32">
        <v>34.831406017500697</v>
      </c>
      <c r="E16" s="32">
        <v>28.385599526895401</v>
      </c>
      <c r="F16" s="15">
        <v>26.229508196721302</v>
      </c>
      <c r="G16" s="15">
        <v>20.338983050847499</v>
      </c>
      <c r="H16" s="15">
        <v>15.662650602409601</v>
      </c>
      <c r="I16" s="15">
        <v>38.8888888888889</v>
      </c>
      <c r="J16" s="15">
        <v>32.142857142857103</v>
      </c>
      <c r="K16" s="20" t="s">
        <v>80</v>
      </c>
      <c r="L16" s="15">
        <v>35.922330097087404</v>
      </c>
      <c r="M16" s="15">
        <v>20.987654320987701</v>
      </c>
      <c r="N16" s="15">
        <v>25.4237288135593</v>
      </c>
      <c r="O16" s="15">
        <v>35.087719298245602</v>
      </c>
      <c r="P16" s="15">
        <v>26.829268292682901</v>
      </c>
      <c r="Q16" s="15">
        <v>33.128834355828197</v>
      </c>
      <c r="R16" s="15">
        <v>29.545454545454501</v>
      </c>
      <c r="S16" s="15">
        <v>31.081081081081098</v>
      </c>
      <c r="T16" s="15">
        <v>34.7222222222222</v>
      </c>
      <c r="U16" s="15">
        <v>35.245901639344297</v>
      </c>
      <c r="V16" s="15">
        <v>25.675675675675699</v>
      </c>
      <c r="W16" s="15">
        <v>38.636363636363598</v>
      </c>
      <c r="X16" s="15">
        <v>21.739130434782599</v>
      </c>
      <c r="Y16" s="15">
        <v>29.677419354838701</v>
      </c>
      <c r="Z16" s="15">
        <v>23.684210526315798</v>
      </c>
      <c r="AA16" s="32">
        <v>40.190474874308102</v>
      </c>
      <c r="AB16" s="15">
        <v>41.935483870967701</v>
      </c>
      <c r="AC16" s="15">
        <v>42.902208201892698</v>
      </c>
      <c r="AD16" s="15">
        <v>50.643776824034298</v>
      </c>
      <c r="AE16" s="15">
        <v>39.805825242718399</v>
      </c>
      <c r="AF16" s="15">
        <v>37.017310252995998</v>
      </c>
      <c r="AG16" s="15">
        <v>45.602605863192203</v>
      </c>
      <c r="AH16" s="15">
        <v>35.943060498220603</v>
      </c>
      <c r="AI16" s="24">
        <v>38.8888888888889</v>
      </c>
      <c r="AJ16" s="38"/>
    </row>
    <row r="17" spans="1:36">
      <c r="A17" s="9" t="s">
        <v>266</v>
      </c>
      <c r="B17" s="36">
        <v>7.5329943320395998</v>
      </c>
      <c r="C17" s="32">
        <v>6.57601316216049</v>
      </c>
      <c r="D17" s="32">
        <v>6.6572882889353702</v>
      </c>
      <c r="E17" s="32">
        <v>3.2651392764085698</v>
      </c>
      <c r="F17" s="20" t="s">
        <v>80</v>
      </c>
      <c r="G17" s="20" t="s">
        <v>80</v>
      </c>
      <c r="H17" s="20" t="s">
        <v>80</v>
      </c>
      <c r="I17" s="20" t="s">
        <v>80</v>
      </c>
      <c r="J17" s="20" t="s">
        <v>80</v>
      </c>
      <c r="K17" s="20" t="s">
        <v>80</v>
      </c>
      <c r="L17" s="20" t="s">
        <v>80</v>
      </c>
      <c r="M17" s="20" t="s">
        <v>80</v>
      </c>
      <c r="N17" s="20" t="s">
        <v>80</v>
      </c>
      <c r="O17" s="20" t="s">
        <v>80</v>
      </c>
      <c r="P17" s="20" t="s">
        <v>80</v>
      </c>
      <c r="Q17" s="20" t="s">
        <v>80</v>
      </c>
      <c r="R17" s="20" t="s">
        <v>80</v>
      </c>
      <c r="S17" s="15">
        <v>8.1081081081081106</v>
      </c>
      <c r="T17" s="20" t="s">
        <v>80</v>
      </c>
      <c r="U17" s="15">
        <v>5.7377049180327901</v>
      </c>
      <c r="V17" s="20" t="s">
        <v>80</v>
      </c>
      <c r="W17" s="20" t="s">
        <v>80</v>
      </c>
      <c r="X17" s="15">
        <v>3.2608695652173898</v>
      </c>
      <c r="Y17" s="15">
        <v>3.2258064516128999</v>
      </c>
      <c r="Z17" s="20" t="s">
        <v>80</v>
      </c>
      <c r="AA17" s="32">
        <v>9.47753431356821</v>
      </c>
      <c r="AB17" s="15">
        <v>17.419354838709701</v>
      </c>
      <c r="AC17" s="15">
        <v>6.3091482649842296</v>
      </c>
      <c r="AD17" s="15">
        <v>11.158798283261801</v>
      </c>
      <c r="AE17" s="15">
        <v>9.7087378640776691</v>
      </c>
      <c r="AF17" s="15">
        <v>6.1251664447403504</v>
      </c>
      <c r="AG17" s="15">
        <v>18.241042345276899</v>
      </c>
      <c r="AH17" s="15">
        <v>6.7615658362989297</v>
      </c>
      <c r="AI17" s="26" t="s">
        <v>80</v>
      </c>
      <c r="AJ17" s="38"/>
    </row>
    <row r="18" spans="1:36" ht="30">
      <c r="A18" s="40" t="s">
        <v>267</v>
      </c>
      <c r="B18" s="36"/>
      <c r="C18" s="32"/>
      <c r="D18" s="32"/>
      <c r="E18" s="32"/>
      <c r="F18" s="15"/>
      <c r="G18" s="15"/>
      <c r="H18" s="15"/>
      <c r="I18" s="15"/>
      <c r="J18" s="15"/>
      <c r="K18" s="15"/>
      <c r="L18" s="15"/>
      <c r="M18" s="15"/>
      <c r="N18" s="15"/>
      <c r="O18" s="15"/>
      <c r="P18" s="15"/>
      <c r="Q18" s="15"/>
      <c r="R18" s="15"/>
      <c r="S18" s="15"/>
      <c r="T18" s="15"/>
      <c r="U18" s="15"/>
      <c r="V18" s="15"/>
      <c r="W18" s="15"/>
      <c r="X18" s="15"/>
      <c r="Y18" s="15"/>
      <c r="Z18" s="15"/>
      <c r="AA18" s="32"/>
      <c r="AB18" s="15"/>
      <c r="AC18" s="15"/>
      <c r="AD18" s="15"/>
      <c r="AE18" s="15"/>
      <c r="AF18" s="15"/>
      <c r="AG18" s="15"/>
      <c r="AH18" s="15"/>
      <c r="AI18" s="24"/>
      <c r="AJ18" s="38"/>
    </row>
    <row r="19" spans="1:36">
      <c r="A19" s="9" t="s">
        <v>264</v>
      </c>
      <c r="B19" s="36">
        <v>39.564529495395199</v>
      </c>
      <c r="C19" s="32">
        <v>41.776862657464299</v>
      </c>
      <c r="D19" s="32">
        <v>39.364610845461698</v>
      </c>
      <c r="E19" s="32">
        <v>48.878805905446796</v>
      </c>
      <c r="F19" s="15">
        <v>52.459016393442603</v>
      </c>
      <c r="G19" s="15">
        <v>57.627118644067799</v>
      </c>
      <c r="H19" s="15">
        <v>56.6265060240964</v>
      </c>
      <c r="I19" s="15">
        <v>48.8888888888889</v>
      </c>
      <c r="J19" s="15">
        <v>60.714285714285701</v>
      </c>
      <c r="K19" s="15">
        <v>50</v>
      </c>
      <c r="L19" s="15">
        <v>49.514563106796103</v>
      </c>
      <c r="M19" s="15">
        <v>59.259259259259302</v>
      </c>
      <c r="N19" s="15">
        <v>50.847457627118601</v>
      </c>
      <c r="O19" s="15">
        <v>68.421052631579002</v>
      </c>
      <c r="P19" s="15">
        <v>54.878048780487802</v>
      </c>
      <c r="Q19" s="15">
        <v>48.466257668711698</v>
      </c>
      <c r="R19" s="15">
        <v>43.181818181818201</v>
      </c>
      <c r="S19" s="15">
        <v>41.891891891891902</v>
      </c>
      <c r="T19" s="15">
        <v>31.9444444444444</v>
      </c>
      <c r="U19" s="15">
        <v>54.0983606557377</v>
      </c>
      <c r="V19" s="15">
        <v>63.513513513513502</v>
      </c>
      <c r="W19" s="15">
        <v>40.909090909090899</v>
      </c>
      <c r="X19" s="15">
        <v>48.369565217391298</v>
      </c>
      <c r="Y19" s="15">
        <v>52.258064516128997</v>
      </c>
      <c r="Z19" s="15">
        <v>47.368421052631597</v>
      </c>
      <c r="AA19" s="32">
        <v>31.454471669259402</v>
      </c>
      <c r="AB19" s="15">
        <v>32.903225806451601</v>
      </c>
      <c r="AC19" s="15">
        <v>50.473186119873802</v>
      </c>
      <c r="AD19" s="15">
        <v>26.609442060085801</v>
      </c>
      <c r="AE19" s="15">
        <v>30.7443365695793</v>
      </c>
      <c r="AF19" s="15">
        <v>31.957390146471401</v>
      </c>
      <c r="AG19" s="15">
        <v>19.543973941368101</v>
      </c>
      <c r="AH19" s="15">
        <v>45.195729537366503</v>
      </c>
      <c r="AI19" s="24">
        <v>27.7777777777778</v>
      </c>
      <c r="AJ19" s="38"/>
    </row>
    <row r="20" spans="1:36">
      <c r="A20" s="9" t="s">
        <v>268</v>
      </c>
      <c r="B20" s="36">
        <v>24.486337718556399</v>
      </c>
      <c r="C20" s="32">
        <v>24.276461252360399</v>
      </c>
      <c r="D20" s="32">
        <v>25.089389109274698</v>
      </c>
      <c r="E20" s="32">
        <v>24.298046333620999</v>
      </c>
      <c r="F20" s="15">
        <v>27.868852459016399</v>
      </c>
      <c r="G20" s="15">
        <v>28.8135593220339</v>
      </c>
      <c r="H20" s="15">
        <v>18.0722891566265</v>
      </c>
      <c r="I20" s="15">
        <v>26.6666666666667</v>
      </c>
      <c r="J20" s="15">
        <v>28.571428571428601</v>
      </c>
      <c r="K20" s="15">
        <v>27.7777777777778</v>
      </c>
      <c r="L20" s="15">
        <v>27.184466019417499</v>
      </c>
      <c r="M20" s="15">
        <v>25.925925925925899</v>
      </c>
      <c r="N20" s="15">
        <v>32.203389830508499</v>
      </c>
      <c r="O20" s="15">
        <v>14.0350877192982</v>
      </c>
      <c r="P20" s="15">
        <v>23.170731707317099</v>
      </c>
      <c r="Q20" s="15">
        <v>20.858895705521501</v>
      </c>
      <c r="R20" s="15">
        <v>26.136363636363601</v>
      </c>
      <c r="S20" s="15">
        <v>35.135135135135101</v>
      </c>
      <c r="T20" s="15">
        <v>19.4444444444444</v>
      </c>
      <c r="U20" s="15">
        <v>15.5737704918033</v>
      </c>
      <c r="V20" s="15">
        <v>24.324324324324301</v>
      </c>
      <c r="W20" s="15">
        <v>45.454545454545503</v>
      </c>
      <c r="X20" s="15">
        <v>25</v>
      </c>
      <c r="Y20" s="15">
        <v>21.290322580645199</v>
      </c>
      <c r="Z20" s="15">
        <v>27.192982456140399</v>
      </c>
      <c r="AA20" s="32">
        <v>25.747314603973599</v>
      </c>
      <c r="AB20" s="15">
        <v>24.5161290322581</v>
      </c>
      <c r="AC20" s="15">
        <v>32.492113564668799</v>
      </c>
      <c r="AD20" s="15">
        <v>28.3261802575107</v>
      </c>
      <c r="AE20" s="15">
        <v>29.7734627831715</v>
      </c>
      <c r="AF20" s="15">
        <v>26.498002663115798</v>
      </c>
      <c r="AG20" s="15">
        <v>20.1954397394137</v>
      </c>
      <c r="AH20" s="15">
        <v>27.7580071174377</v>
      </c>
      <c r="AI20" s="26" t="s">
        <v>80</v>
      </c>
      <c r="AJ20" s="38"/>
    </row>
    <row r="21" spans="1:36">
      <c r="A21" s="9" t="s">
        <v>266</v>
      </c>
      <c r="B21" s="36">
        <v>5.2809516995041204</v>
      </c>
      <c r="C21" s="32">
        <v>5.0111181195288799</v>
      </c>
      <c r="D21" s="32">
        <v>5.40151440433754</v>
      </c>
      <c r="E21" s="32">
        <v>3.8859597535314498</v>
      </c>
      <c r="F21" s="20" t="s">
        <v>80</v>
      </c>
      <c r="G21" s="20" t="s">
        <v>80</v>
      </c>
      <c r="H21" s="20" t="s">
        <v>80</v>
      </c>
      <c r="I21" s="20" t="s">
        <v>80</v>
      </c>
      <c r="J21" s="20" t="s">
        <v>80</v>
      </c>
      <c r="K21" s="20" t="s">
        <v>80</v>
      </c>
      <c r="L21" s="20" t="s">
        <v>80</v>
      </c>
      <c r="M21" s="20" t="s">
        <v>80</v>
      </c>
      <c r="N21" s="20" t="s">
        <v>80</v>
      </c>
      <c r="O21" s="20" t="s">
        <v>80</v>
      </c>
      <c r="P21" s="20" t="s">
        <v>80</v>
      </c>
      <c r="Q21" s="15">
        <v>3.6809815950920202</v>
      </c>
      <c r="R21" s="20" t="s">
        <v>80</v>
      </c>
      <c r="S21" s="20" t="s">
        <v>80</v>
      </c>
      <c r="T21" s="15">
        <v>6.9444444444444402</v>
      </c>
      <c r="U21" s="20" t="s">
        <v>80</v>
      </c>
      <c r="V21" s="20" t="s">
        <v>80</v>
      </c>
      <c r="W21" s="20" t="s">
        <v>80</v>
      </c>
      <c r="X21" s="15">
        <v>5.9782608695652204</v>
      </c>
      <c r="Y21" s="15">
        <v>3.87096774193548</v>
      </c>
      <c r="Z21" s="20" t="s">
        <v>80</v>
      </c>
      <c r="AA21" s="32">
        <v>6.6615524991457198</v>
      </c>
      <c r="AB21" s="15">
        <v>6.4516129032258096</v>
      </c>
      <c r="AC21" s="15">
        <v>3.1545741324921099</v>
      </c>
      <c r="AD21" s="15">
        <v>11.587982832618</v>
      </c>
      <c r="AE21" s="15">
        <v>5.1779935275080904</v>
      </c>
      <c r="AF21" s="15">
        <v>5.05992010652463</v>
      </c>
      <c r="AG21" s="15">
        <v>11.726384364820801</v>
      </c>
      <c r="AH21" s="15">
        <v>4.2704626334519604</v>
      </c>
      <c r="AI21" s="26" t="s">
        <v>80</v>
      </c>
      <c r="AJ21" s="38"/>
    </row>
    <row r="22" spans="1:36">
      <c r="A22" s="9" t="s">
        <v>269</v>
      </c>
      <c r="B22" s="36">
        <v>30.668181086544202</v>
      </c>
      <c r="C22" s="32">
        <v>28.935557970646499</v>
      </c>
      <c r="D22" s="32">
        <v>30.144485640926</v>
      </c>
      <c r="E22" s="32">
        <v>22.937188007400799</v>
      </c>
      <c r="F22" s="15">
        <v>18.8524590163934</v>
      </c>
      <c r="G22" s="15">
        <v>8.4745762711864394</v>
      </c>
      <c r="H22" s="15">
        <v>20.481927710843401</v>
      </c>
      <c r="I22" s="15">
        <v>24.4444444444444</v>
      </c>
      <c r="J22" s="15">
        <v>10.714285714285699</v>
      </c>
      <c r="K22" s="15">
        <v>22.2222222222222</v>
      </c>
      <c r="L22" s="15">
        <v>20.3883495145631</v>
      </c>
      <c r="M22" s="15">
        <v>14.814814814814801</v>
      </c>
      <c r="N22" s="15">
        <v>15.254237288135601</v>
      </c>
      <c r="O22" s="15">
        <v>15.789473684210501</v>
      </c>
      <c r="P22" s="15">
        <v>19.512195121951201</v>
      </c>
      <c r="Q22" s="15">
        <v>26.993865030674801</v>
      </c>
      <c r="R22" s="15">
        <v>27.272727272727298</v>
      </c>
      <c r="S22" s="15">
        <v>18.918918918918902</v>
      </c>
      <c r="T22" s="15">
        <v>41.6666666666667</v>
      </c>
      <c r="U22" s="15">
        <v>27.868852459016399</v>
      </c>
      <c r="V22" s="15">
        <v>10.8108108108108</v>
      </c>
      <c r="W22" s="15">
        <v>9.0909090909090899</v>
      </c>
      <c r="X22" s="15">
        <v>20.652173913043502</v>
      </c>
      <c r="Y22" s="15">
        <v>22.580645161290299</v>
      </c>
      <c r="Z22" s="15">
        <v>22.8070175438597</v>
      </c>
      <c r="AA22" s="32">
        <v>36.136661227621197</v>
      </c>
      <c r="AB22" s="15">
        <v>36.129032258064498</v>
      </c>
      <c r="AC22" s="15">
        <v>13.8801261829653</v>
      </c>
      <c r="AD22" s="15">
        <v>33.4763948497854</v>
      </c>
      <c r="AE22" s="15">
        <v>34.3042071197411</v>
      </c>
      <c r="AF22" s="15">
        <v>36.484687083888097</v>
      </c>
      <c r="AG22" s="15">
        <v>48.534201954397403</v>
      </c>
      <c r="AH22" s="15">
        <v>22.775800711743798</v>
      </c>
      <c r="AI22" s="24">
        <v>50</v>
      </c>
      <c r="AJ22" s="38"/>
    </row>
    <row r="23" spans="1:36" ht="30">
      <c r="A23" s="40" t="s">
        <v>270</v>
      </c>
      <c r="B23" s="36"/>
      <c r="C23" s="32"/>
      <c r="D23" s="32"/>
      <c r="E23" s="32"/>
      <c r="F23" s="15"/>
      <c r="G23" s="15"/>
      <c r="H23" s="15"/>
      <c r="I23" s="15"/>
      <c r="J23" s="15"/>
      <c r="K23" s="15"/>
      <c r="L23" s="15"/>
      <c r="M23" s="15"/>
      <c r="N23" s="15"/>
      <c r="O23" s="15"/>
      <c r="P23" s="15"/>
      <c r="Q23" s="15"/>
      <c r="R23" s="15"/>
      <c r="S23" s="15"/>
      <c r="T23" s="15"/>
      <c r="U23" s="15"/>
      <c r="V23" s="15"/>
      <c r="W23" s="15"/>
      <c r="X23" s="15"/>
      <c r="Y23" s="15"/>
      <c r="Z23" s="15"/>
      <c r="AA23" s="32"/>
      <c r="AB23" s="15"/>
      <c r="AC23" s="15"/>
      <c r="AD23" s="15"/>
      <c r="AE23" s="15"/>
      <c r="AF23" s="15"/>
      <c r="AG23" s="15"/>
      <c r="AH23" s="15"/>
      <c r="AI23" s="24"/>
      <c r="AJ23" s="38"/>
    </row>
    <row r="24" spans="1:36">
      <c r="A24" s="9" t="s">
        <v>253</v>
      </c>
      <c r="B24" s="36">
        <v>46.864163425930101</v>
      </c>
      <c r="C24" s="32">
        <v>49.188140709941102</v>
      </c>
      <c r="D24" s="32">
        <v>45.405211794734299</v>
      </c>
      <c r="E24" s="32">
        <v>49.554214289948</v>
      </c>
      <c r="F24" s="15">
        <v>68.852459016393396</v>
      </c>
      <c r="G24" s="15">
        <v>61.016949152542402</v>
      </c>
      <c r="H24" s="15">
        <v>43.3734939759036</v>
      </c>
      <c r="I24" s="15">
        <v>63.3333333333333</v>
      </c>
      <c r="J24" s="15">
        <v>64.285714285714306</v>
      </c>
      <c r="K24" s="15">
        <v>55.5555555555556</v>
      </c>
      <c r="L24" s="15">
        <v>62.135922330097102</v>
      </c>
      <c r="M24" s="15">
        <v>74.074074074074105</v>
      </c>
      <c r="N24" s="15">
        <v>47.457627118644098</v>
      </c>
      <c r="O24" s="15">
        <v>68.421052631579002</v>
      </c>
      <c r="P24" s="15">
        <v>56.097560975609802</v>
      </c>
      <c r="Q24" s="15">
        <v>43.558282208588999</v>
      </c>
      <c r="R24" s="15">
        <v>50</v>
      </c>
      <c r="S24" s="15">
        <v>37.837837837837803</v>
      </c>
      <c r="T24" s="15">
        <v>31.9444444444444</v>
      </c>
      <c r="U24" s="15">
        <v>42.622950819672099</v>
      </c>
      <c r="V24" s="15">
        <v>70.270270270270302</v>
      </c>
      <c r="W24" s="15">
        <v>44.318181818181799</v>
      </c>
      <c r="X24" s="15">
        <v>55.434782608695599</v>
      </c>
      <c r="Y24" s="15">
        <v>55.4838709677419</v>
      </c>
      <c r="Z24" s="15">
        <v>55.2631578947368</v>
      </c>
      <c r="AA24" s="32">
        <v>41.955714809163403</v>
      </c>
      <c r="AB24" s="15">
        <v>36.129032258064498</v>
      </c>
      <c r="AC24" s="15">
        <v>69.085173501577302</v>
      </c>
      <c r="AD24" s="15">
        <v>25.321888412017199</v>
      </c>
      <c r="AE24" s="15">
        <v>35.275080906148901</v>
      </c>
      <c r="AF24" s="15">
        <v>47.403462050599202</v>
      </c>
      <c r="AG24" s="15">
        <v>27.3615635179153</v>
      </c>
      <c r="AH24" s="15">
        <v>56.939501779359396</v>
      </c>
      <c r="AI24" s="24">
        <v>44.4444444444444</v>
      </c>
      <c r="AJ24" s="38"/>
    </row>
    <row r="25" spans="1:36">
      <c r="A25" s="9" t="s">
        <v>254</v>
      </c>
      <c r="B25" s="36">
        <v>23.013222353707199</v>
      </c>
      <c r="C25" s="32">
        <v>22.715003386786201</v>
      </c>
      <c r="D25" s="32">
        <v>23.414104117023001</v>
      </c>
      <c r="E25" s="32">
        <v>24.6227129597515</v>
      </c>
      <c r="F25" s="15">
        <v>19.672131147540998</v>
      </c>
      <c r="G25" s="15">
        <v>22.033898305084701</v>
      </c>
      <c r="H25" s="15">
        <v>21.6867469879518</v>
      </c>
      <c r="I25" s="15">
        <v>17.7777777777778</v>
      </c>
      <c r="J25" s="15">
        <v>14.285714285714301</v>
      </c>
      <c r="K25" s="15">
        <v>30.5555555555556</v>
      </c>
      <c r="L25" s="15">
        <v>21.3592233009709</v>
      </c>
      <c r="M25" s="15">
        <v>18.518518518518501</v>
      </c>
      <c r="N25" s="15">
        <v>22.033898305084701</v>
      </c>
      <c r="O25" s="15">
        <v>10.526315789473699</v>
      </c>
      <c r="P25" s="15">
        <v>24.390243902439</v>
      </c>
      <c r="Q25" s="15">
        <v>26.380368098159501</v>
      </c>
      <c r="R25" s="15">
        <v>22.727272727272702</v>
      </c>
      <c r="S25" s="15">
        <v>27.027027027027</v>
      </c>
      <c r="T25" s="15">
        <v>25</v>
      </c>
      <c r="U25" s="15">
        <v>23.770491803278698</v>
      </c>
      <c r="V25" s="15">
        <v>16.2162162162162</v>
      </c>
      <c r="W25" s="15">
        <v>42.045454545454497</v>
      </c>
      <c r="X25" s="15">
        <v>23.369565217391301</v>
      </c>
      <c r="Y25" s="15">
        <v>27.741935483871</v>
      </c>
      <c r="Z25" s="15">
        <v>25.4385964912281</v>
      </c>
      <c r="AA25" s="32">
        <v>22.409261973752301</v>
      </c>
      <c r="AB25" s="15">
        <v>22.580645161290299</v>
      </c>
      <c r="AC25" s="15">
        <v>18.296529968454301</v>
      </c>
      <c r="AD25" s="15">
        <v>29.613733905579402</v>
      </c>
      <c r="AE25" s="15">
        <v>23.9482200647249</v>
      </c>
      <c r="AF25" s="15">
        <v>21.8375499334221</v>
      </c>
      <c r="AG25" s="15">
        <v>21.172638436482099</v>
      </c>
      <c r="AH25" s="15">
        <v>25.266903914590699</v>
      </c>
      <c r="AI25" s="26" t="s">
        <v>80</v>
      </c>
      <c r="AJ25" s="38"/>
    </row>
    <row r="26" spans="1:36">
      <c r="A26" s="9" t="s">
        <v>255</v>
      </c>
      <c r="B26" s="36">
        <v>6.1962712228488801</v>
      </c>
      <c r="C26" s="32">
        <v>5.7216081292782297</v>
      </c>
      <c r="D26" s="32">
        <v>6.9479989099247303</v>
      </c>
      <c r="E26" s="32">
        <v>6.7360331313541</v>
      </c>
      <c r="F26" s="20" t="s">
        <v>80</v>
      </c>
      <c r="G26" s="20" t="s">
        <v>80</v>
      </c>
      <c r="H26" s="15">
        <v>12.048192771084301</v>
      </c>
      <c r="I26" s="20" t="s">
        <v>80</v>
      </c>
      <c r="J26" s="20" t="s">
        <v>80</v>
      </c>
      <c r="K26" s="20" t="s">
        <v>80</v>
      </c>
      <c r="L26" s="15">
        <v>6.7961165048543704</v>
      </c>
      <c r="M26" s="20" t="s">
        <v>80</v>
      </c>
      <c r="N26" s="15">
        <v>13.559322033898299</v>
      </c>
      <c r="O26" s="20" t="s">
        <v>80</v>
      </c>
      <c r="P26" s="15">
        <v>8.5365853658536608</v>
      </c>
      <c r="Q26" s="15">
        <v>5.5214723926380396</v>
      </c>
      <c r="R26" s="15">
        <v>7.9545454545454497</v>
      </c>
      <c r="S26" s="15">
        <v>10.8108108108108</v>
      </c>
      <c r="T26" s="15">
        <v>12.5</v>
      </c>
      <c r="U26" s="20" t="s">
        <v>80</v>
      </c>
      <c r="V26" s="20" t="s">
        <v>80</v>
      </c>
      <c r="W26" s="15">
        <v>5.6818181818181799</v>
      </c>
      <c r="X26" s="15">
        <v>7.6086956521739104</v>
      </c>
      <c r="Y26" s="15">
        <v>5.8064516129032304</v>
      </c>
      <c r="Z26" s="20" t="s">
        <v>80</v>
      </c>
      <c r="AA26" s="32">
        <v>7.1242280915333298</v>
      </c>
      <c r="AB26" s="15">
        <v>7.7419354838709697</v>
      </c>
      <c r="AC26" s="15">
        <v>2.5236593059936898</v>
      </c>
      <c r="AD26" s="15">
        <v>13.3047210300429</v>
      </c>
      <c r="AE26" s="15">
        <v>11.326860841423899</v>
      </c>
      <c r="AF26" s="15">
        <v>5.1930758988015997</v>
      </c>
      <c r="AG26" s="15">
        <v>9.7719869706840399</v>
      </c>
      <c r="AH26" s="15">
        <v>2.8469750889679699</v>
      </c>
      <c r="AI26" s="26" t="s">
        <v>80</v>
      </c>
      <c r="AJ26" s="38"/>
    </row>
    <row r="27" spans="1:36">
      <c r="A27" s="9" t="s">
        <v>271</v>
      </c>
      <c r="B27" s="36">
        <v>23.926342997513899</v>
      </c>
      <c r="C27" s="32">
        <v>22.375247773994399</v>
      </c>
      <c r="D27" s="32">
        <v>24.232685178318</v>
      </c>
      <c r="E27" s="32">
        <v>19.087039618946399</v>
      </c>
      <c r="F27" s="15">
        <v>11.4754098360656</v>
      </c>
      <c r="G27" s="15">
        <v>10.1694915254237</v>
      </c>
      <c r="H27" s="15">
        <v>22.891566265060199</v>
      </c>
      <c r="I27" s="15">
        <v>15.5555555555556</v>
      </c>
      <c r="J27" s="15">
        <v>17.8571428571429</v>
      </c>
      <c r="K27" s="20" t="s">
        <v>80</v>
      </c>
      <c r="L27" s="15">
        <v>9.7087378640776691</v>
      </c>
      <c r="M27" s="15">
        <v>6.1728395061728403</v>
      </c>
      <c r="N27" s="15">
        <v>16.9491525423729</v>
      </c>
      <c r="O27" s="15">
        <v>19.2982456140351</v>
      </c>
      <c r="P27" s="15">
        <v>10.975609756097599</v>
      </c>
      <c r="Q27" s="15">
        <v>24.539877300613501</v>
      </c>
      <c r="R27" s="15">
        <v>19.318181818181799</v>
      </c>
      <c r="S27" s="15">
        <v>24.324324324324301</v>
      </c>
      <c r="T27" s="15">
        <v>30.5555555555556</v>
      </c>
      <c r="U27" s="15">
        <v>30.327868852459002</v>
      </c>
      <c r="V27" s="15">
        <v>9.4594594594594597</v>
      </c>
      <c r="W27" s="15">
        <v>7.9545454545454497</v>
      </c>
      <c r="X27" s="15">
        <v>13.586956521739101</v>
      </c>
      <c r="Y27" s="15">
        <v>10.9677419354839</v>
      </c>
      <c r="Z27" s="15">
        <v>16.6666666666667</v>
      </c>
      <c r="AA27" s="32">
        <v>28.510795125550999</v>
      </c>
      <c r="AB27" s="15">
        <v>33.548387096774199</v>
      </c>
      <c r="AC27" s="15">
        <v>10.0946372239748</v>
      </c>
      <c r="AD27" s="15">
        <v>31.759656652360501</v>
      </c>
      <c r="AE27" s="15">
        <v>29.449838187702301</v>
      </c>
      <c r="AF27" s="15">
        <v>25.565912117177099</v>
      </c>
      <c r="AG27" s="15">
        <v>41.6938110749186</v>
      </c>
      <c r="AH27" s="15">
        <v>14.9466192170818</v>
      </c>
      <c r="AI27" s="24">
        <v>44.4444444444444</v>
      </c>
      <c r="AJ27" s="38"/>
    </row>
    <row r="28" spans="1:36" ht="30">
      <c r="A28" s="40" t="s">
        <v>272</v>
      </c>
      <c r="B28" s="36"/>
      <c r="C28" s="32"/>
      <c r="D28" s="32"/>
      <c r="E28" s="32"/>
      <c r="F28" s="15"/>
      <c r="G28" s="15"/>
      <c r="H28" s="15"/>
      <c r="I28" s="15"/>
      <c r="J28" s="15"/>
      <c r="K28" s="15"/>
      <c r="L28" s="15"/>
      <c r="M28" s="15"/>
      <c r="N28" s="15"/>
      <c r="O28" s="15"/>
      <c r="P28" s="15"/>
      <c r="Q28" s="15"/>
      <c r="R28" s="15"/>
      <c r="S28" s="15"/>
      <c r="T28" s="15"/>
      <c r="U28" s="15"/>
      <c r="V28" s="15"/>
      <c r="W28" s="15"/>
      <c r="X28" s="15"/>
      <c r="Y28" s="15"/>
      <c r="Z28" s="15"/>
      <c r="AA28" s="32"/>
      <c r="AB28" s="15"/>
      <c r="AC28" s="15"/>
      <c r="AD28" s="15"/>
      <c r="AE28" s="15"/>
      <c r="AF28" s="15"/>
      <c r="AG28" s="15"/>
      <c r="AH28" s="15"/>
      <c r="AI28" s="24"/>
      <c r="AJ28" s="38"/>
    </row>
    <row r="29" spans="1:36">
      <c r="A29" s="9" t="s">
        <v>253</v>
      </c>
      <c r="B29" s="36">
        <v>56.676468406290503</v>
      </c>
      <c r="C29" s="32">
        <v>58.534105912960896</v>
      </c>
      <c r="D29" s="32">
        <v>56.532145098629798</v>
      </c>
      <c r="E29" s="32">
        <v>61.879088514365698</v>
      </c>
      <c r="F29" s="15">
        <v>72.131147540983605</v>
      </c>
      <c r="G29" s="15">
        <v>71.186440677966104</v>
      </c>
      <c r="H29" s="15">
        <v>51.807228915662698</v>
      </c>
      <c r="I29" s="15">
        <v>75.5555555555556</v>
      </c>
      <c r="J29" s="15">
        <v>69.642857142857096</v>
      </c>
      <c r="K29" s="15">
        <v>63.8888888888889</v>
      </c>
      <c r="L29" s="15">
        <v>77.669902912621396</v>
      </c>
      <c r="M29" s="15">
        <v>75.308641975308603</v>
      </c>
      <c r="N29" s="15">
        <v>55.932203389830498</v>
      </c>
      <c r="O29" s="15">
        <v>66.6666666666667</v>
      </c>
      <c r="P29" s="15">
        <v>65.853658536585399</v>
      </c>
      <c r="Q29" s="15">
        <v>60.122699386503101</v>
      </c>
      <c r="R29" s="15">
        <v>59.090909090909101</v>
      </c>
      <c r="S29" s="15">
        <v>59.459459459459502</v>
      </c>
      <c r="T29" s="15">
        <v>47.2222222222222</v>
      </c>
      <c r="U29" s="15">
        <v>59.016393442622899</v>
      </c>
      <c r="V29" s="15">
        <v>75.675675675675706</v>
      </c>
      <c r="W29" s="15">
        <v>43.181818181818201</v>
      </c>
      <c r="X29" s="15">
        <v>65.2173913043478</v>
      </c>
      <c r="Y29" s="15">
        <v>72.258064516128997</v>
      </c>
      <c r="Z29" s="15">
        <v>71.929824561403507</v>
      </c>
      <c r="AA29" s="32">
        <v>52.086675322249597</v>
      </c>
      <c r="AB29" s="15">
        <v>48.387096774193502</v>
      </c>
      <c r="AC29" s="15">
        <v>70.347003154574097</v>
      </c>
      <c r="AD29" s="15">
        <v>31.330472103004301</v>
      </c>
      <c r="AE29" s="15">
        <v>47.572815533980602</v>
      </c>
      <c r="AF29" s="15">
        <v>59.387483355526001</v>
      </c>
      <c r="AG29" s="15">
        <v>43.648208469055398</v>
      </c>
      <c r="AH29" s="15">
        <v>62.277580071174398</v>
      </c>
      <c r="AI29" s="24">
        <v>50</v>
      </c>
      <c r="AJ29" s="38"/>
    </row>
    <row r="30" spans="1:36">
      <c r="A30" s="9" t="s">
        <v>254</v>
      </c>
      <c r="B30" s="36">
        <v>27.056844546746401</v>
      </c>
      <c r="C30" s="32">
        <v>26.590874364747499</v>
      </c>
      <c r="D30" s="32">
        <v>27.156252966800199</v>
      </c>
      <c r="E30" s="32">
        <v>25.947529946077498</v>
      </c>
      <c r="F30" s="15">
        <v>21.311475409836099</v>
      </c>
      <c r="G30" s="15">
        <v>20.338983050847499</v>
      </c>
      <c r="H30" s="15">
        <v>31.325301204819301</v>
      </c>
      <c r="I30" s="15">
        <v>18.8888888888889</v>
      </c>
      <c r="J30" s="15">
        <v>23.214285714285701</v>
      </c>
      <c r="K30" s="15">
        <v>33.3333333333333</v>
      </c>
      <c r="L30" s="15">
        <v>13.5922330097087</v>
      </c>
      <c r="M30" s="15">
        <v>20.987654320987701</v>
      </c>
      <c r="N30" s="15">
        <v>27.118644067796598</v>
      </c>
      <c r="O30" s="15">
        <v>24.5614035087719</v>
      </c>
      <c r="P30" s="15">
        <v>24.390243902439</v>
      </c>
      <c r="Q30" s="15">
        <v>27.607361963190201</v>
      </c>
      <c r="R30" s="15">
        <v>31.818181818181799</v>
      </c>
      <c r="S30" s="15">
        <v>24.324324324324301</v>
      </c>
      <c r="T30" s="15">
        <v>26.3888888888889</v>
      </c>
      <c r="U30" s="15">
        <v>27.868852459016399</v>
      </c>
      <c r="V30" s="15">
        <v>20.270270270270299</v>
      </c>
      <c r="W30" s="15">
        <v>43.181818181818201</v>
      </c>
      <c r="X30" s="15">
        <v>25.543478260869598</v>
      </c>
      <c r="Y30" s="15">
        <v>21.935483870967701</v>
      </c>
      <c r="Z30" s="15">
        <v>17.543859649122801</v>
      </c>
      <c r="AA30" s="32">
        <v>28.161190038104198</v>
      </c>
      <c r="AB30" s="15">
        <v>30.322580645161299</v>
      </c>
      <c r="AC30" s="15">
        <v>21.451104100946399</v>
      </c>
      <c r="AD30" s="15">
        <v>42.489270386266099</v>
      </c>
      <c r="AE30" s="15">
        <v>32.362459546925599</v>
      </c>
      <c r="AF30" s="15">
        <v>24.1011984021305</v>
      </c>
      <c r="AG30" s="15">
        <v>25.081433224755699</v>
      </c>
      <c r="AH30" s="15">
        <v>28.825622775800699</v>
      </c>
      <c r="AI30" s="26" t="s">
        <v>80</v>
      </c>
      <c r="AJ30" s="38"/>
    </row>
    <row r="31" spans="1:36">
      <c r="A31" s="9" t="s">
        <v>255</v>
      </c>
      <c r="B31" s="36">
        <v>3.95508630568728</v>
      </c>
      <c r="C31" s="32">
        <v>3.60540147496449</v>
      </c>
      <c r="D31" s="32">
        <v>4.1486455229221102</v>
      </c>
      <c r="E31" s="32">
        <v>3.4950258308238702</v>
      </c>
      <c r="F31" s="20" t="s">
        <v>80</v>
      </c>
      <c r="G31" s="20" t="s">
        <v>80</v>
      </c>
      <c r="H31" s="20" t="s">
        <v>80</v>
      </c>
      <c r="I31" s="20" t="s">
        <v>80</v>
      </c>
      <c r="J31" s="20" t="s">
        <v>80</v>
      </c>
      <c r="K31" s="20" t="s">
        <v>80</v>
      </c>
      <c r="L31" s="20" t="s">
        <v>80</v>
      </c>
      <c r="M31" s="20" t="s">
        <v>80</v>
      </c>
      <c r="N31" s="20" t="s">
        <v>80</v>
      </c>
      <c r="O31" s="20" t="s">
        <v>80</v>
      </c>
      <c r="P31" s="20" t="s">
        <v>80</v>
      </c>
      <c r="Q31" s="20" t="s">
        <v>80</v>
      </c>
      <c r="R31" s="20" t="s">
        <v>80</v>
      </c>
      <c r="S31" s="20" t="s">
        <v>80</v>
      </c>
      <c r="T31" s="15">
        <v>6.9444444444444402</v>
      </c>
      <c r="U31" s="20" t="s">
        <v>80</v>
      </c>
      <c r="V31" s="20" t="s">
        <v>80</v>
      </c>
      <c r="W31" s="15">
        <v>7.9545454545454497</v>
      </c>
      <c r="X31" s="15">
        <v>3.8043478260869601</v>
      </c>
      <c r="Y31" s="15">
        <v>3.2258064516128999</v>
      </c>
      <c r="Z31" s="20" t="s">
        <v>80</v>
      </c>
      <c r="AA31" s="32">
        <v>4.69206750451976</v>
      </c>
      <c r="AB31" s="15">
        <v>5.1612903225806503</v>
      </c>
      <c r="AC31" s="15">
        <v>1.8927444794952699</v>
      </c>
      <c r="AD31" s="15">
        <v>6.4377682403433498</v>
      </c>
      <c r="AE31" s="15">
        <v>5.5016181229773498</v>
      </c>
      <c r="AF31" s="15">
        <v>4.2609853528628499</v>
      </c>
      <c r="AG31" s="15">
        <v>6.5146579804560298</v>
      </c>
      <c r="AH31" s="15">
        <v>3.5587188612099601</v>
      </c>
      <c r="AI31" s="26" t="s">
        <v>80</v>
      </c>
      <c r="AJ31" s="38"/>
    </row>
    <row r="32" spans="1:36">
      <c r="A32" s="9" t="s">
        <v>273</v>
      </c>
      <c r="B32" s="36">
        <v>12.3116007412759</v>
      </c>
      <c r="C32" s="32">
        <v>11.2696182473271</v>
      </c>
      <c r="D32" s="32">
        <v>12.162956411647899</v>
      </c>
      <c r="E32" s="32">
        <v>8.6783557087328997</v>
      </c>
      <c r="F32" s="15">
        <v>4.9180327868852496</v>
      </c>
      <c r="G32" s="20" t="s">
        <v>80</v>
      </c>
      <c r="H32" s="15">
        <v>13.253012048192801</v>
      </c>
      <c r="I32" s="20" t="s">
        <v>80</v>
      </c>
      <c r="J32" s="20" t="s">
        <v>80</v>
      </c>
      <c r="K32" s="20" t="s">
        <v>80</v>
      </c>
      <c r="L32" s="15">
        <v>4.8543689320388301</v>
      </c>
      <c r="M32" s="20" t="s">
        <v>80</v>
      </c>
      <c r="N32" s="15">
        <v>13.559322033898299</v>
      </c>
      <c r="O32" s="15">
        <v>8.7719298245614006</v>
      </c>
      <c r="P32" s="15">
        <v>8.5365853658536608</v>
      </c>
      <c r="Q32" s="15">
        <v>11.0429447852761</v>
      </c>
      <c r="R32" s="15">
        <v>5.6818181818181799</v>
      </c>
      <c r="S32" s="15">
        <v>10.8108108108108</v>
      </c>
      <c r="T32" s="15">
        <v>19.4444444444444</v>
      </c>
      <c r="U32" s="15">
        <v>9.8360655737704903</v>
      </c>
      <c r="V32" s="20" t="s">
        <v>80</v>
      </c>
      <c r="W32" s="15">
        <v>5.6818181818181799</v>
      </c>
      <c r="X32" s="15">
        <v>5.4347826086956497</v>
      </c>
      <c r="Y32" s="20" t="s">
        <v>80</v>
      </c>
      <c r="Z32" s="15">
        <v>7.0175438596491198</v>
      </c>
      <c r="AA32" s="32">
        <v>15.0600671351265</v>
      </c>
      <c r="AB32" s="15">
        <v>16.129032258064498</v>
      </c>
      <c r="AC32" s="15">
        <v>6.3091482649842296</v>
      </c>
      <c r="AD32" s="15">
        <v>19.742489270386301</v>
      </c>
      <c r="AE32" s="15">
        <v>14.5631067961165</v>
      </c>
      <c r="AF32" s="15">
        <v>12.250332889480701</v>
      </c>
      <c r="AG32" s="15">
        <v>24.755700325732899</v>
      </c>
      <c r="AH32" s="15">
        <v>5.3380782918149503</v>
      </c>
      <c r="AI32" s="24">
        <v>27.7777777777778</v>
      </c>
      <c r="AJ32" s="38"/>
    </row>
    <row r="33" spans="1:36">
      <c r="A33" s="40" t="s">
        <v>274</v>
      </c>
      <c r="B33" s="36"/>
      <c r="C33" s="32"/>
      <c r="D33" s="32"/>
      <c r="E33" s="32"/>
      <c r="F33" s="15"/>
      <c r="G33" s="15"/>
      <c r="H33" s="15"/>
      <c r="I33" s="15"/>
      <c r="J33" s="15"/>
      <c r="K33" s="15"/>
      <c r="L33" s="15"/>
      <c r="M33" s="15"/>
      <c r="N33" s="15"/>
      <c r="O33" s="15"/>
      <c r="P33" s="15"/>
      <c r="Q33" s="15"/>
      <c r="R33" s="15"/>
      <c r="S33" s="15"/>
      <c r="T33" s="15"/>
      <c r="U33" s="15"/>
      <c r="V33" s="15"/>
      <c r="W33" s="15"/>
      <c r="X33" s="15"/>
      <c r="Y33" s="15"/>
      <c r="Z33" s="15"/>
      <c r="AA33" s="32"/>
      <c r="AB33" s="15"/>
      <c r="AC33" s="15"/>
      <c r="AD33" s="15"/>
      <c r="AE33" s="15"/>
      <c r="AF33" s="15"/>
      <c r="AG33" s="15"/>
      <c r="AH33" s="15"/>
      <c r="AI33" s="24"/>
      <c r="AJ33" s="38"/>
    </row>
    <row r="34" spans="1:36">
      <c r="A34" s="9" t="s">
        <v>275</v>
      </c>
      <c r="B34" s="36">
        <v>27.539574223517899</v>
      </c>
      <c r="C34" s="32">
        <v>27.552996314699602</v>
      </c>
      <c r="D34" s="32">
        <v>26.873563451707401</v>
      </c>
      <c r="E34" s="32">
        <v>33.406173267582098</v>
      </c>
      <c r="F34" s="15">
        <v>31.967213114754099</v>
      </c>
      <c r="G34" s="15">
        <v>27.118644067796598</v>
      </c>
      <c r="H34" s="15">
        <v>37.349397590361399</v>
      </c>
      <c r="I34" s="15">
        <v>26.6666666666667</v>
      </c>
      <c r="J34" s="15">
        <v>25</v>
      </c>
      <c r="K34" s="15">
        <v>25</v>
      </c>
      <c r="L34" s="15">
        <v>40.776699029126199</v>
      </c>
      <c r="M34" s="15">
        <v>30.8641975308642</v>
      </c>
      <c r="N34" s="15">
        <v>32.203389830508499</v>
      </c>
      <c r="O34" s="15">
        <v>31.578947368421101</v>
      </c>
      <c r="P34" s="15">
        <v>36.585365853658502</v>
      </c>
      <c r="Q34" s="15">
        <v>21.472392638036801</v>
      </c>
      <c r="R34" s="15">
        <v>31.818181818181799</v>
      </c>
      <c r="S34" s="15">
        <v>31.081081081081098</v>
      </c>
      <c r="T34" s="15">
        <v>34.7222222222222</v>
      </c>
      <c r="U34" s="15">
        <v>36.065573770491802</v>
      </c>
      <c r="V34" s="15">
        <v>35.135135135135101</v>
      </c>
      <c r="W34" s="15">
        <v>44.318181818181799</v>
      </c>
      <c r="X34" s="15">
        <v>40.2173913043478</v>
      </c>
      <c r="Y34" s="15">
        <v>40</v>
      </c>
      <c r="Z34" s="15">
        <v>37.719298245613999</v>
      </c>
      <c r="AA34" s="32">
        <v>21.442325969019599</v>
      </c>
      <c r="AB34" s="15">
        <v>22.580645161290299</v>
      </c>
      <c r="AC34" s="15">
        <v>29.337539432176701</v>
      </c>
      <c r="AD34" s="15">
        <v>21.0300429184549</v>
      </c>
      <c r="AE34" s="15">
        <v>14.886731391585799</v>
      </c>
      <c r="AF34" s="15">
        <v>23.834886817576599</v>
      </c>
      <c r="AG34" s="15">
        <v>19.218241042345301</v>
      </c>
      <c r="AH34" s="15">
        <v>25.6227758007117</v>
      </c>
      <c r="AI34" s="24">
        <v>38.8888888888889</v>
      </c>
      <c r="AJ34" s="38"/>
    </row>
    <row r="35" spans="1:36">
      <c r="A35" s="9" t="s">
        <v>276</v>
      </c>
      <c r="B35" s="36">
        <v>41.764469866735702</v>
      </c>
      <c r="C35" s="32">
        <v>41.925304211962697</v>
      </c>
      <c r="D35" s="32">
        <v>41.461733713460802</v>
      </c>
      <c r="E35" s="32">
        <v>39.3847441309088</v>
      </c>
      <c r="F35" s="15">
        <v>40.163934426229503</v>
      </c>
      <c r="G35" s="15">
        <v>52.542372881355902</v>
      </c>
      <c r="H35" s="15">
        <v>33.734939759036102</v>
      </c>
      <c r="I35" s="15">
        <v>37.7777777777778</v>
      </c>
      <c r="J35" s="15">
        <v>46.428571428571402</v>
      </c>
      <c r="K35" s="15">
        <v>52.7777777777778</v>
      </c>
      <c r="L35" s="15">
        <v>41.747572815533999</v>
      </c>
      <c r="M35" s="15">
        <v>56.790123456790099</v>
      </c>
      <c r="N35" s="15">
        <v>38.983050847457598</v>
      </c>
      <c r="O35" s="15">
        <v>54.385964912280699</v>
      </c>
      <c r="P35" s="15">
        <v>45.121951219512198</v>
      </c>
      <c r="Q35" s="15">
        <v>53.374233128834398</v>
      </c>
      <c r="R35" s="15">
        <v>44.318181818181799</v>
      </c>
      <c r="S35" s="15">
        <v>32.4324324324324</v>
      </c>
      <c r="T35" s="15">
        <v>33.3333333333333</v>
      </c>
      <c r="U35" s="15">
        <v>27.868852459016399</v>
      </c>
      <c r="V35" s="15">
        <v>41.891891891891902</v>
      </c>
      <c r="W35" s="15">
        <v>31.818181818181799</v>
      </c>
      <c r="X35" s="15">
        <v>37.5</v>
      </c>
      <c r="Y35" s="15">
        <v>34.193548387096797</v>
      </c>
      <c r="Z35" s="15">
        <v>44.7368421052632</v>
      </c>
      <c r="AA35" s="32">
        <v>43.188551017702103</v>
      </c>
      <c r="AB35" s="15">
        <v>25.806451612903199</v>
      </c>
      <c r="AC35" s="15">
        <v>52.681388012618299</v>
      </c>
      <c r="AD35" s="15">
        <v>38.1974248927039</v>
      </c>
      <c r="AE35" s="15">
        <v>47.572815533980602</v>
      </c>
      <c r="AF35" s="15">
        <v>43.009320905459397</v>
      </c>
      <c r="AG35" s="15">
        <v>40.065146579804598</v>
      </c>
      <c r="AH35" s="15">
        <v>46.263345195729499</v>
      </c>
      <c r="AI35" s="26" t="s">
        <v>80</v>
      </c>
      <c r="AJ35" s="38"/>
    </row>
    <row r="36" spans="1:36">
      <c r="A36" s="9" t="s">
        <v>277</v>
      </c>
      <c r="B36" s="36">
        <v>22.5084723469366</v>
      </c>
      <c r="C36" s="32">
        <v>22.640826603314899</v>
      </c>
      <c r="D36" s="32">
        <v>23.252427505491202</v>
      </c>
      <c r="E36" s="32">
        <v>19.968564587421898</v>
      </c>
      <c r="F36" s="15">
        <v>24.590163934426201</v>
      </c>
      <c r="G36" s="15">
        <v>13.559322033898299</v>
      </c>
      <c r="H36" s="15">
        <v>18.0722891566265</v>
      </c>
      <c r="I36" s="15">
        <v>32.2222222222222</v>
      </c>
      <c r="J36" s="15">
        <v>25</v>
      </c>
      <c r="K36" s="15">
        <v>19.4444444444444</v>
      </c>
      <c r="L36" s="15">
        <v>15.5339805825243</v>
      </c>
      <c r="M36" s="15">
        <v>12.3456790123457</v>
      </c>
      <c r="N36" s="15">
        <v>20.338983050847499</v>
      </c>
      <c r="O36" s="15">
        <v>14.0350877192982</v>
      </c>
      <c r="P36" s="15">
        <v>14.634146341463399</v>
      </c>
      <c r="Q36" s="15">
        <v>19.631901840490801</v>
      </c>
      <c r="R36" s="15">
        <v>18.181818181818201</v>
      </c>
      <c r="S36" s="15">
        <v>16.2162162162162</v>
      </c>
      <c r="T36" s="15">
        <v>19.4444444444444</v>
      </c>
      <c r="U36" s="15">
        <v>28.688524590163901</v>
      </c>
      <c r="V36" s="15">
        <v>20.270270270270299</v>
      </c>
      <c r="W36" s="15">
        <v>11.363636363636401</v>
      </c>
      <c r="X36" s="15">
        <v>16.304347826087</v>
      </c>
      <c r="Y36" s="15">
        <v>16.129032258064498</v>
      </c>
      <c r="Z36" s="15">
        <v>11.403508771929801</v>
      </c>
      <c r="AA36" s="32">
        <v>25.9826440454849</v>
      </c>
      <c r="AB36" s="15">
        <v>31.612903225806502</v>
      </c>
      <c r="AC36" s="15">
        <v>14.195583596214499</v>
      </c>
      <c r="AD36" s="15">
        <v>29.184549356223201</v>
      </c>
      <c r="AE36" s="15">
        <v>27.184466019417499</v>
      </c>
      <c r="AF36" s="15">
        <v>26.3648468708389</v>
      </c>
      <c r="AG36" s="15">
        <v>26.710097719869701</v>
      </c>
      <c r="AH36" s="15">
        <v>24.199288256227799</v>
      </c>
      <c r="AI36" s="24">
        <v>27.7777777777778</v>
      </c>
      <c r="AJ36" s="38"/>
    </row>
    <row r="37" spans="1:36">
      <c r="A37" s="11" t="s">
        <v>278</v>
      </c>
      <c r="B37" s="37">
        <v>8.1874835628098204</v>
      </c>
      <c r="C37" s="33">
        <v>7.8808728700227402</v>
      </c>
      <c r="D37" s="33">
        <v>8.4122753293405808</v>
      </c>
      <c r="E37" s="33">
        <v>7.2405180140872298</v>
      </c>
      <c r="F37" s="28" t="s">
        <v>80</v>
      </c>
      <c r="G37" s="28" t="s">
        <v>80</v>
      </c>
      <c r="H37" s="16">
        <v>10.8433734939759</v>
      </c>
      <c r="I37" s="28" t="s">
        <v>80</v>
      </c>
      <c r="J37" s="28" t="s">
        <v>80</v>
      </c>
      <c r="K37" s="28" t="s">
        <v>80</v>
      </c>
      <c r="L37" s="28" t="s">
        <v>80</v>
      </c>
      <c r="M37" s="28" t="s">
        <v>80</v>
      </c>
      <c r="N37" s="16">
        <v>8.4745762711864394</v>
      </c>
      <c r="O37" s="28" t="s">
        <v>80</v>
      </c>
      <c r="P37" s="28" t="s">
        <v>80</v>
      </c>
      <c r="Q37" s="16">
        <v>5.5214723926380396</v>
      </c>
      <c r="R37" s="16">
        <v>5.6818181818181799</v>
      </c>
      <c r="S37" s="16">
        <v>20.270270270270299</v>
      </c>
      <c r="T37" s="16">
        <v>12.5</v>
      </c>
      <c r="U37" s="16">
        <v>7.3770491803278704</v>
      </c>
      <c r="V37" s="28" t="s">
        <v>80</v>
      </c>
      <c r="W37" s="16">
        <v>12.5</v>
      </c>
      <c r="X37" s="16">
        <v>5.9782608695652204</v>
      </c>
      <c r="Y37" s="16">
        <v>9.67741935483871</v>
      </c>
      <c r="Z37" s="16">
        <v>6.1403508771929802</v>
      </c>
      <c r="AA37" s="33">
        <v>9.3864789677933906</v>
      </c>
      <c r="AB37" s="16">
        <v>20</v>
      </c>
      <c r="AC37" s="16">
        <v>3.7854889589905398</v>
      </c>
      <c r="AD37" s="16">
        <v>11.587982832618</v>
      </c>
      <c r="AE37" s="16">
        <v>10.3559870550162</v>
      </c>
      <c r="AF37" s="16">
        <v>6.7909454061251697</v>
      </c>
      <c r="AG37" s="16">
        <v>14.0065146579805</v>
      </c>
      <c r="AH37" s="16">
        <v>3.9145907473309598</v>
      </c>
      <c r="AI37" s="29" t="s">
        <v>80</v>
      </c>
      <c r="AJ37" s="38"/>
    </row>
    <row r="38" spans="1:36" ht="30" customHeight="1">
      <c r="A38" t="s">
        <v>146</v>
      </c>
    </row>
    <row r="39" spans="1:36">
      <c r="A39" t="s">
        <v>93</v>
      </c>
    </row>
    <row r="40" spans="1:36">
      <c r="A40" t="s">
        <v>94</v>
      </c>
    </row>
    <row r="41" spans="1:36">
      <c r="A41" t="s">
        <v>95</v>
      </c>
    </row>
    <row r="42" spans="1:36">
      <c r="A42" t="s">
        <v>96</v>
      </c>
    </row>
    <row r="43" spans="1:36">
      <c r="A43" t="s">
        <v>97</v>
      </c>
    </row>
    <row r="44" spans="1:36">
      <c r="A4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8"/>
  <sheetViews>
    <sheetView zoomScale="70" workbookViewId="0"/>
  </sheetViews>
  <sheetFormatPr defaultColWidth="10.90625" defaultRowHeight="15"/>
  <cols>
    <col min="1" max="1" width="51.6796875" customWidth="1"/>
    <col min="2" max="16" width="15.90625" customWidth="1"/>
  </cols>
  <sheetData>
    <row r="1" spans="1:16" ht="39.9" customHeight="1">
      <c r="A1" s="10" t="s">
        <v>280</v>
      </c>
      <c r="B1" s="12"/>
      <c r="C1" s="12"/>
      <c r="D1" s="12"/>
      <c r="E1" s="12"/>
      <c r="F1" s="12"/>
      <c r="G1" s="12"/>
      <c r="H1" s="12"/>
      <c r="I1" s="12"/>
      <c r="J1" s="12"/>
      <c r="K1" s="12"/>
      <c r="L1" s="12"/>
      <c r="M1" s="12"/>
      <c r="N1" s="12"/>
      <c r="O1" s="12"/>
      <c r="P1" s="12"/>
    </row>
    <row r="2" spans="1:16" ht="45">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40" t="s">
        <v>281</v>
      </c>
      <c r="B3" s="15"/>
      <c r="C3" s="15"/>
      <c r="D3" s="24"/>
      <c r="E3" s="15"/>
      <c r="F3" s="15"/>
      <c r="G3" s="24"/>
      <c r="H3" s="15"/>
      <c r="I3" s="15"/>
      <c r="J3" s="24"/>
      <c r="K3" s="15"/>
      <c r="L3" s="15"/>
      <c r="M3" s="24"/>
      <c r="N3" s="15"/>
      <c r="O3" s="15"/>
      <c r="P3" s="24"/>
    </row>
    <row r="4" spans="1:16">
      <c r="A4" s="9" t="s">
        <v>282</v>
      </c>
      <c r="B4" s="15">
        <v>35.721438275387797</v>
      </c>
      <c r="C4" s="15">
        <v>31.769167830243401</v>
      </c>
      <c r="D4" s="24">
        <v>39.007371461114602</v>
      </c>
      <c r="E4" s="15">
        <v>34.843596429375999</v>
      </c>
      <c r="F4" s="15">
        <v>31.2021879360938</v>
      </c>
      <c r="G4" s="24">
        <v>37.939455656926299</v>
      </c>
      <c r="H4" s="15">
        <v>36.906666168800101</v>
      </c>
      <c r="I4" s="15">
        <v>32.241872399792101</v>
      </c>
      <c r="J4" s="24">
        <v>40.729592455476002</v>
      </c>
      <c r="K4" s="15">
        <v>40.304723819335003</v>
      </c>
      <c r="L4" s="20" t="s">
        <v>80</v>
      </c>
      <c r="M4" s="26" t="s">
        <v>80</v>
      </c>
      <c r="N4" s="15">
        <v>27.974386649413798</v>
      </c>
      <c r="O4" s="20" t="s">
        <v>80</v>
      </c>
      <c r="P4" s="26" t="s">
        <v>80</v>
      </c>
    </row>
    <row r="5" spans="1:16">
      <c r="A5" s="9" t="s">
        <v>283</v>
      </c>
      <c r="B5" s="15">
        <v>3.88765678859829</v>
      </c>
      <c r="C5" s="15">
        <v>3.8701849866443898</v>
      </c>
      <c r="D5" s="24">
        <v>3.9021829134299799</v>
      </c>
      <c r="E5" s="15">
        <v>3.3287898982734299</v>
      </c>
      <c r="F5" s="15">
        <v>3.8681779062263701</v>
      </c>
      <c r="G5" s="24">
        <v>2.87021203074451</v>
      </c>
      <c r="H5" s="15">
        <v>4.3097023221262596</v>
      </c>
      <c r="I5" s="15">
        <v>3.72022748784154</v>
      </c>
      <c r="J5" s="24">
        <v>4.7927930976055597</v>
      </c>
      <c r="K5" s="20" t="s">
        <v>80</v>
      </c>
      <c r="L5" s="20" t="s">
        <v>80</v>
      </c>
      <c r="M5" s="26" t="s">
        <v>80</v>
      </c>
      <c r="N5" s="20" t="s">
        <v>80</v>
      </c>
      <c r="O5" s="20" t="s">
        <v>80</v>
      </c>
      <c r="P5" s="26" t="s">
        <v>80</v>
      </c>
    </row>
    <row r="6" spans="1:16">
      <c r="A6" s="9" t="s">
        <v>284</v>
      </c>
      <c r="B6" s="15">
        <v>37.400116450047598</v>
      </c>
      <c r="C6" s="15">
        <v>33.749035887402599</v>
      </c>
      <c r="D6" s="24">
        <v>40.435639183391203</v>
      </c>
      <c r="E6" s="15">
        <v>33.660390135767202</v>
      </c>
      <c r="F6" s="15">
        <v>31.6724832524283</v>
      </c>
      <c r="G6" s="24">
        <v>35.350472388183803</v>
      </c>
      <c r="H6" s="15">
        <v>41.975686464854903</v>
      </c>
      <c r="I6" s="15">
        <v>36.697408742775401</v>
      </c>
      <c r="J6" s="24">
        <v>46.301379657590601</v>
      </c>
      <c r="K6" s="15">
        <v>40.178746100670502</v>
      </c>
      <c r="L6" s="20" t="s">
        <v>80</v>
      </c>
      <c r="M6" s="26" t="s">
        <v>80</v>
      </c>
      <c r="N6" s="15">
        <v>24.070461789449201</v>
      </c>
      <c r="O6" s="20" t="s">
        <v>80</v>
      </c>
      <c r="P6" s="26" t="s">
        <v>80</v>
      </c>
    </row>
    <row r="7" spans="1:16">
      <c r="A7" s="9" t="s">
        <v>285</v>
      </c>
      <c r="B7" s="15">
        <v>17.811838629743399</v>
      </c>
      <c r="C7" s="15">
        <v>17.6381964484024</v>
      </c>
      <c r="D7" s="24">
        <v>17.956205421953101</v>
      </c>
      <c r="E7" s="15">
        <v>14.7516874523604</v>
      </c>
      <c r="F7" s="15">
        <v>16.1378838538478</v>
      </c>
      <c r="G7" s="24">
        <v>13.5731685005156</v>
      </c>
      <c r="H7" s="15">
        <v>20.751105107593698</v>
      </c>
      <c r="I7" s="15">
        <v>19.136465650200901</v>
      </c>
      <c r="J7" s="24">
        <v>22.074346376303399</v>
      </c>
      <c r="K7" s="20" t="s">
        <v>80</v>
      </c>
      <c r="L7" s="20" t="s">
        <v>80</v>
      </c>
      <c r="M7" s="26" t="s">
        <v>80</v>
      </c>
      <c r="N7" s="20" t="s">
        <v>80</v>
      </c>
      <c r="O7" s="20" t="s">
        <v>80</v>
      </c>
      <c r="P7" s="26" t="s">
        <v>80</v>
      </c>
    </row>
    <row r="8" spans="1:16">
      <c r="A8" s="9" t="s">
        <v>286</v>
      </c>
      <c r="B8" s="15">
        <v>18.1799646957679</v>
      </c>
      <c r="C8" s="15">
        <v>16.484879461104502</v>
      </c>
      <c r="D8" s="24">
        <v>19.589265223786899</v>
      </c>
      <c r="E8" s="15">
        <v>16.948024084292999</v>
      </c>
      <c r="F8" s="15">
        <v>16.295670164270401</v>
      </c>
      <c r="G8" s="24">
        <v>17.50264351429</v>
      </c>
      <c r="H8" s="15">
        <v>19.300163813332698</v>
      </c>
      <c r="I8" s="15">
        <v>16.532324773580498</v>
      </c>
      <c r="J8" s="24">
        <v>21.568483731922999</v>
      </c>
      <c r="K8" s="20" t="s">
        <v>80</v>
      </c>
      <c r="L8" s="20" t="s">
        <v>80</v>
      </c>
      <c r="M8" s="26" t="s">
        <v>80</v>
      </c>
      <c r="N8" s="20" t="s">
        <v>80</v>
      </c>
      <c r="O8" s="20" t="s">
        <v>80</v>
      </c>
      <c r="P8" s="26" t="s">
        <v>80</v>
      </c>
    </row>
    <row r="9" spans="1:16">
      <c r="A9" s="9" t="s">
        <v>287</v>
      </c>
      <c r="B9" s="15">
        <v>15.974848691018799</v>
      </c>
      <c r="C9" s="15">
        <v>17.703765031945299</v>
      </c>
      <c r="D9" s="24">
        <v>14.5374208482518</v>
      </c>
      <c r="E9" s="15">
        <v>16.1687806999835</v>
      </c>
      <c r="F9" s="15">
        <v>18.561556054022699</v>
      </c>
      <c r="G9" s="24">
        <v>14.1344866423619</v>
      </c>
      <c r="H9" s="15">
        <v>15.569215520775799</v>
      </c>
      <c r="I9" s="15">
        <v>16.613662737797899</v>
      </c>
      <c r="J9" s="24">
        <v>14.713262413582299</v>
      </c>
      <c r="K9" s="20" t="s">
        <v>80</v>
      </c>
      <c r="L9" s="20" t="s">
        <v>80</v>
      </c>
      <c r="M9" s="26" t="s">
        <v>80</v>
      </c>
      <c r="N9" s="20" t="s">
        <v>80</v>
      </c>
      <c r="O9" s="20" t="s">
        <v>80</v>
      </c>
      <c r="P9" s="26" t="s">
        <v>80</v>
      </c>
    </row>
    <row r="10" spans="1:16">
      <c r="A10" s="9" t="s">
        <v>288</v>
      </c>
      <c r="B10" s="15">
        <v>9.6620697210038706</v>
      </c>
      <c r="C10" s="15">
        <v>11.3208719144531</v>
      </c>
      <c r="D10" s="24">
        <v>8.2829350560905208</v>
      </c>
      <c r="E10" s="15">
        <v>10.2752609470739</v>
      </c>
      <c r="F10" s="15">
        <v>13.068781333784299</v>
      </c>
      <c r="G10" s="24">
        <v>7.9002607562131502</v>
      </c>
      <c r="H10" s="15">
        <v>8.8708362210306397</v>
      </c>
      <c r="I10" s="15">
        <v>9.2263393313771598</v>
      </c>
      <c r="J10" s="24">
        <v>8.5794916830216597</v>
      </c>
      <c r="K10" s="20" t="s">
        <v>80</v>
      </c>
      <c r="L10" s="20" t="s">
        <v>80</v>
      </c>
      <c r="M10" s="26" t="s">
        <v>80</v>
      </c>
      <c r="N10" s="20" t="s">
        <v>80</v>
      </c>
      <c r="O10" s="20" t="s">
        <v>80</v>
      </c>
      <c r="P10" s="26" t="s">
        <v>80</v>
      </c>
    </row>
    <row r="11" spans="1:16">
      <c r="A11" s="9" t="s">
        <v>289</v>
      </c>
      <c r="B11" s="15">
        <v>9.6051058703921797</v>
      </c>
      <c r="C11" s="15">
        <v>7.5671520448373899</v>
      </c>
      <c r="D11" s="24">
        <v>11.299468692804</v>
      </c>
      <c r="E11" s="15">
        <v>5.4980237964964198</v>
      </c>
      <c r="F11" s="15">
        <v>6.2593884827520796</v>
      </c>
      <c r="G11" s="24">
        <v>4.8507253970380999</v>
      </c>
      <c r="H11" s="15">
        <v>13.9047089291014</v>
      </c>
      <c r="I11" s="15">
        <v>8.5835402434011296</v>
      </c>
      <c r="J11" s="24">
        <v>18.265552441531</v>
      </c>
      <c r="K11" s="20" t="s">
        <v>80</v>
      </c>
      <c r="L11" s="20" t="s">
        <v>80</v>
      </c>
      <c r="M11" s="26" t="s">
        <v>80</v>
      </c>
      <c r="N11" s="20" t="s">
        <v>80</v>
      </c>
      <c r="O11" s="20" t="s">
        <v>80</v>
      </c>
      <c r="P11" s="26" t="s">
        <v>80</v>
      </c>
    </row>
    <row r="12" spans="1:16">
      <c r="A12" s="9" t="s">
        <v>290</v>
      </c>
      <c r="B12" s="15">
        <v>9.5477892405190499</v>
      </c>
      <c r="C12" s="15">
        <v>11.7470157452761</v>
      </c>
      <c r="D12" s="24">
        <v>7.7193436786042398</v>
      </c>
      <c r="E12" s="15">
        <v>8.3048440637057492</v>
      </c>
      <c r="F12" s="15">
        <v>10.755486461895901</v>
      </c>
      <c r="G12" s="24">
        <v>6.2213524983240198</v>
      </c>
      <c r="H12" s="15">
        <v>10.4909189131932</v>
      </c>
      <c r="I12" s="15">
        <v>12.544568581009001</v>
      </c>
      <c r="J12" s="24">
        <v>8.8078967502677994</v>
      </c>
      <c r="K12" s="20" t="s">
        <v>80</v>
      </c>
      <c r="L12" s="20" t="s">
        <v>80</v>
      </c>
      <c r="M12" s="26" t="s">
        <v>80</v>
      </c>
      <c r="N12" s="20" t="s">
        <v>80</v>
      </c>
      <c r="O12" s="20" t="s">
        <v>80</v>
      </c>
      <c r="P12" s="26" t="s">
        <v>80</v>
      </c>
    </row>
    <row r="13" spans="1:16">
      <c r="A13" s="9" t="s">
        <v>291</v>
      </c>
      <c r="B13" s="15">
        <v>15.699219775172899</v>
      </c>
      <c r="C13" s="15">
        <v>15.3681202658607</v>
      </c>
      <c r="D13" s="24">
        <v>15.9744972088727</v>
      </c>
      <c r="E13" s="15">
        <v>12.836601266629</v>
      </c>
      <c r="F13" s="15">
        <v>14.578162811169401</v>
      </c>
      <c r="G13" s="24">
        <v>11.355957337787</v>
      </c>
      <c r="H13" s="15">
        <v>17.967427687317201</v>
      </c>
      <c r="I13" s="15">
        <v>16.357607293997098</v>
      </c>
      <c r="J13" s="24">
        <v>19.286719601000001</v>
      </c>
      <c r="K13" s="20" t="s">
        <v>80</v>
      </c>
      <c r="L13" s="20" t="s">
        <v>80</v>
      </c>
      <c r="M13" s="26" t="s">
        <v>80</v>
      </c>
      <c r="N13" s="15">
        <v>24.113657533955699</v>
      </c>
      <c r="O13" s="20" t="s">
        <v>80</v>
      </c>
      <c r="P13" s="26" t="s">
        <v>80</v>
      </c>
    </row>
    <row r="14" spans="1:16">
      <c r="A14" s="9" t="s">
        <v>292</v>
      </c>
      <c r="B14" s="15">
        <v>15.4085868839736</v>
      </c>
      <c r="C14" s="15">
        <v>15.610230172698399</v>
      </c>
      <c r="D14" s="24">
        <v>15.240939861003801</v>
      </c>
      <c r="E14" s="15">
        <v>13.6296048485281</v>
      </c>
      <c r="F14" s="15">
        <v>14.897530577718401</v>
      </c>
      <c r="G14" s="24">
        <v>12.551637469750499</v>
      </c>
      <c r="H14" s="15">
        <v>16.354363754385499</v>
      </c>
      <c r="I14" s="15">
        <v>15.9688057741847</v>
      </c>
      <c r="J14" s="24">
        <v>16.670339081599298</v>
      </c>
      <c r="K14" s="20" t="s">
        <v>80</v>
      </c>
      <c r="L14" s="20" t="s">
        <v>80</v>
      </c>
      <c r="M14" s="26" t="s">
        <v>80</v>
      </c>
      <c r="N14" s="15">
        <v>28.583875889023201</v>
      </c>
      <c r="O14" s="20" t="s">
        <v>80</v>
      </c>
      <c r="P14" s="26" t="s">
        <v>80</v>
      </c>
    </row>
    <row r="15" spans="1:16">
      <c r="A15" s="9" t="s">
        <v>293</v>
      </c>
      <c r="B15" s="15">
        <v>4.3358114753423296</v>
      </c>
      <c r="C15" s="15">
        <v>3.8496670957471602</v>
      </c>
      <c r="D15" s="24">
        <v>4.7399938237261301</v>
      </c>
      <c r="E15" s="15">
        <v>2.9606792298151001</v>
      </c>
      <c r="F15" s="15">
        <v>3.4181718226169702</v>
      </c>
      <c r="G15" s="24">
        <v>2.5717273537554801</v>
      </c>
      <c r="H15" s="15">
        <v>5.3520239636148697</v>
      </c>
      <c r="I15" s="15">
        <v>3.8655043164684302</v>
      </c>
      <c r="J15" s="24">
        <v>6.5702675379594098</v>
      </c>
      <c r="K15" s="20" t="s">
        <v>80</v>
      </c>
      <c r="L15" s="20" t="s">
        <v>80</v>
      </c>
      <c r="M15" s="26" t="s">
        <v>80</v>
      </c>
      <c r="N15" s="20" t="s">
        <v>80</v>
      </c>
      <c r="O15" s="20" t="s">
        <v>80</v>
      </c>
      <c r="P15" s="26" t="s">
        <v>80</v>
      </c>
    </row>
    <row r="16" spans="1:16">
      <c r="A16" s="9" t="s">
        <v>294</v>
      </c>
      <c r="B16" s="15">
        <v>25.119079600307</v>
      </c>
      <c r="C16" s="15">
        <v>21.215032987179899</v>
      </c>
      <c r="D16" s="24">
        <v>28.364919302511499</v>
      </c>
      <c r="E16" s="15">
        <v>17.812466983567202</v>
      </c>
      <c r="F16" s="15">
        <v>16.8596951837429</v>
      </c>
      <c r="G16" s="24">
        <v>18.622496227382399</v>
      </c>
      <c r="H16" s="15">
        <v>32.184133172853002</v>
      </c>
      <c r="I16" s="15">
        <v>25.7077935997705</v>
      </c>
      <c r="J16" s="24">
        <v>37.4916708736339</v>
      </c>
      <c r="K16" s="20" t="s">
        <v>80</v>
      </c>
      <c r="L16" s="20" t="s">
        <v>80</v>
      </c>
      <c r="M16" s="26" t="s">
        <v>80</v>
      </c>
      <c r="N16" s="15">
        <v>33.646465066277301</v>
      </c>
      <c r="O16" s="20" t="s">
        <v>80</v>
      </c>
      <c r="P16" s="24">
        <v>45.7169512411391</v>
      </c>
    </row>
    <row r="17" spans="1:16">
      <c r="A17" s="9" t="s">
        <v>295</v>
      </c>
      <c r="B17" s="15">
        <v>19.414030168830699</v>
      </c>
      <c r="C17" s="15">
        <v>18.850532259331199</v>
      </c>
      <c r="D17" s="24">
        <v>19.8825245460784</v>
      </c>
      <c r="E17" s="15">
        <v>16.5675842089355</v>
      </c>
      <c r="F17" s="15">
        <v>16.9485129645374</v>
      </c>
      <c r="G17" s="24">
        <v>16.2437255138056</v>
      </c>
      <c r="H17" s="15">
        <v>21.7949130746821</v>
      </c>
      <c r="I17" s="15">
        <v>20.249760221400301</v>
      </c>
      <c r="J17" s="24">
        <v>23.061208167723201</v>
      </c>
      <c r="K17" s="20" t="s">
        <v>80</v>
      </c>
      <c r="L17" s="20" t="s">
        <v>80</v>
      </c>
      <c r="M17" s="26" t="s">
        <v>80</v>
      </c>
      <c r="N17" s="15">
        <v>26.583251334567802</v>
      </c>
      <c r="O17" s="20" t="s">
        <v>80</v>
      </c>
      <c r="P17" s="26" t="s">
        <v>80</v>
      </c>
    </row>
    <row r="18" spans="1:16" ht="18">
      <c r="A18" s="9" t="s">
        <v>296</v>
      </c>
      <c r="B18" s="15">
        <v>5.4974820895637899</v>
      </c>
      <c r="C18" s="15">
        <v>2.4910770873752401</v>
      </c>
      <c r="D18" s="24">
        <v>7.9970190275188697</v>
      </c>
      <c r="E18" s="15">
        <v>2.0193912598236499</v>
      </c>
      <c r="F18" s="20" t="s">
        <v>80</v>
      </c>
      <c r="G18" s="24">
        <v>2.5484999991672499</v>
      </c>
      <c r="H18" s="15">
        <v>8.4306594967192208</v>
      </c>
      <c r="I18" s="15">
        <v>3.2425607689551201</v>
      </c>
      <c r="J18" s="24">
        <v>12.682448533141599</v>
      </c>
      <c r="K18" s="20" t="s">
        <v>80</v>
      </c>
      <c r="L18" s="20" t="s">
        <v>80</v>
      </c>
      <c r="M18" s="26" t="s">
        <v>80</v>
      </c>
      <c r="N18" s="20" t="s">
        <v>80</v>
      </c>
      <c r="O18" s="20" t="s">
        <v>80</v>
      </c>
      <c r="P18" s="26" t="s">
        <v>80</v>
      </c>
    </row>
    <row r="19" spans="1:16">
      <c r="A19" s="9" t="s">
        <v>297</v>
      </c>
      <c r="B19" s="15">
        <v>23.953026986790501</v>
      </c>
      <c r="C19" s="15">
        <v>19.371910729257898</v>
      </c>
      <c r="D19" s="24">
        <v>27.761785053130101</v>
      </c>
      <c r="E19" s="15">
        <v>16.9836740500727</v>
      </c>
      <c r="F19" s="15">
        <v>15.3825233949353</v>
      </c>
      <c r="G19" s="24">
        <v>18.344943196214899</v>
      </c>
      <c r="H19" s="15">
        <v>30.956050297918399</v>
      </c>
      <c r="I19" s="15">
        <v>23.5679308258471</v>
      </c>
      <c r="J19" s="24">
        <v>37.010816604316297</v>
      </c>
      <c r="K19" s="20" t="s">
        <v>80</v>
      </c>
      <c r="L19" s="20" t="s">
        <v>80</v>
      </c>
      <c r="M19" s="26" t="s">
        <v>80</v>
      </c>
      <c r="N19" s="15">
        <v>29.009382817388399</v>
      </c>
      <c r="O19" s="20" t="s">
        <v>80</v>
      </c>
      <c r="P19" s="26" t="s">
        <v>80</v>
      </c>
    </row>
    <row r="20" spans="1:16">
      <c r="A20" s="9" t="s">
        <v>298</v>
      </c>
      <c r="B20" s="15">
        <v>9.2541551038479906</v>
      </c>
      <c r="C20" s="15">
        <v>9.4110965603210506</v>
      </c>
      <c r="D20" s="24">
        <v>9.1236733599494499</v>
      </c>
      <c r="E20" s="15">
        <v>10.1120518148828</v>
      </c>
      <c r="F20" s="15">
        <v>10.0602442119092</v>
      </c>
      <c r="G20" s="24">
        <v>10.156097696035401</v>
      </c>
      <c r="H20" s="15">
        <v>8.1173399869672291</v>
      </c>
      <c r="I20" s="15">
        <v>8.7381361967145494</v>
      </c>
      <c r="J20" s="24">
        <v>7.6085804862408999</v>
      </c>
      <c r="K20" s="20" t="s">
        <v>80</v>
      </c>
      <c r="L20" s="20" t="s">
        <v>80</v>
      </c>
      <c r="M20" s="26" t="s">
        <v>80</v>
      </c>
      <c r="N20" s="20" t="s">
        <v>80</v>
      </c>
      <c r="O20" s="20" t="s">
        <v>80</v>
      </c>
      <c r="P20" s="26" t="s">
        <v>80</v>
      </c>
    </row>
    <row r="21" spans="1:16">
      <c r="A21" s="11" t="s">
        <v>299</v>
      </c>
      <c r="B21" s="16">
        <v>6.3119052739419299</v>
      </c>
      <c r="C21" s="16">
        <v>7.3459643849941303</v>
      </c>
      <c r="D21" s="25">
        <v>5.4521844637974501</v>
      </c>
      <c r="E21" s="16">
        <v>6.7169650867852697</v>
      </c>
      <c r="F21" s="16">
        <v>6.2045756199950697</v>
      </c>
      <c r="G21" s="25">
        <v>7.1525892859896301</v>
      </c>
      <c r="H21" s="16">
        <v>5.3585536398023201</v>
      </c>
      <c r="I21" s="16">
        <v>7.8127105846471796</v>
      </c>
      <c r="J21" s="25">
        <v>3.34730479137336</v>
      </c>
      <c r="K21" s="28" t="s">
        <v>80</v>
      </c>
      <c r="L21" s="28" t="s">
        <v>80</v>
      </c>
      <c r="M21" s="29" t="s">
        <v>80</v>
      </c>
      <c r="N21" s="28" t="s">
        <v>80</v>
      </c>
      <c r="O21" s="28" t="s">
        <v>80</v>
      </c>
      <c r="P21" s="29" t="s">
        <v>80</v>
      </c>
    </row>
    <row r="22" spans="1:16" ht="30" customHeight="1">
      <c r="A22" t="s">
        <v>300</v>
      </c>
    </row>
    <row r="23" spans="1:16">
      <c r="A23" t="s">
        <v>93</v>
      </c>
    </row>
    <row r="24" spans="1:16">
      <c r="A24" t="s">
        <v>94</v>
      </c>
    </row>
    <row r="25" spans="1:16">
      <c r="A25" t="s">
        <v>95</v>
      </c>
    </row>
    <row r="26" spans="1:16">
      <c r="A26" t="s">
        <v>96</v>
      </c>
    </row>
    <row r="27" spans="1:16">
      <c r="A27" t="s">
        <v>97</v>
      </c>
    </row>
    <row r="28" spans="1:16">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29"/>
  <sheetViews>
    <sheetView zoomScale="55" workbookViewId="0"/>
  </sheetViews>
  <sheetFormatPr defaultColWidth="10.90625" defaultRowHeight="15"/>
  <cols>
    <col min="1" max="1" width="51.6796875" customWidth="1"/>
    <col min="2" max="35" width="13.6796875" customWidth="1"/>
  </cols>
  <sheetData>
    <row r="1" spans="1:36" ht="39.9" customHeight="1">
      <c r="A1" s="10" t="s">
        <v>301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40" t="s">
        <v>281</v>
      </c>
      <c r="B3" s="36"/>
      <c r="C3" s="32"/>
      <c r="D3" s="32"/>
      <c r="E3" s="32"/>
      <c r="F3" s="15"/>
      <c r="G3" s="15"/>
      <c r="H3" s="15"/>
      <c r="I3" s="15"/>
      <c r="J3" s="15"/>
      <c r="K3" s="15"/>
      <c r="L3" s="15"/>
      <c r="M3" s="15"/>
      <c r="N3" s="15"/>
      <c r="O3" s="15"/>
      <c r="P3" s="15"/>
      <c r="Q3" s="15"/>
      <c r="R3" s="15"/>
      <c r="S3" s="15"/>
      <c r="T3" s="15"/>
      <c r="U3" s="15"/>
      <c r="V3" s="15"/>
      <c r="W3" s="15"/>
      <c r="X3" s="15"/>
      <c r="Y3" s="15"/>
      <c r="Z3" s="15"/>
      <c r="AA3" s="32"/>
      <c r="AB3" s="15"/>
      <c r="AC3" s="15"/>
      <c r="AD3" s="15"/>
      <c r="AE3" s="15"/>
      <c r="AF3" s="15"/>
      <c r="AG3" s="15"/>
      <c r="AH3" s="15"/>
      <c r="AI3" s="24"/>
      <c r="AJ3" s="38"/>
    </row>
    <row r="4" spans="1:36">
      <c r="A4" s="9" t="s">
        <v>282</v>
      </c>
      <c r="B4" s="36">
        <v>36.644800417231899</v>
      </c>
      <c r="C4" s="32">
        <v>36.5153509876695</v>
      </c>
      <c r="D4" s="32">
        <v>35.721438275387797</v>
      </c>
      <c r="E4" s="32">
        <v>31.769167830243401</v>
      </c>
      <c r="F4" s="15">
        <v>33.606557377049199</v>
      </c>
      <c r="G4" s="15">
        <v>25.4237288135593</v>
      </c>
      <c r="H4" s="15">
        <v>30.120481927710799</v>
      </c>
      <c r="I4" s="15">
        <v>30</v>
      </c>
      <c r="J4" s="15">
        <v>37.5</v>
      </c>
      <c r="K4" s="15">
        <v>30.5555555555556</v>
      </c>
      <c r="L4" s="15">
        <v>34.951456310679603</v>
      </c>
      <c r="M4" s="15">
        <v>30.8641975308642</v>
      </c>
      <c r="N4" s="15">
        <v>28.8135593220339</v>
      </c>
      <c r="O4" s="15">
        <v>36.842105263157897</v>
      </c>
      <c r="P4" s="15">
        <v>25.609756097561</v>
      </c>
      <c r="Q4" s="15">
        <v>25.766871165644201</v>
      </c>
      <c r="R4" s="15">
        <v>38.636363636363598</v>
      </c>
      <c r="S4" s="15">
        <v>29.729729729729701</v>
      </c>
      <c r="T4" s="15">
        <v>29.1666666666667</v>
      </c>
      <c r="U4" s="15">
        <v>31.1475409836066</v>
      </c>
      <c r="V4" s="15">
        <v>37.837837837837803</v>
      </c>
      <c r="W4" s="15">
        <v>27.272727272727298</v>
      </c>
      <c r="X4" s="15">
        <v>36.413043478260903</v>
      </c>
      <c r="Y4" s="15">
        <v>34.193548387096797</v>
      </c>
      <c r="Z4" s="15">
        <v>42.105263157894697</v>
      </c>
      <c r="AA4" s="32">
        <v>39.007371461114602</v>
      </c>
      <c r="AB4" s="15">
        <v>42.580645161290299</v>
      </c>
      <c r="AC4" s="15">
        <v>40.378548895899101</v>
      </c>
      <c r="AD4" s="15">
        <v>34.763948497854102</v>
      </c>
      <c r="AE4" s="15">
        <v>38.834951456310698</v>
      </c>
      <c r="AF4" s="15">
        <v>37.949400798934803</v>
      </c>
      <c r="AG4" s="15">
        <v>29.641693811074902</v>
      </c>
      <c r="AH4" s="15">
        <v>43.416370106761597</v>
      </c>
      <c r="AI4" s="24">
        <v>50</v>
      </c>
      <c r="AJ4" s="38"/>
    </row>
    <row r="5" spans="1:36">
      <c r="A5" s="9" t="s">
        <v>283</v>
      </c>
      <c r="B5" s="36">
        <v>6.2575238989833899</v>
      </c>
      <c r="C5" s="32">
        <v>5.6397486512890902</v>
      </c>
      <c r="D5" s="32">
        <v>3.88765678859829</v>
      </c>
      <c r="E5" s="32">
        <v>3.8701849866443898</v>
      </c>
      <c r="F5" s="20" t="s">
        <v>80</v>
      </c>
      <c r="G5" s="20" t="s">
        <v>80</v>
      </c>
      <c r="H5" s="20" t="s">
        <v>80</v>
      </c>
      <c r="I5" s="20" t="s">
        <v>80</v>
      </c>
      <c r="J5" s="20" t="s">
        <v>80</v>
      </c>
      <c r="K5" s="20" t="s">
        <v>80</v>
      </c>
      <c r="L5" s="20" t="s">
        <v>80</v>
      </c>
      <c r="M5" s="20" t="s">
        <v>80</v>
      </c>
      <c r="N5" s="20" t="s">
        <v>80</v>
      </c>
      <c r="O5" s="20" t="s">
        <v>80</v>
      </c>
      <c r="P5" s="20" t="s">
        <v>80</v>
      </c>
      <c r="Q5" s="20" t="s">
        <v>80</v>
      </c>
      <c r="R5" s="20" t="s">
        <v>80</v>
      </c>
      <c r="S5" s="20" t="s">
        <v>80</v>
      </c>
      <c r="T5" s="20" t="s">
        <v>80</v>
      </c>
      <c r="U5" s="15">
        <v>4.9180327868852496</v>
      </c>
      <c r="V5" s="20" t="s">
        <v>80</v>
      </c>
      <c r="W5" s="15">
        <v>7.9545454545454497</v>
      </c>
      <c r="X5" s="15">
        <v>10.869565217391299</v>
      </c>
      <c r="Y5" s="20" t="s">
        <v>80</v>
      </c>
      <c r="Z5" s="15">
        <v>10.526315789473699</v>
      </c>
      <c r="AA5" s="32">
        <v>3.9021829134299799</v>
      </c>
      <c r="AB5" s="15">
        <v>7.0967741935483897</v>
      </c>
      <c r="AC5" s="15">
        <v>11.0410094637224</v>
      </c>
      <c r="AD5" s="15">
        <v>3.0042918454935599</v>
      </c>
      <c r="AE5" s="20" t="s">
        <v>80</v>
      </c>
      <c r="AF5" s="15">
        <v>2.9294274300932099</v>
      </c>
      <c r="AG5" s="15">
        <v>2.2801302931596101</v>
      </c>
      <c r="AH5" s="15">
        <v>8.8967971530249095</v>
      </c>
      <c r="AI5" s="26" t="s">
        <v>80</v>
      </c>
      <c r="AJ5" s="38"/>
    </row>
    <row r="6" spans="1:36">
      <c r="A6" s="9" t="s">
        <v>284</v>
      </c>
      <c r="B6" s="36">
        <v>36.300152035967798</v>
      </c>
      <c r="C6" s="32">
        <v>37.020120557064402</v>
      </c>
      <c r="D6" s="32">
        <v>37.400116450047598</v>
      </c>
      <c r="E6" s="32">
        <v>33.749035887402599</v>
      </c>
      <c r="F6" s="15">
        <v>36.065573770491802</v>
      </c>
      <c r="G6" s="15">
        <v>38.983050847457598</v>
      </c>
      <c r="H6" s="15">
        <v>28.9156626506024</v>
      </c>
      <c r="I6" s="15">
        <v>35.5555555555556</v>
      </c>
      <c r="J6" s="15">
        <v>37.5</v>
      </c>
      <c r="K6" s="15">
        <v>58.3333333333333</v>
      </c>
      <c r="L6" s="15">
        <v>38.834951456310698</v>
      </c>
      <c r="M6" s="15">
        <v>48.148148148148103</v>
      </c>
      <c r="N6" s="15">
        <v>23.728813559321999</v>
      </c>
      <c r="O6" s="15">
        <v>36.842105263157897</v>
      </c>
      <c r="P6" s="15">
        <v>41.463414634146297</v>
      </c>
      <c r="Q6" s="15">
        <v>30.6748466257669</v>
      </c>
      <c r="R6" s="15">
        <v>42.045454545454497</v>
      </c>
      <c r="S6" s="15">
        <v>25.675675675675699</v>
      </c>
      <c r="T6" s="15">
        <v>27.7777777777778</v>
      </c>
      <c r="U6" s="15">
        <v>30.327868852459002</v>
      </c>
      <c r="V6" s="15">
        <v>45.945945945945901</v>
      </c>
      <c r="W6" s="15">
        <v>26.136363636363601</v>
      </c>
      <c r="X6" s="15">
        <v>36.956521739130402</v>
      </c>
      <c r="Y6" s="15">
        <v>36.129032258064498</v>
      </c>
      <c r="Z6" s="15">
        <v>40.350877192982502</v>
      </c>
      <c r="AA6" s="32">
        <v>40.435639183391203</v>
      </c>
      <c r="AB6" s="15">
        <v>26.451612903225801</v>
      </c>
      <c r="AC6" s="15">
        <v>45.425867507886402</v>
      </c>
      <c r="AD6" s="15">
        <v>35.193133047210303</v>
      </c>
      <c r="AE6" s="15">
        <v>37.216828478964402</v>
      </c>
      <c r="AF6" s="15">
        <v>44.873501997336902</v>
      </c>
      <c r="AG6" s="15">
        <v>30.618892508143301</v>
      </c>
      <c r="AH6" s="15">
        <v>47.686832740213497</v>
      </c>
      <c r="AI6" s="26" t="s">
        <v>80</v>
      </c>
      <c r="AJ6" s="38"/>
    </row>
    <row r="7" spans="1:36">
      <c r="A7" s="9" t="s">
        <v>285</v>
      </c>
      <c r="B7" s="36">
        <v>17.445370072745799</v>
      </c>
      <c r="C7" s="32">
        <v>17.288676833815298</v>
      </c>
      <c r="D7" s="32">
        <v>17.811838629743399</v>
      </c>
      <c r="E7" s="32">
        <v>17.6381964484024</v>
      </c>
      <c r="F7" s="15">
        <v>13.934426229508199</v>
      </c>
      <c r="G7" s="15">
        <v>23.728813559321999</v>
      </c>
      <c r="H7" s="15">
        <v>8.4337349397590398</v>
      </c>
      <c r="I7" s="15">
        <v>17.7777777777778</v>
      </c>
      <c r="J7" s="15">
        <v>10.714285714285699</v>
      </c>
      <c r="K7" s="20" t="s">
        <v>80</v>
      </c>
      <c r="L7" s="15">
        <v>11.6504854368932</v>
      </c>
      <c r="M7" s="15">
        <v>13.580246913580201</v>
      </c>
      <c r="N7" s="15">
        <v>20.338983050847499</v>
      </c>
      <c r="O7" s="15">
        <v>12.280701754386</v>
      </c>
      <c r="P7" s="15">
        <v>24.390243902439</v>
      </c>
      <c r="Q7" s="15">
        <v>15.3374233128834</v>
      </c>
      <c r="R7" s="15">
        <v>18.181818181818201</v>
      </c>
      <c r="S7" s="15">
        <v>13.5135135135135</v>
      </c>
      <c r="T7" s="15">
        <v>23.6111111111111</v>
      </c>
      <c r="U7" s="15">
        <v>19.672131147540998</v>
      </c>
      <c r="V7" s="15">
        <v>18.918918918918902</v>
      </c>
      <c r="W7" s="15">
        <v>9.0909090909090899</v>
      </c>
      <c r="X7" s="15">
        <v>25.543478260869598</v>
      </c>
      <c r="Y7" s="15">
        <v>14.193548387096801</v>
      </c>
      <c r="Z7" s="15">
        <v>17.543859649122801</v>
      </c>
      <c r="AA7" s="32">
        <v>17.956205421953101</v>
      </c>
      <c r="AB7" s="15">
        <v>14.8387096774194</v>
      </c>
      <c r="AC7" s="15">
        <v>14.195583596214499</v>
      </c>
      <c r="AD7" s="15">
        <v>11.587982832618</v>
      </c>
      <c r="AE7" s="15">
        <v>12.2977346278317</v>
      </c>
      <c r="AF7" s="15">
        <v>23.568575233022599</v>
      </c>
      <c r="AG7" s="15">
        <v>14.9837133550489</v>
      </c>
      <c r="AH7" s="15">
        <v>17.081850533807799</v>
      </c>
      <c r="AI7" s="26" t="s">
        <v>80</v>
      </c>
      <c r="AJ7" s="38"/>
    </row>
    <row r="8" spans="1:36">
      <c r="A8" s="9" t="s">
        <v>286</v>
      </c>
      <c r="B8" s="36">
        <v>18.5697047619086</v>
      </c>
      <c r="C8" s="32">
        <v>18.346044997920799</v>
      </c>
      <c r="D8" s="32">
        <v>18.1799646957679</v>
      </c>
      <c r="E8" s="32">
        <v>16.484879461104502</v>
      </c>
      <c r="F8" s="15">
        <v>9.8360655737704903</v>
      </c>
      <c r="G8" s="15">
        <v>16.9491525423729</v>
      </c>
      <c r="H8" s="15">
        <v>18.0722891566265</v>
      </c>
      <c r="I8" s="15">
        <v>11.1111111111111</v>
      </c>
      <c r="J8" s="15">
        <v>12.5</v>
      </c>
      <c r="K8" s="15">
        <v>16.6666666666667</v>
      </c>
      <c r="L8" s="15">
        <v>13.5922330097087</v>
      </c>
      <c r="M8" s="15">
        <v>16.049382716049401</v>
      </c>
      <c r="N8" s="15">
        <v>23.728813559321999</v>
      </c>
      <c r="O8" s="15">
        <v>21.052631578947398</v>
      </c>
      <c r="P8" s="15">
        <v>26.829268292682901</v>
      </c>
      <c r="Q8" s="15">
        <v>16.564417177914098</v>
      </c>
      <c r="R8" s="15">
        <v>21.590909090909101</v>
      </c>
      <c r="S8" s="15">
        <v>14.8648648648649</v>
      </c>
      <c r="T8" s="15">
        <v>20.8333333333333</v>
      </c>
      <c r="U8" s="15">
        <v>12.2950819672131</v>
      </c>
      <c r="V8" s="15">
        <v>14.8648648648649</v>
      </c>
      <c r="W8" s="15">
        <v>10.2272727272727</v>
      </c>
      <c r="X8" s="15">
        <v>18.478260869565201</v>
      </c>
      <c r="Y8" s="15">
        <v>14.8387096774194</v>
      </c>
      <c r="Z8" s="15">
        <v>21.052631578947398</v>
      </c>
      <c r="AA8" s="32">
        <v>19.589265223786899</v>
      </c>
      <c r="AB8" s="15">
        <v>17.419354838709701</v>
      </c>
      <c r="AC8" s="15">
        <v>23.0283911671924</v>
      </c>
      <c r="AD8" s="15">
        <v>19.313304721030001</v>
      </c>
      <c r="AE8" s="15">
        <v>17.799352750809099</v>
      </c>
      <c r="AF8" s="15">
        <v>22.503328894806899</v>
      </c>
      <c r="AG8" s="15">
        <v>15.6351791530945</v>
      </c>
      <c r="AH8" s="15">
        <v>18.5053380782918</v>
      </c>
      <c r="AI8" s="26" t="s">
        <v>80</v>
      </c>
      <c r="AJ8" s="38"/>
    </row>
    <row r="9" spans="1:36">
      <c r="A9" s="9" t="s">
        <v>287</v>
      </c>
      <c r="B9" s="36">
        <v>16.1110316763009</v>
      </c>
      <c r="C9" s="32">
        <v>15.7283956794003</v>
      </c>
      <c r="D9" s="32">
        <v>15.974848691018799</v>
      </c>
      <c r="E9" s="32">
        <v>17.703765031945299</v>
      </c>
      <c r="F9" s="15">
        <v>12.2950819672131</v>
      </c>
      <c r="G9" s="15">
        <v>10.1694915254237</v>
      </c>
      <c r="H9" s="15">
        <v>18.0722891566265</v>
      </c>
      <c r="I9" s="15">
        <v>20</v>
      </c>
      <c r="J9" s="20" t="s">
        <v>80</v>
      </c>
      <c r="K9" s="15">
        <v>25</v>
      </c>
      <c r="L9" s="15">
        <v>5.8252427184466002</v>
      </c>
      <c r="M9" s="15">
        <v>16.049382716049401</v>
      </c>
      <c r="N9" s="15">
        <v>23.728813559321999</v>
      </c>
      <c r="O9" s="15">
        <v>14.0350877192982</v>
      </c>
      <c r="P9" s="15">
        <v>19.512195121951201</v>
      </c>
      <c r="Q9" s="15">
        <v>18.404907975460102</v>
      </c>
      <c r="R9" s="15">
        <v>15.909090909090899</v>
      </c>
      <c r="S9" s="15">
        <v>20.270270270270299</v>
      </c>
      <c r="T9" s="15">
        <v>20.8333333333333</v>
      </c>
      <c r="U9" s="15">
        <v>14.7540983606557</v>
      </c>
      <c r="V9" s="15">
        <v>13.5135135135135</v>
      </c>
      <c r="W9" s="15">
        <v>23.863636363636399</v>
      </c>
      <c r="X9" s="15">
        <v>20.652173913043502</v>
      </c>
      <c r="Y9" s="15">
        <v>12.258064516129</v>
      </c>
      <c r="Z9" s="15">
        <v>26.315789473684202</v>
      </c>
      <c r="AA9" s="32">
        <v>14.5374208482518</v>
      </c>
      <c r="AB9" s="15">
        <v>12.258064516129</v>
      </c>
      <c r="AC9" s="15">
        <v>13.5646687697161</v>
      </c>
      <c r="AD9" s="15">
        <v>12.8755364806867</v>
      </c>
      <c r="AE9" s="15">
        <v>10.6796116504854</v>
      </c>
      <c r="AF9" s="15">
        <v>13.5818908122503</v>
      </c>
      <c r="AG9" s="15">
        <v>14.0065146579805</v>
      </c>
      <c r="AH9" s="15">
        <v>14.234875444839901</v>
      </c>
      <c r="AI9" s="24">
        <v>27.7777777777778</v>
      </c>
      <c r="AJ9" s="38"/>
    </row>
    <row r="10" spans="1:36">
      <c r="A10" s="9" t="s">
        <v>288</v>
      </c>
      <c r="B10" s="36">
        <v>10.1159711954861</v>
      </c>
      <c r="C10" s="32">
        <v>9.6148143351476296</v>
      </c>
      <c r="D10" s="32">
        <v>9.6620697210038706</v>
      </c>
      <c r="E10" s="32">
        <v>11.3208719144531</v>
      </c>
      <c r="F10" s="15">
        <v>8.1967213114754092</v>
      </c>
      <c r="G10" s="15">
        <v>11.864406779661</v>
      </c>
      <c r="H10" s="15">
        <v>13.253012048192801</v>
      </c>
      <c r="I10" s="15">
        <v>7.7777777777777803</v>
      </c>
      <c r="J10" s="15">
        <v>10.714285714285699</v>
      </c>
      <c r="K10" s="20" t="s">
        <v>80</v>
      </c>
      <c r="L10" s="15">
        <v>5.8252427184466002</v>
      </c>
      <c r="M10" s="15">
        <v>12.3456790123457</v>
      </c>
      <c r="N10" s="15">
        <v>11.864406779661</v>
      </c>
      <c r="O10" s="15">
        <v>8.7719298245614006</v>
      </c>
      <c r="P10" s="15">
        <v>20.731707317073202</v>
      </c>
      <c r="Q10" s="15">
        <v>6.74846625766871</v>
      </c>
      <c r="R10" s="15">
        <v>15.909090909090899</v>
      </c>
      <c r="S10" s="20" t="s">
        <v>80</v>
      </c>
      <c r="T10" s="15">
        <v>18.0555555555556</v>
      </c>
      <c r="U10" s="15">
        <v>11.4754098360656</v>
      </c>
      <c r="V10" s="15">
        <v>10.8108108108108</v>
      </c>
      <c r="W10" s="15">
        <v>19.318181818181799</v>
      </c>
      <c r="X10" s="15">
        <v>10.326086956521699</v>
      </c>
      <c r="Y10" s="15">
        <v>9.67741935483871</v>
      </c>
      <c r="Z10" s="15">
        <v>18.421052631578899</v>
      </c>
      <c r="AA10" s="32">
        <v>8.2829350560905208</v>
      </c>
      <c r="AB10" s="15">
        <v>9.0322580645161299</v>
      </c>
      <c r="AC10" s="15">
        <v>8.2018927444794993</v>
      </c>
      <c r="AD10" s="15">
        <v>6.8669527896995701</v>
      </c>
      <c r="AE10" s="15">
        <v>7.7669902912621396</v>
      </c>
      <c r="AF10" s="15">
        <v>9.5872170439414095</v>
      </c>
      <c r="AG10" s="15">
        <v>5.5374592833876202</v>
      </c>
      <c r="AH10" s="15">
        <v>6.7615658362989297</v>
      </c>
      <c r="AI10" s="26" t="s">
        <v>80</v>
      </c>
      <c r="AJ10" s="38"/>
    </row>
    <row r="11" spans="1:36">
      <c r="A11" s="9" t="s">
        <v>289</v>
      </c>
      <c r="B11" s="36">
        <v>9.3917516017224703</v>
      </c>
      <c r="C11" s="32">
        <v>9.7286433525695006</v>
      </c>
      <c r="D11" s="32">
        <v>9.6051058703921797</v>
      </c>
      <c r="E11" s="32">
        <v>7.5671520448373899</v>
      </c>
      <c r="F11" s="15">
        <v>6.5573770491803298</v>
      </c>
      <c r="G11" s="20" t="s">
        <v>80</v>
      </c>
      <c r="H11" s="15">
        <v>10.8433734939759</v>
      </c>
      <c r="I11" s="15">
        <v>6.6666666666666696</v>
      </c>
      <c r="J11" s="15">
        <v>12.5</v>
      </c>
      <c r="K11" s="20" t="s">
        <v>80</v>
      </c>
      <c r="L11" s="15">
        <v>9.7087378640776691</v>
      </c>
      <c r="M11" s="20" t="s">
        <v>80</v>
      </c>
      <c r="N11" s="15">
        <v>13.559322033898299</v>
      </c>
      <c r="O11" s="20" t="s">
        <v>80</v>
      </c>
      <c r="P11" s="15">
        <v>7.3170731707317103</v>
      </c>
      <c r="Q11" s="15">
        <v>7.9754601226993902</v>
      </c>
      <c r="R11" s="15">
        <v>11.363636363636401</v>
      </c>
      <c r="S11" s="20" t="s">
        <v>80</v>
      </c>
      <c r="T11" s="20" t="s">
        <v>80</v>
      </c>
      <c r="U11" s="15">
        <v>9.0163934426229506</v>
      </c>
      <c r="V11" s="15">
        <v>9.4594594594594597</v>
      </c>
      <c r="W11" s="15">
        <v>9.0909090909090899</v>
      </c>
      <c r="X11" s="15">
        <v>4.8913043478260896</v>
      </c>
      <c r="Y11" s="15">
        <v>9.0322580645161299</v>
      </c>
      <c r="Z11" s="15">
        <v>9.6491228070175392</v>
      </c>
      <c r="AA11" s="32">
        <v>11.299468692804</v>
      </c>
      <c r="AB11" s="15">
        <v>8.3870967741935498</v>
      </c>
      <c r="AC11" s="15">
        <v>9.1482649842271293</v>
      </c>
      <c r="AD11" s="15">
        <v>9.4420600858369106</v>
      </c>
      <c r="AE11" s="15">
        <v>15.210355987054999</v>
      </c>
      <c r="AF11" s="15">
        <v>12.649800266311599</v>
      </c>
      <c r="AG11" s="15">
        <v>6.8403908794788304</v>
      </c>
      <c r="AH11" s="15">
        <v>12.8113879003559</v>
      </c>
      <c r="AI11" s="26" t="s">
        <v>80</v>
      </c>
      <c r="AJ11" s="38"/>
    </row>
    <row r="12" spans="1:36">
      <c r="A12" s="9" t="s">
        <v>290</v>
      </c>
      <c r="B12" s="36">
        <v>9.5388921369160098</v>
      </c>
      <c r="C12" s="32">
        <v>9.4457951952227308</v>
      </c>
      <c r="D12" s="32">
        <v>9.5477892405190499</v>
      </c>
      <c r="E12" s="32">
        <v>11.7470157452761</v>
      </c>
      <c r="F12" s="15">
        <v>6.5573770491803298</v>
      </c>
      <c r="G12" s="20" t="s">
        <v>80</v>
      </c>
      <c r="H12" s="15">
        <v>8.4337349397590398</v>
      </c>
      <c r="I12" s="15">
        <v>12.2222222222222</v>
      </c>
      <c r="J12" s="20" t="s">
        <v>80</v>
      </c>
      <c r="K12" s="15">
        <v>13.8888888888889</v>
      </c>
      <c r="L12" s="15">
        <v>4.8543689320388301</v>
      </c>
      <c r="M12" s="15">
        <v>16.049382716049401</v>
      </c>
      <c r="N12" s="15">
        <v>8.4745762711864394</v>
      </c>
      <c r="O12" s="15">
        <v>22.8070175438597</v>
      </c>
      <c r="P12" s="15">
        <v>17.0731707317073</v>
      </c>
      <c r="Q12" s="15">
        <v>12.8834355828221</v>
      </c>
      <c r="R12" s="15">
        <v>11.363636363636401</v>
      </c>
      <c r="S12" s="15">
        <v>8.1081081081081106</v>
      </c>
      <c r="T12" s="15">
        <v>15.2777777777778</v>
      </c>
      <c r="U12" s="15">
        <v>12.2950819672131</v>
      </c>
      <c r="V12" s="20" t="s">
        <v>80</v>
      </c>
      <c r="W12" s="15">
        <v>9.0909090909090899</v>
      </c>
      <c r="X12" s="15">
        <v>12.5</v>
      </c>
      <c r="Y12" s="15">
        <v>15.4838709677419</v>
      </c>
      <c r="Z12" s="15">
        <v>28.0701754385965</v>
      </c>
      <c r="AA12" s="32">
        <v>7.7193436786042398</v>
      </c>
      <c r="AB12" s="15">
        <v>8.3870967741935498</v>
      </c>
      <c r="AC12" s="15">
        <v>9.4637223974763405</v>
      </c>
      <c r="AD12" s="15">
        <v>7.2961373390557904</v>
      </c>
      <c r="AE12" s="15">
        <v>6.7961165048543704</v>
      </c>
      <c r="AF12" s="15">
        <v>5.5925432756324902</v>
      </c>
      <c r="AG12" s="15">
        <v>4.2345276872964197</v>
      </c>
      <c r="AH12" s="15">
        <v>6.4056939501779402</v>
      </c>
      <c r="AI12" s="26" t="s">
        <v>80</v>
      </c>
      <c r="AJ12" s="38"/>
    </row>
    <row r="13" spans="1:36">
      <c r="A13" s="9" t="s">
        <v>291</v>
      </c>
      <c r="B13" s="36">
        <v>15.5673455375206</v>
      </c>
      <c r="C13" s="32">
        <v>14.7910001675044</v>
      </c>
      <c r="D13" s="32">
        <v>15.699219775172899</v>
      </c>
      <c r="E13" s="32">
        <v>15.3681202658607</v>
      </c>
      <c r="F13" s="15">
        <v>9.8360655737704903</v>
      </c>
      <c r="G13" s="15">
        <v>11.864406779661</v>
      </c>
      <c r="H13" s="15">
        <v>18.0722891566265</v>
      </c>
      <c r="I13" s="15">
        <v>12.2222222222222</v>
      </c>
      <c r="J13" s="15">
        <v>10.714285714285699</v>
      </c>
      <c r="K13" s="20" t="s">
        <v>80</v>
      </c>
      <c r="L13" s="15">
        <v>7.7669902912621396</v>
      </c>
      <c r="M13" s="15">
        <v>16.049382716049401</v>
      </c>
      <c r="N13" s="15">
        <v>18.644067796610202</v>
      </c>
      <c r="O13" s="15">
        <v>19.2982456140351</v>
      </c>
      <c r="P13" s="15">
        <v>10.975609756097599</v>
      </c>
      <c r="Q13" s="15">
        <v>12.8834355828221</v>
      </c>
      <c r="R13" s="15">
        <v>14.7727272727273</v>
      </c>
      <c r="S13" s="15">
        <v>12.1621621621622</v>
      </c>
      <c r="T13" s="15">
        <v>22.2222222222222</v>
      </c>
      <c r="U13" s="15">
        <v>17.213114754098399</v>
      </c>
      <c r="V13" s="15">
        <v>10.8108108108108</v>
      </c>
      <c r="W13" s="15">
        <v>15.909090909090899</v>
      </c>
      <c r="X13" s="15">
        <v>9.2391304347826093</v>
      </c>
      <c r="Y13" s="15">
        <v>13.548387096774199</v>
      </c>
      <c r="Z13" s="15">
        <v>28.0701754385965</v>
      </c>
      <c r="AA13" s="32">
        <v>15.9744972088727</v>
      </c>
      <c r="AB13" s="15">
        <v>21.290322580645199</v>
      </c>
      <c r="AC13" s="15">
        <v>8.5173501577287105</v>
      </c>
      <c r="AD13" s="15">
        <v>16.309012875536499</v>
      </c>
      <c r="AE13" s="15">
        <v>19.7411003236246</v>
      </c>
      <c r="AF13" s="15">
        <v>15.4460719041278</v>
      </c>
      <c r="AG13" s="15">
        <v>18.892508143322502</v>
      </c>
      <c r="AH13" s="15">
        <v>14.5907473309609</v>
      </c>
      <c r="AI13" s="26" t="s">
        <v>80</v>
      </c>
      <c r="AJ13" s="38"/>
    </row>
    <row r="14" spans="1:36">
      <c r="A14" s="9" t="s">
        <v>292</v>
      </c>
      <c r="B14" s="36">
        <v>15.106881231318701</v>
      </c>
      <c r="C14" s="32">
        <v>14.4784612938615</v>
      </c>
      <c r="D14" s="32">
        <v>15.4085868839736</v>
      </c>
      <c r="E14" s="32">
        <v>15.610230172698399</v>
      </c>
      <c r="F14" s="15">
        <v>9.8360655737704903</v>
      </c>
      <c r="G14" s="15">
        <v>8.4745762711864394</v>
      </c>
      <c r="H14" s="15">
        <v>15.662650602409601</v>
      </c>
      <c r="I14" s="15">
        <v>18.8888888888889</v>
      </c>
      <c r="J14" s="15">
        <v>8.9285714285714306</v>
      </c>
      <c r="K14" s="15">
        <v>16.6666666666667</v>
      </c>
      <c r="L14" s="15">
        <v>13.5922330097087</v>
      </c>
      <c r="M14" s="15">
        <v>16.049382716049401</v>
      </c>
      <c r="N14" s="15">
        <v>22.033898305084701</v>
      </c>
      <c r="O14" s="15">
        <v>15.789473684210501</v>
      </c>
      <c r="P14" s="15">
        <v>19.512195121951201</v>
      </c>
      <c r="Q14" s="15">
        <v>15.3374233128834</v>
      </c>
      <c r="R14" s="15">
        <v>21.590909090909101</v>
      </c>
      <c r="S14" s="15">
        <v>8.1081081081081106</v>
      </c>
      <c r="T14" s="15">
        <v>16.6666666666667</v>
      </c>
      <c r="U14" s="15">
        <v>20.491803278688501</v>
      </c>
      <c r="V14" s="15">
        <v>9.4594594594594597</v>
      </c>
      <c r="W14" s="15">
        <v>15.909090909090899</v>
      </c>
      <c r="X14" s="15">
        <v>12.5</v>
      </c>
      <c r="Y14" s="15">
        <v>13.548387096774199</v>
      </c>
      <c r="Z14" s="15">
        <v>27.192982456140399</v>
      </c>
      <c r="AA14" s="32">
        <v>15.240939861003801</v>
      </c>
      <c r="AB14" s="15">
        <v>21.290322580645199</v>
      </c>
      <c r="AC14" s="15">
        <v>8.2018927444794993</v>
      </c>
      <c r="AD14" s="15">
        <v>15.450643776824</v>
      </c>
      <c r="AE14" s="15">
        <v>17.475728155339802</v>
      </c>
      <c r="AF14" s="15">
        <v>15.7123834886818</v>
      </c>
      <c r="AG14" s="15">
        <v>13.029315960912101</v>
      </c>
      <c r="AH14" s="15">
        <v>13.167259786476899</v>
      </c>
      <c r="AI14" s="26" t="s">
        <v>80</v>
      </c>
      <c r="AJ14" s="38"/>
    </row>
    <row r="15" spans="1:36">
      <c r="A15" s="9" t="s">
        <v>293</v>
      </c>
      <c r="B15" s="36">
        <v>4.6981412668902003</v>
      </c>
      <c r="C15" s="32">
        <v>4.4459378675803602</v>
      </c>
      <c r="D15" s="32">
        <v>4.3358114753423296</v>
      </c>
      <c r="E15" s="32">
        <v>3.8496670957471602</v>
      </c>
      <c r="F15" s="20" t="s">
        <v>80</v>
      </c>
      <c r="G15" s="20" t="s">
        <v>80</v>
      </c>
      <c r="H15" s="20" t="s">
        <v>80</v>
      </c>
      <c r="I15" s="20" t="s">
        <v>80</v>
      </c>
      <c r="J15" s="20" t="s">
        <v>80</v>
      </c>
      <c r="K15" s="20" t="s">
        <v>80</v>
      </c>
      <c r="L15" s="20" t="s">
        <v>80</v>
      </c>
      <c r="M15" s="20" t="s">
        <v>80</v>
      </c>
      <c r="N15" s="20" t="s">
        <v>80</v>
      </c>
      <c r="O15" s="20" t="s">
        <v>80</v>
      </c>
      <c r="P15" s="20" t="s">
        <v>80</v>
      </c>
      <c r="Q15" s="20" t="s">
        <v>80</v>
      </c>
      <c r="R15" s="15">
        <v>6.8181818181818201</v>
      </c>
      <c r="S15" s="20" t="s">
        <v>80</v>
      </c>
      <c r="T15" s="20" t="s">
        <v>80</v>
      </c>
      <c r="U15" s="15">
        <v>5.7377049180327901</v>
      </c>
      <c r="V15" s="20" t="s">
        <v>80</v>
      </c>
      <c r="W15" s="15">
        <v>12.5</v>
      </c>
      <c r="X15" s="15">
        <v>5.4347826086956497</v>
      </c>
      <c r="Y15" s="15">
        <v>3.87096774193548</v>
      </c>
      <c r="Z15" s="15">
        <v>5.2631578947368398</v>
      </c>
      <c r="AA15" s="32">
        <v>4.7399938237261301</v>
      </c>
      <c r="AB15" s="15">
        <v>3.87096774193548</v>
      </c>
      <c r="AC15" s="15">
        <v>4.7318611987381702</v>
      </c>
      <c r="AD15" s="15">
        <v>3.4334763948497899</v>
      </c>
      <c r="AE15" s="15">
        <v>3.8834951456310698</v>
      </c>
      <c r="AF15" s="15">
        <v>6.2583222370173104</v>
      </c>
      <c r="AG15" s="15">
        <v>5.5374592833876202</v>
      </c>
      <c r="AH15" s="15">
        <v>3.5587188612099601</v>
      </c>
      <c r="AI15" s="26" t="s">
        <v>80</v>
      </c>
      <c r="AJ15" s="38"/>
    </row>
    <row r="16" spans="1:36">
      <c r="A16" s="9" t="s">
        <v>294</v>
      </c>
      <c r="B16" s="36">
        <v>24.711762473202398</v>
      </c>
      <c r="C16" s="32">
        <v>24.657571218057601</v>
      </c>
      <c r="D16" s="32">
        <v>25.119079600307</v>
      </c>
      <c r="E16" s="32">
        <v>21.215032987179899</v>
      </c>
      <c r="F16" s="15">
        <v>23.770491803278698</v>
      </c>
      <c r="G16" s="15">
        <v>13.559322033898299</v>
      </c>
      <c r="H16" s="15">
        <v>12.048192771084301</v>
      </c>
      <c r="I16" s="15">
        <v>28.8888888888889</v>
      </c>
      <c r="J16" s="15">
        <v>12.5</v>
      </c>
      <c r="K16" s="15">
        <v>25</v>
      </c>
      <c r="L16" s="15">
        <v>15.5339805825243</v>
      </c>
      <c r="M16" s="15">
        <v>19.7530864197531</v>
      </c>
      <c r="N16" s="15">
        <v>23.728813559321999</v>
      </c>
      <c r="O16" s="15">
        <v>26.315789473684202</v>
      </c>
      <c r="P16" s="15">
        <v>19.512195121951201</v>
      </c>
      <c r="Q16" s="15">
        <v>20.245398773006102</v>
      </c>
      <c r="R16" s="15">
        <v>31.818181818181799</v>
      </c>
      <c r="S16" s="15">
        <v>14.8648648648649</v>
      </c>
      <c r="T16" s="15">
        <v>27.7777777777778</v>
      </c>
      <c r="U16" s="15">
        <v>29.508196721311499</v>
      </c>
      <c r="V16" s="15">
        <v>21.6216216216216</v>
      </c>
      <c r="W16" s="15">
        <v>15.909090909090899</v>
      </c>
      <c r="X16" s="15">
        <v>25</v>
      </c>
      <c r="Y16" s="15">
        <v>18.064516129032299</v>
      </c>
      <c r="Z16" s="15">
        <v>31.578947368421101</v>
      </c>
      <c r="AA16" s="32">
        <v>28.364919302511499</v>
      </c>
      <c r="AB16" s="15">
        <v>36.129032258064498</v>
      </c>
      <c r="AC16" s="15">
        <v>24.921135646687699</v>
      </c>
      <c r="AD16" s="15">
        <v>22.746781115879799</v>
      </c>
      <c r="AE16" s="15">
        <v>28.802588996763799</v>
      </c>
      <c r="AF16" s="15">
        <v>27.962716378162501</v>
      </c>
      <c r="AG16" s="15">
        <v>22.801302931596101</v>
      </c>
      <c r="AH16" s="15">
        <v>27.7580071174377</v>
      </c>
      <c r="AI16" s="26" t="s">
        <v>80</v>
      </c>
      <c r="AJ16" s="38"/>
    </row>
    <row r="17" spans="1:36">
      <c r="A17" s="9" t="s">
        <v>295</v>
      </c>
      <c r="B17" s="36">
        <v>19.946471642172899</v>
      </c>
      <c r="C17" s="32">
        <v>19.164227471981199</v>
      </c>
      <c r="D17" s="32">
        <v>19.414030168830699</v>
      </c>
      <c r="E17" s="32">
        <v>18.850532259331199</v>
      </c>
      <c r="F17" s="15">
        <v>18.8524590163934</v>
      </c>
      <c r="G17" s="15">
        <v>10.1694915254237</v>
      </c>
      <c r="H17" s="15">
        <v>13.253012048192801</v>
      </c>
      <c r="I17" s="15">
        <v>20</v>
      </c>
      <c r="J17" s="15">
        <v>10.714285714285699</v>
      </c>
      <c r="K17" s="15">
        <v>22.2222222222222</v>
      </c>
      <c r="L17" s="15">
        <v>18.446601941747598</v>
      </c>
      <c r="M17" s="15">
        <v>20.987654320987701</v>
      </c>
      <c r="N17" s="15">
        <v>27.118644067796598</v>
      </c>
      <c r="O17" s="15">
        <v>19.2982456140351</v>
      </c>
      <c r="P17" s="15">
        <v>24.390243902439</v>
      </c>
      <c r="Q17" s="15">
        <v>17.791411042944802</v>
      </c>
      <c r="R17" s="15">
        <v>25</v>
      </c>
      <c r="S17" s="15">
        <v>8.1081081081081106</v>
      </c>
      <c r="T17" s="15">
        <v>26.3888888888889</v>
      </c>
      <c r="U17" s="15">
        <v>18.032786885245901</v>
      </c>
      <c r="V17" s="15">
        <v>20.270270270270299</v>
      </c>
      <c r="W17" s="15">
        <v>13.636363636363599</v>
      </c>
      <c r="X17" s="15">
        <v>13.586956521739101</v>
      </c>
      <c r="Y17" s="15">
        <v>16.7741935483871</v>
      </c>
      <c r="Z17" s="15">
        <v>34.210526315789501</v>
      </c>
      <c r="AA17" s="32">
        <v>19.8825245460784</v>
      </c>
      <c r="AB17" s="15">
        <v>23.870967741935502</v>
      </c>
      <c r="AC17" s="15">
        <v>16.0883280757098</v>
      </c>
      <c r="AD17" s="15">
        <v>16.7381974248927</v>
      </c>
      <c r="AE17" s="15">
        <v>18.7702265372168</v>
      </c>
      <c r="AF17" s="15">
        <v>20.1065246338216</v>
      </c>
      <c r="AG17" s="15">
        <v>17.2638436482085</v>
      </c>
      <c r="AH17" s="15">
        <v>22.775800711743798</v>
      </c>
      <c r="AI17" s="26" t="s">
        <v>80</v>
      </c>
      <c r="AJ17" s="38"/>
    </row>
    <row r="18" spans="1:36" ht="18">
      <c r="A18" s="9" t="s">
        <v>296</v>
      </c>
      <c r="B18" s="36">
        <v>4.9522296255065399</v>
      </c>
      <c r="C18" s="32">
        <v>5.0285018622375501</v>
      </c>
      <c r="D18" s="32">
        <v>5.4974820895637899</v>
      </c>
      <c r="E18" s="32">
        <v>2.4910770873752401</v>
      </c>
      <c r="F18" s="20" t="s">
        <v>80</v>
      </c>
      <c r="G18" s="20" t="s">
        <v>80</v>
      </c>
      <c r="H18" s="20" t="s">
        <v>80</v>
      </c>
      <c r="I18" s="20" t="s">
        <v>80</v>
      </c>
      <c r="J18" s="20" t="s">
        <v>80</v>
      </c>
      <c r="K18" s="20" t="s">
        <v>80</v>
      </c>
      <c r="L18" s="20" t="s">
        <v>80</v>
      </c>
      <c r="M18" s="20" t="s">
        <v>80</v>
      </c>
      <c r="N18" s="20" t="s">
        <v>80</v>
      </c>
      <c r="O18" s="20" t="s">
        <v>80</v>
      </c>
      <c r="P18" s="20" t="s">
        <v>80</v>
      </c>
      <c r="Q18" s="15">
        <v>3.0674846625766898</v>
      </c>
      <c r="R18" s="20" t="s">
        <v>80</v>
      </c>
      <c r="S18" s="20" t="s">
        <v>80</v>
      </c>
      <c r="T18" s="20" t="s">
        <v>80</v>
      </c>
      <c r="U18" s="15">
        <v>6.5573770491803298</v>
      </c>
      <c r="V18" s="20" t="s">
        <v>80</v>
      </c>
      <c r="W18" s="20" t="s">
        <v>80</v>
      </c>
      <c r="X18" s="20" t="s">
        <v>80</v>
      </c>
      <c r="Y18" s="20" t="s">
        <v>80</v>
      </c>
      <c r="Z18" s="15">
        <v>4.3859649122807003</v>
      </c>
      <c r="AA18" s="32">
        <v>7.9970190275188697</v>
      </c>
      <c r="AB18" s="15">
        <v>6.4516129032258096</v>
      </c>
      <c r="AC18" s="15">
        <v>8.2018927444794993</v>
      </c>
      <c r="AD18" s="15">
        <v>6.0085836909871198</v>
      </c>
      <c r="AE18" s="15">
        <v>4.5307443365695796</v>
      </c>
      <c r="AF18" s="15">
        <v>6.5246338215712401</v>
      </c>
      <c r="AG18" s="15">
        <v>9.4462540716612402</v>
      </c>
      <c r="AH18" s="15">
        <v>4.9822064056939501</v>
      </c>
      <c r="AI18" s="26" t="s">
        <v>80</v>
      </c>
      <c r="AJ18" s="38"/>
    </row>
    <row r="19" spans="1:36">
      <c r="A19" s="9" t="s">
        <v>297</v>
      </c>
      <c r="B19" s="36">
        <v>22.975134184654799</v>
      </c>
      <c r="C19" s="32">
        <v>22.942712280339698</v>
      </c>
      <c r="D19" s="32">
        <v>23.953026986790501</v>
      </c>
      <c r="E19" s="32">
        <v>19.371910729257898</v>
      </c>
      <c r="F19" s="15">
        <v>25.409836065573799</v>
      </c>
      <c r="G19" s="15">
        <v>16.9491525423729</v>
      </c>
      <c r="H19" s="15">
        <v>16.867469879518101</v>
      </c>
      <c r="I19" s="15">
        <v>24.4444444444444</v>
      </c>
      <c r="J19" s="15">
        <v>8.9285714285714306</v>
      </c>
      <c r="K19" s="15">
        <v>19.4444444444444</v>
      </c>
      <c r="L19" s="15">
        <v>19.417475728155299</v>
      </c>
      <c r="M19" s="15">
        <v>27.160493827160501</v>
      </c>
      <c r="N19" s="15">
        <v>23.728813559321999</v>
      </c>
      <c r="O19" s="15">
        <v>31.578947368421101</v>
      </c>
      <c r="P19" s="15">
        <v>23.170731707317099</v>
      </c>
      <c r="Q19" s="15">
        <v>15.9509202453988</v>
      </c>
      <c r="R19" s="15">
        <v>23.863636363636399</v>
      </c>
      <c r="S19" s="15">
        <v>9.4594594594594597</v>
      </c>
      <c r="T19" s="15">
        <v>23.6111111111111</v>
      </c>
      <c r="U19" s="15">
        <v>14.7540983606557</v>
      </c>
      <c r="V19" s="15">
        <v>17.5675675675676</v>
      </c>
      <c r="W19" s="15">
        <v>13.636363636363599</v>
      </c>
      <c r="X19" s="15">
        <v>20.1086956521739</v>
      </c>
      <c r="Y19" s="15">
        <v>18.064516129032299</v>
      </c>
      <c r="Z19" s="15">
        <v>41.228070175438603</v>
      </c>
      <c r="AA19" s="32">
        <v>27.761785053130101</v>
      </c>
      <c r="AB19" s="15">
        <v>29.677419354838701</v>
      </c>
      <c r="AC19" s="15">
        <v>25.867507886435298</v>
      </c>
      <c r="AD19" s="15">
        <v>20.600858369098699</v>
      </c>
      <c r="AE19" s="15">
        <v>21.682847896440101</v>
      </c>
      <c r="AF19" s="15">
        <v>30.8921438082557</v>
      </c>
      <c r="AG19" s="15">
        <v>27.3615635179153</v>
      </c>
      <c r="AH19" s="15">
        <v>29.537366548042701</v>
      </c>
      <c r="AI19" s="26" t="s">
        <v>80</v>
      </c>
      <c r="AJ19" s="38"/>
    </row>
    <row r="20" spans="1:36">
      <c r="A20" s="9" t="s">
        <v>298</v>
      </c>
      <c r="B20" s="36">
        <v>9.3381259836545301</v>
      </c>
      <c r="C20" s="32">
        <v>9.2696611030447897</v>
      </c>
      <c r="D20" s="32">
        <v>9.2541551038479906</v>
      </c>
      <c r="E20" s="32">
        <v>9.4110965603210506</v>
      </c>
      <c r="F20" s="15">
        <v>12.2950819672131</v>
      </c>
      <c r="G20" s="20" t="s">
        <v>80</v>
      </c>
      <c r="H20" s="15">
        <v>10.8433734939759</v>
      </c>
      <c r="I20" s="20" t="s">
        <v>80</v>
      </c>
      <c r="J20" s="20" t="s">
        <v>80</v>
      </c>
      <c r="K20" s="20" t="s">
        <v>80</v>
      </c>
      <c r="L20" s="15">
        <v>18.446601941747598</v>
      </c>
      <c r="M20" s="15">
        <v>6.1728395061728403</v>
      </c>
      <c r="N20" s="15">
        <v>10.1694915254237</v>
      </c>
      <c r="O20" s="15">
        <v>8.7719298245614006</v>
      </c>
      <c r="P20" s="15">
        <v>12.1951219512195</v>
      </c>
      <c r="Q20" s="15">
        <v>8.5889570552147205</v>
      </c>
      <c r="R20" s="15">
        <v>10.2272727272727</v>
      </c>
      <c r="S20" s="15">
        <v>6.7567567567567597</v>
      </c>
      <c r="T20" s="15">
        <v>8.3333333333333304</v>
      </c>
      <c r="U20" s="15">
        <v>11.4754098360656</v>
      </c>
      <c r="V20" s="20" t="s">
        <v>80</v>
      </c>
      <c r="W20" s="15">
        <v>10.2272727272727</v>
      </c>
      <c r="X20" s="15">
        <v>13.0434782608696</v>
      </c>
      <c r="Y20" s="15">
        <v>10.9677419354839</v>
      </c>
      <c r="Z20" s="15">
        <v>7.8947368421052602</v>
      </c>
      <c r="AA20" s="32">
        <v>9.1236733599494499</v>
      </c>
      <c r="AB20" s="15">
        <v>12.9032258064516</v>
      </c>
      <c r="AC20" s="15">
        <v>7.8864353312302802</v>
      </c>
      <c r="AD20" s="15">
        <v>9.0128755364806903</v>
      </c>
      <c r="AE20" s="15">
        <v>8.0906148867313892</v>
      </c>
      <c r="AF20" s="15">
        <v>9.1877496671105199</v>
      </c>
      <c r="AG20" s="15">
        <v>10.4234527687296</v>
      </c>
      <c r="AH20" s="15">
        <v>6.7615658362989297</v>
      </c>
      <c r="AI20" s="26" t="s">
        <v>80</v>
      </c>
      <c r="AJ20" s="38"/>
    </row>
    <row r="21" spans="1:36">
      <c r="A21" s="11" t="s">
        <v>299</v>
      </c>
      <c r="B21" s="37">
        <v>6.0758846238811897</v>
      </c>
      <c r="C21" s="33">
        <v>5.82097749260409</v>
      </c>
      <c r="D21" s="33">
        <v>6.3119052739419299</v>
      </c>
      <c r="E21" s="33">
        <v>7.3459643849941303</v>
      </c>
      <c r="F21" s="16">
        <v>4.9180327868852496</v>
      </c>
      <c r="G21" s="16">
        <v>11.864406779661</v>
      </c>
      <c r="H21" s="16">
        <v>7.2289156626505999</v>
      </c>
      <c r="I21" s="16">
        <v>10</v>
      </c>
      <c r="J21" s="16">
        <v>8.9285714285714306</v>
      </c>
      <c r="K21" s="28" t="s">
        <v>80</v>
      </c>
      <c r="L21" s="16">
        <v>8.7378640776699008</v>
      </c>
      <c r="M21" s="16">
        <v>8.6419753086419693</v>
      </c>
      <c r="N21" s="28" t="s">
        <v>80</v>
      </c>
      <c r="O21" s="28" t="s">
        <v>80</v>
      </c>
      <c r="P21" s="16">
        <v>13.4146341463415</v>
      </c>
      <c r="Q21" s="16">
        <v>4.9079754601227004</v>
      </c>
      <c r="R21" s="16">
        <v>5.6818181818181799</v>
      </c>
      <c r="S21" s="28" t="s">
        <v>80</v>
      </c>
      <c r="T21" s="16">
        <v>15.2777777777778</v>
      </c>
      <c r="U21" s="16">
        <v>9.0163934426229506</v>
      </c>
      <c r="V21" s="16">
        <v>12.1621621621622</v>
      </c>
      <c r="W21" s="28" t="s">
        <v>80</v>
      </c>
      <c r="X21" s="16">
        <v>8.1521739130434803</v>
      </c>
      <c r="Y21" s="16">
        <v>5.1612903225806503</v>
      </c>
      <c r="Z21" s="28" t="s">
        <v>80</v>
      </c>
      <c r="AA21" s="33">
        <v>5.4521844637974501</v>
      </c>
      <c r="AB21" s="16">
        <v>3.87096774193548</v>
      </c>
      <c r="AC21" s="16">
        <v>5.3627760252365899</v>
      </c>
      <c r="AD21" s="16">
        <v>8.1545064377682408</v>
      </c>
      <c r="AE21" s="16">
        <v>5.1779935275080904</v>
      </c>
      <c r="AF21" s="16">
        <v>5.5925432756324902</v>
      </c>
      <c r="AG21" s="16">
        <v>7.8175895765472303</v>
      </c>
      <c r="AH21" s="16">
        <v>2.8469750889679699</v>
      </c>
      <c r="AI21" s="29" t="s">
        <v>80</v>
      </c>
      <c r="AJ21" s="38"/>
    </row>
    <row r="22" spans="1:36" ht="30" customHeight="1">
      <c r="A22" t="s">
        <v>146</v>
      </c>
    </row>
    <row r="23" spans="1:36" ht="18">
      <c r="A23" t="s">
        <v>300</v>
      </c>
    </row>
    <row r="24" spans="1:36">
      <c r="A24" t="s">
        <v>93</v>
      </c>
    </row>
    <row r="25" spans="1:36">
      <c r="A25" t="s">
        <v>94</v>
      </c>
    </row>
    <row r="26" spans="1:36">
      <c r="A26" t="s">
        <v>95</v>
      </c>
    </row>
    <row r="27" spans="1:36">
      <c r="A27" t="s">
        <v>96</v>
      </c>
    </row>
    <row r="28" spans="1:36">
      <c r="A28" t="s">
        <v>97</v>
      </c>
    </row>
    <row r="29" spans="1:36">
      <c r="A2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13"/>
  <sheetViews>
    <sheetView zoomScale="70" workbookViewId="0"/>
  </sheetViews>
  <sheetFormatPr defaultColWidth="10.90625" defaultRowHeight="15"/>
  <cols>
    <col min="1" max="1" width="51.6796875" customWidth="1"/>
    <col min="2" max="16" width="15.90625" customWidth="1"/>
  </cols>
  <sheetData>
    <row r="1" spans="1:16" ht="39.9" customHeight="1">
      <c r="A1" s="10" t="s">
        <v>302</v>
      </c>
      <c r="B1" s="12"/>
      <c r="C1" s="12"/>
      <c r="D1" s="12"/>
      <c r="E1" s="12"/>
      <c r="F1" s="12"/>
      <c r="G1" s="12"/>
      <c r="H1" s="12"/>
      <c r="I1" s="12"/>
      <c r="J1" s="12"/>
      <c r="K1" s="12"/>
      <c r="L1" s="12"/>
      <c r="M1" s="12"/>
      <c r="N1" s="12"/>
      <c r="O1" s="12"/>
      <c r="P1" s="12"/>
    </row>
    <row r="2" spans="1:16" ht="60">
      <c r="A2" s="7" t="s">
        <v>2</v>
      </c>
      <c r="B2" s="6" t="s">
        <v>104</v>
      </c>
      <c r="C2" s="6" t="s">
        <v>105</v>
      </c>
      <c r="D2" s="8" t="s">
        <v>106</v>
      </c>
      <c r="E2" s="6" t="s">
        <v>23</v>
      </c>
      <c r="F2" s="6" t="s">
        <v>107</v>
      </c>
      <c r="G2" s="8" t="s">
        <v>108</v>
      </c>
      <c r="H2" s="6" t="s">
        <v>24</v>
      </c>
      <c r="I2" s="6" t="s">
        <v>109</v>
      </c>
      <c r="J2" s="8" t="s">
        <v>110</v>
      </c>
      <c r="K2" s="6" t="s">
        <v>25</v>
      </c>
      <c r="L2" s="6" t="s">
        <v>111</v>
      </c>
      <c r="M2" s="8" t="s">
        <v>112</v>
      </c>
      <c r="N2" s="6" t="s">
        <v>26</v>
      </c>
      <c r="O2" s="6" t="s">
        <v>113</v>
      </c>
      <c r="P2" s="8" t="s">
        <v>114</v>
      </c>
    </row>
    <row r="3" spans="1:16">
      <c r="A3" s="40" t="s">
        <v>303</v>
      </c>
      <c r="B3" s="15"/>
      <c r="C3" s="15"/>
      <c r="D3" s="24"/>
      <c r="E3" s="15"/>
      <c r="F3" s="15"/>
      <c r="G3" s="24"/>
      <c r="H3" s="15"/>
      <c r="I3" s="15"/>
      <c r="J3" s="24"/>
      <c r="K3" s="15"/>
      <c r="L3" s="15"/>
      <c r="M3" s="24"/>
      <c r="N3" s="15"/>
      <c r="O3" s="15"/>
      <c r="P3" s="24"/>
    </row>
    <row r="4" spans="1:16">
      <c r="A4" s="9" t="s">
        <v>304</v>
      </c>
      <c r="B4" s="15">
        <v>53.487902004104797</v>
      </c>
      <c r="C4" s="15">
        <v>60.7384804569366</v>
      </c>
      <c r="D4" s="24">
        <v>47.4597425740875</v>
      </c>
      <c r="E4" s="15">
        <v>59.802236963659603</v>
      </c>
      <c r="F4" s="15">
        <v>66.373884264607497</v>
      </c>
      <c r="G4" s="24">
        <v>54.215142032020097</v>
      </c>
      <c r="H4" s="15">
        <v>47.4963855580855</v>
      </c>
      <c r="I4" s="15">
        <v>54.936858344191798</v>
      </c>
      <c r="J4" s="24">
        <v>41.398714276606398</v>
      </c>
      <c r="K4" s="15">
        <v>44.788890609463103</v>
      </c>
      <c r="L4" s="20" t="s">
        <v>80</v>
      </c>
      <c r="M4" s="26" t="s">
        <v>80</v>
      </c>
      <c r="N4" s="15">
        <v>42.319659537496399</v>
      </c>
      <c r="O4" s="15">
        <v>51.7258991163433</v>
      </c>
      <c r="P4" s="26" t="s">
        <v>80</v>
      </c>
    </row>
    <row r="5" spans="1:16">
      <c r="A5" s="40" t="s">
        <v>305</v>
      </c>
      <c r="B5" s="15"/>
      <c r="C5" s="15"/>
      <c r="D5" s="24"/>
      <c r="E5" s="15"/>
      <c r="F5" s="15"/>
      <c r="G5" s="24"/>
      <c r="H5" s="15"/>
      <c r="I5" s="15"/>
      <c r="J5" s="24"/>
      <c r="K5" s="15"/>
      <c r="L5" s="15"/>
      <c r="M5" s="24"/>
      <c r="N5" s="15"/>
      <c r="O5" s="15"/>
      <c r="P5" s="24"/>
    </row>
    <row r="6" spans="1:16">
      <c r="A6" s="9" t="s">
        <v>306</v>
      </c>
      <c r="B6" s="15">
        <v>7.1811068085923297</v>
      </c>
      <c r="C6" s="15">
        <v>10.4492169134043</v>
      </c>
      <c r="D6" s="24">
        <v>4.4639872194700096</v>
      </c>
      <c r="E6" s="15">
        <v>8.1808079636540807</v>
      </c>
      <c r="F6" s="15">
        <v>11.4854320708709</v>
      </c>
      <c r="G6" s="24">
        <v>5.3712766916788999</v>
      </c>
      <c r="H6" s="15">
        <v>6.3326537771243903</v>
      </c>
      <c r="I6" s="15">
        <v>9.4981944882440192</v>
      </c>
      <c r="J6" s="24">
        <v>3.7384064437303199</v>
      </c>
      <c r="K6" s="20" t="s">
        <v>80</v>
      </c>
      <c r="L6" s="20" t="s">
        <v>80</v>
      </c>
      <c r="M6" s="26" t="s">
        <v>80</v>
      </c>
      <c r="N6" s="20" t="s">
        <v>80</v>
      </c>
      <c r="O6" s="20" t="s">
        <v>80</v>
      </c>
      <c r="P6" s="26" t="s">
        <v>80</v>
      </c>
    </row>
    <row r="7" spans="1:16">
      <c r="A7" s="11" t="s">
        <v>307</v>
      </c>
      <c r="B7" s="16">
        <v>23.539512727065699</v>
      </c>
      <c r="C7" s="16">
        <v>25.579698631764199</v>
      </c>
      <c r="D7" s="25">
        <v>21.843294145278801</v>
      </c>
      <c r="E7" s="16">
        <v>26.826019005710599</v>
      </c>
      <c r="F7" s="16">
        <v>29.649872356973599</v>
      </c>
      <c r="G7" s="25">
        <v>24.4252302804456</v>
      </c>
      <c r="H7" s="16">
        <v>20.145724247768001</v>
      </c>
      <c r="I7" s="16">
        <v>20.422112199438899</v>
      </c>
      <c r="J7" s="25">
        <v>19.919216749669602</v>
      </c>
      <c r="K7" s="28" t="s">
        <v>80</v>
      </c>
      <c r="L7" s="28" t="s">
        <v>80</v>
      </c>
      <c r="M7" s="29" t="s">
        <v>80</v>
      </c>
      <c r="N7" s="28" t="s">
        <v>80</v>
      </c>
      <c r="O7" s="28" t="s">
        <v>80</v>
      </c>
      <c r="P7" s="29" t="s">
        <v>80</v>
      </c>
    </row>
    <row r="8" spans="1:16" ht="30" customHeight="1">
      <c r="A8" t="s">
        <v>93</v>
      </c>
    </row>
    <row r="9" spans="1:16">
      <c r="A9" t="s">
        <v>94</v>
      </c>
    </row>
    <row r="10" spans="1:16">
      <c r="A10" t="s">
        <v>95</v>
      </c>
    </row>
    <row r="11" spans="1:16">
      <c r="A11" t="s">
        <v>96</v>
      </c>
    </row>
    <row r="12" spans="1:16">
      <c r="A12" t="s">
        <v>97</v>
      </c>
    </row>
    <row r="13" spans="1:16">
      <c r="A1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J14"/>
  <sheetViews>
    <sheetView zoomScale="55" workbookViewId="0"/>
  </sheetViews>
  <sheetFormatPr defaultColWidth="10.90625" defaultRowHeight="15"/>
  <cols>
    <col min="1" max="1" width="51.6796875" customWidth="1"/>
    <col min="2" max="35" width="13.6796875" customWidth="1"/>
  </cols>
  <sheetData>
    <row r="1" spans="1:36" ht="39.9" customHeight="1">
      <c r="A1" s="10" t="s">
        <v>308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row>
    <row r="2" spans="1:36" ht="60">
      <c r="A2" s="7" t="s">
        <v>2</v>
      </c>
      <c r="B2" s="35" t="s">
        <v>18</v>
      </c>
      <c r="C2" s="31" t="s">
        <v>19</v>
      </c>
      <c r="D2" s="31" t="s">
        <v>20</v>
      </c>
      <c r="E2" s="31" t="s">
        <v>115</v>
      </c>
      <c r="F2" s="30" t="s">
        <v>116</v>
      </c>
      <c r="G2" s="30" t="s">
        <v>117</v>
      </c>
      <c r="H2" s="30" t="s">
        <v>118</v>
      </c>
      <c r="I2" s="30" t="s">
        <v>119</v>
      </c>
      <c r="J2" s="30" t="s">
        <v>120</v>
      </c>
      <c r="K2" s="30" t="s">
        <v>121</v>
      </c>
      <c r="L2" s="30" t="s">
        <v>122</v>
      </c>
      <c r="M2" s="30" t="s">
        <v>123</v>
      </c>
      <c r="N2" s="30" t="s">
        <v>124</v>
      </c>
      <c r="O2" s="30" t="s">
        <v>125</v>
      </c>
      <c r="P2" s="30" t="s">
        <v>126</v>
      </c>
      <c r="Q2" s="30" t="s">
        <v>127</v>
      </c>
      <c r="R2" s="30" t="s">
        <v>128</v>
      </c>
      <c r="S2" s="30" t="s">
        <v>129</v>
      </c>
      <c r="T2" s="30" t="s">
        <v>130</v>
      </c>
      <c r="U2" s="30" t="s">
        <v>131</v>
      </c>
      <c r="V2" s="30" t="s">
        <v>132</v>
      </c>
      <c r="W2" s="30" t="s">
        <v>133</v>
      </c>
      <c r="X2" s="30" t="s">
        <v>134</v>
      </c>
      <c r="Y2" s="30" t="s">
        <v>135</v>
      </c>
      <c r="Z2" s="30" t="s">
        <v>136</v>
      </c>
      <c r="AA2" s="31" t="s">
        <v>137</v>
      </c>
      <c r="AB2" s="30" t="s">
        <v>138</v>
      </c>
      <c r="AC2" s="30" t="s">
        <v>139</v>
      </c>
      <c r="AD2" s="30" t="s">
        <v>140</v>
      </c>
      <c r="AE2" s="30" t="s">
        <v>141</v>
      </c>
      <c r="AF2" s="30" t="s">
        <v>142</v>
      </c>
      <c r="AG2" s="30" t="s">
        <v>143</v>
      </c>
      <c r="AH2" s="30" t="s">
        <v>144</v>
      </c>
      <c r="AI2" s="30" t="s">
        <v>145</v>
      </c>
      <c r="AJ2" s="38"/>
    </row>
    <row r="3" spans="1:36">
      <c r="A3" s="40" t="s">
        <v>303</v>
      </c>
      <c r="B3" s="36"/>
      <c r="C3" s="32"/>
      <c r="D3" s="32"/>
      <c r="E3" s="32"/>
      <c r="F3" s="15"/>
      <c r="G3" s="15"/>
      <c r="H3" s="15"/>
      <c r="I3" s="15"/>
      <c r="J3" s="15"/>
      <c r="K3" s="15"/>
      <c r="L3" s="15"/>
      <c r="M3" s="15"/>
      <c r="N3" s="15"/>
      <c r="O3" s="15"/>
      <c r="P3" s="15"/>
      <c r="Q3" s="15"/>
      <c r="R3" s="15"/>
      <c r="S3" s="15"/>
      <c r="T3" s="15"/>
      <c r="U3" s="15"/>
      <c r="V3" s="15"/>
      <c r="W3" s="15"/>
      <c r="X3" s="15"/>
      <c r="Y3" s="15"/>
      <c r="Z3" s="15"/>
      <c r="AA3" s="32"/>
      <c r="AB3" s="15"/>
      <c r="AC3" s="15"/>
      <c r="AD3" s="15"/>
      <c r="AE3" s="15"/>
      <c r="AF3" s="15"/>
      <c r="AG3" s="15"/>
      <c r="AH3" s="15"/>
      <c r="AI3" s="24"/>
      <c r="AJ3" s="38"/>
    </row>
    <row r="4" spans="1:36">
      <c r="A4" s="9" t="s">
        <v>304</v>
      </c>
      <c r="B4" s="36">
        <v>54.410660196278002</v>
      </c>
      <c r="C4" s="32">
        <v>57.44489968053</v>
      </c>
      <c r="D4" s="32">
        <v>53.487902004104797</v>
      </c>
      <c r="E4" s="32">
        <v>60.7384804569366</v>
      </c>
      <c r="F4" s="15">
        <v>79.508196721311506</v>
      </c>
      <c r="G4" s="15">
        <v>84.745762711864401</v>
      </c>
      <c r="H4" s="15">
        <v>49.397590361445801</v>
      </c>
      <c r="I4" s="15">
        <v>64.4444444444444</v>
      </c>
      <c r="J4" s="15">
        <v>76.785714285714306</v>
      </c>
      <c r="K4" s="15">
        <v>80.5555555555556</v>
      </c>
      <c r="L4" s="15">
        <v>82.524271844660205</v>
      </c>
      <c r="M4" s="15">
        <v>83.950617283950606</v>
      </c>
      <c r="N4" s="15">
        <v>55.932203389830498</v>
      </c>
      <c r="O4" s="15">
        <v>84.210526315789494</v>
      </c>
      <c r="P4" s="15">
        <v>76.829268292682897</v>
      </c>
      <c r="Q4" s="15">
        <v>65.644171779141104</v>
      </c>
      <c r="R4" s="15">
        <v>61.363636363636402</v>
      </c>
      <c r="S4" s="15">
        <v>50</v>
      </c>
      <c r="T4" s="15">
        <v>38.8888888888889</v>
      </c>
      <c r="U4" s="15">
        <v>53.278688524590201</v>
      </c>
      <c r="V4" s="15">
        <v>72.972972972972997</v>
      </c>
      <c r="W4" s="15">
        <v>68.181818181818201</v>
      </c>
      <c r="X4" s="15">
        <v>71.195652173913004</v>
      </c>
      <c r="Y4" s="15">
        <v>69.677419354838705</v>
      </c>
      <c r="Z4" s="15">
        <v>66.6666666666667</v>
      </c>
      <c r="AA4" s="32">
        <v>47.4597425740875</v>
      </c>
      <c r="AB4" s="15">
        <v>41.290322580645203</v>
      </c>
      <c r="AC4" s="15">
        <v>77.917981072555193</v>
      </c>
      <c r="AD4" s="15">
        <v>27.467811158798298</v>
      </c>
      <c r="AE4" s="15">
        <v>44.983818770226499</v>
      </c>
      <c r="AF4" s="15">
        <v>57.656458055925398</v>
      </c>
      <c r="AG4" s="15">
        <v>34.853420195439703</v>
      </c>
      <c r="AH4" s="15">
        <v>68.683274021352304</v>
      </c>
      <c r="AI4" s="24">
        <v>27.7777777777778</v>
      </c>
      <c r="AJ4" s="38"/>
    </row>
    <row r="5" spans="1:36">
      <c r="A5" s="40" t="s">
        <v>305</v>
      </c>
      <c r="B5" s="36"/>
      <c r="C5" s="32"/>
      <c r="D5" s="32"/>
      <c r="E5" s="32"/>
      <c r="F5" s="15"/>
      <c r="G5" s="15"/>
      <c r="H5" s="15"/>
      <c r="I5" s="15"/>
      <c r="J5" s="15"/>
      <c r="K5" s="15"/>
      <c r="L5" s="15"/>
      <c r="M5" s="15"/>
      <c r="N5" s="15"/>
      <c r="O5" s="15"/>
      <c r="P5" s="15"/>
      <c r="Q5" s="15"/>
      <c r="R5" s="15"/>
      <c r="S5" s="15"/>
      <c r="T5" s="15"/>
      <c r="U5" s="15"/>
      <c r="V5" s="15"/>
      <c r="W5" s="15"/>
      <c r="X5" s="15"/>
      <c r="Y5" s="15"/>
      <c r="Z5" s="15"/>
      <c r="AA5" s="32"/>
      <c r="AB5" s="15"/>
      <c r="AC5" s="15"/>
      <c r="AD5" s="15"/>
      <c r="AE5" s="15"/>
      <c r="AF5" s="15"/>
      <c r="AG5" s="15"/>
      <c r="AH5" s="15"/>
      <c r="AI5" s="24"/>
      <c r="AJ5" s="38"/>
    </row>
    <row r="6" spans="1:36">
      <c r="A6" s="9" t="s">
        <v>306</v>
      </c>
      <c r="B6" s="36">
        <v>10.093660482023401</v>
      </c>
      <c r="C6" s="32">
        <v>10.642624597317999</v>
      </c>
      <c r="D6" s="32">
        <v>7.1811068085923297</v>
      </c>
      <c r="E6" s="32">
        <v>10.4492169134043</v>
      </c>
      <c r="F6" s="20" t="s">
        <v>80</v>
      </c>
      <c r="G6" s="15">
        <v>10.1694915254237</v>
      </c>
      <c r="H6" s="15">
        <v>10.8433734939759</v>
      </c>
      <c r="I6" s="20" t="s">
        <v>80</v>
      </c>
      <c r="J6" s="20" t="s">
        <v>80</v>
      </c>
      <c r="K6" s="20" t="s">
        <v>80</v>
      </c>
      <c r="L6" s="20" t="s">
        <v>80</v>
      </c>
      <c r="M6" s="15">
        <v>8.6419753086419693</v>
      </c>
      <c r="N6" s="15">
        <v>10.1694915254237</v>
      </c>
      <c r="O6" s="15">
        <v>12.280701754386</v>
      </c>
      <c r="P6" s="15">
        <v>6.0975609756097597</v>
      </c>
      <c r="Q6" s="15">
        <v>8.5889570552147205</v>
      </c>
      <c r="R6" s="15">
        <v>7.9545454545454497</v>
      </c>
      <c r="S6" s="15">
        <v>13.5135135135135</v>
      </c>
      <c r="T6" s="15">
        <v>8.3333333333333304</v>
      </c>
      <c r="U6" s="15">
        <v>5.7377049180327901</v>
      </c>
      <c r="V6" s="15">
        <v>18.918918918918902</v>
      </c>
      <c r="W6" s="15">
        <v>25</v>
      </c>
      <c r="X6" s="15">
        <v>21.739130434782599</v>
      </c>
      <c r="Y6" s="15">
        <v>27.096774193548399</v>
      </c>
      <c r="Z6" s="15">
        <v>14.912280701754399</v>
      </c>
      <c r="AA6" s="32">
        <v>4.4639872194700096</v>
      </c>
      <c r="AB6" s="15">
        <v>3.2258064516128999</v>
      </c>
      <c r="AC6" s="15">
        <v>5.9936908517350203</v>
      </c>
      <c r="AD6" s="15">
        <v>3.4334763948497899</v>
      </c>
      <c r="AE6" s="15">
        <v>5.1779935275080904</v>
      </c>
      <c r="AF6" s="15">
        <v>3.8615179760319598</v>
      </c>
      <c r="AG6" s="15">
        <v>4.8859934853420199</v>
      </c>
      <c r="AH6" s="15">
        <v>10.3202846975089</v>
      </c>
      <c r="AI6" s="26" t="s">
        <v>80</v>
      </c>
      <c r="AJ6" s="38"/>
    </row>
    <row r="7" spans="1:36">
      <c r="A7" s="11" t="s">
        <v>307</v>
      </c>
      <c r="B7" s="37">
        <v>23.804651039170899</v>
      </c>
      <c r="C7" s="33">
        <v>25.7159269568029</v>
      </c>
      <c r="D7" s="33">
        <v>23.539512727065699</v>
      </c>
      <c r="E7" s="33">
        <v>25.579698631764199</v>
      </c>
      <c r="F7" s="16">
        <v>14.7540983606557</v>
      </c>
      <c r="G7" s="16">
        <v>20.338983050847499</v>
      </c>
      <c r="H7" s="16">
        <v>42.168674698795201</v>
      </c>
      <c r="I7" s="16">
        <v>20</v>
      </c>
      <c r="J7" s="16">
        <v>28.571428571428601</v>
      </c>
      <c r="K7" s="16">
        <v>41.6666666666667</v>
      </c>
      <c r="L7" s="16">
        <v>24.271844660194201</v>
      </c>
      <c r="M7" s="16">
        <v>14.814814814814801</v>
      </c>
      <c r="N7" s="16">
        <v>20.338983050847499</v>
      </c>
      <c r="O7" s="16">
        <v>28.0701754385965</v>
      </c>
      <c r="P7" s="16">
        <v>21.951219512195099</v>
      </c>
      <c r="Q7" s="16">
        <v>28.8343558282209</v>
      </c>
      <c r="R7" s="16">
        <v>22.727272727272702</v>
      </c>
      <c r="S7" s="16">
        <v>35.135135135135101</v>
      </c>
      <c r="T7" s="16">
        <v>34.7222222222222</v>
      </c>
      <c r="U7" s="16">
        <v>18.032786885245901</v>
      </c>
      <c r="V7" s="16">
        <v>24.324324324324301</v>
      </c>
      <c r="W7" s="16">
        <v>30.681818181818201</v>
      </c>
      <c r="X7" s="16">
        <v>19.021739130434799</v>
      </c>
      <c r="Y7" s="16">
        <v>25.161290322580601</v>
      </c>
      <c r="Z7" s="16">
        <v>21.052631578947398</v>
      </c>
      <c r="AA7" s="33">
        <v>21.843294145278801</v>
      </c>
      <c r="AB7" s="16">
        <v>26.451612903225801</v>
      </c>
      <c r="AC7" s="16">
        <v>31.230283911671901</v>
      </c>
      <c r="AD7" s="16">
        <v>21.4592274678112</v>
      </c>
      <c r="AE7" s="16">
        <v>21.682847896440101</v>
      </c>
      <c r="AF7" s="16">
        <v>18.375499334221001</v>
      </c>
      <c r="AG7" s="16">
        <v>15.3094462540717</v>
      </c>
      <c r="AH7" s="16">
        <v>28.825622775800699</v>
      </c>
      <c r="AI7" s="29" t="s">
        <v>80</v>
      </c>
      <c r="AJ7" s="38"/>
    </row>
    <row r="8" spans="1:36" ht="30" customHeight="1">
      <c r="A8" t="s">
        <v>146</v>
      </c>
    </row>
    <row r="9" spans="1:36">
      <c r="A9" t="s">
        <v>93</v>
      </c>
    </row>
    <row r="10" spans="1:36">
      <c r="A10" t="s">
        <v>94</v>
      </c>
    </row>
    <row r="11" spans="1:36">
      <c r="A11" t="s">
        <v>95</v>
      </c>
    </row>
    <row r="12" spans="1:36">
      <c r="A12" t="s">
        <v>96</v>
      </c>
    </row>
    <row r="13" spans="1:36">
      <c r="A13" t="s">
        <v>97</v>
      </c>
    </row>
    <row r="14" spans="1:36">
      <c r="A1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31"/>
  <sheetViews>
    <sheetView zoomScale="70" workbookViewId="0"/>
  </sheetViews>
  <sheetFormatPr defaultColWidth="10.90625" defaultRowHeight="15"/>
  <cols>
    <col min="1" max="1" width="51.6796875" customWidth="1"/>
    <col min="2" max="2" width="24.6796875" customWidth="1"/>
    <col min="3" max="3" width="54.6796875" customWidth="1"/>
  </cols>
  <sheetData>
    <row r="1" spans="1:3" ht="39.9" customHeight="1">
      <c r="A1" s="10" t="s">
        <v>309</v>
      </c>
      <c r="B1" s="12"/>
      <c r="C1" s="12"/>
    </row>
    <row r="2" spans="1:3" ht="45">
      <c r="A2" s="7" t="s">
        <v>2</v>
      </c>
      <c r="B2" s="6" t="s">
        <v>310</v>
      </c>
      <c r="C2" s="8" t="s">
        <v>311</v>
      </c>
    </row>
    <row r="3" spans="1:3" ht="21.9" customHeight="1">
      <c r="A3" s="22" t="s">
        <v>18</v>
      </c>
      <c r="B3" s="15">
        <v>93.373709151005698</v>
      </c>
      <c r="C3" s="24">
        <v>39.475416999304997</v>
      </c>
    </row>
    <row r="4" spans="1:3" ht="21.9" customHeight="1">
      <c r="A4" s="22" t="s">
        <v>19</v>
      </c>
      <c r="B4" s="15">
        <v>91.072859517974607</v>
      </c>
      <c r="C4" s="24">
        <v>36.124154243099603</v>
      </c>
    </row>
    <row r="5" spans="1:3" ht="21.9" customHeight="1">
      <c r="A5" s="22" t="s">
        <v>20</v>
      </c>
      <c r="B5" s="15">
        <v>85.448301698301705</v>
      </c>
      <c r="C5" s="24">
        <v>45.604395604395599</v>
      </c>
    </row>
    <row r="6" spans="1:3">
      <c r="A6" s="9" t="s">
        <v>116</v>
      </c>
      <c r="B6" s="15">
        <v>100</v>
      </c>
      <c r="C6" s="24">
        <v>0</v>
      </c>
    </row>
    <row r="7" spans="1:3">
      <c r="A7" s="9" t="s">
        <v>117</v>
      </c>
      <c r="B7" s="15">
        <v>60</v>
      </c>
      <c r="C7" s="24">
        <v>100</v>
      </c>
    </row>
    <row r="8" spans="1:3">
      <c r="A8" s="9" t="s">
        <v>118</v>
      </c>
      <c r="B8" s="15">
        <v>60</v>
      </c>
      <c r="C8" s="24">
        <v>0</v>
      </c>
    </row>
    <row r="9" spans="1:3">
      <c r="A9" s="9" t="s">
        <v>119</v>
      </c>
      <c r="B9" s="15">
        <v>100</v>
      </c>
      <c r="C9" s="24">
        <v>0</v>
      </c>
    </row>
    <row r="10" spans="1:3">
      <c r="A10" s="9" t="s">
        <v>120</v>
      </c>
      <c r="B10" s="15">
        <v>60</v>
      </c>
      <c r="C10" s="24">
        <v>100</v>
      </c>
    </row>
    <row r="11" spans="1:3">
      <c r="A11" s="9" t="s">
        <v>121</v>
      </c>
      <c r="B11" s="15">
        <v>60</v>
      </c>
      <c r="C11" s="24">
        <v>0</v>
      </c>
    </row>
    <row r="12" spans="1:3">
      <c r="A12" s="9" t="s">
        <v>122</v>
      </c>
      <c r="B12" s="15">
        <v>120</v>
      </c>
      <c r="C12" s="24">
        <v>100</v>
      </c>
    </row>
    <row r="13" spans="1:3">
      <c r="A13" s="9" t="s">
        <v>123</v>
      </c>
      <c r="B13" s="15">
        <v>60</v>
      </c>
      <c r="C13" s="24">
        <v>0</v>
      </c>
    </row>
    <row r="14" spans="1:3">
      <c r="A14" s="9" t="s">
        <v>124</v>
      </c>
      <c r="B14" s="15">
        <v>110</v>
      </c>
      <c r="C14" s="24">
        <v>0</v>
      </c>
    </row>
    <row r="15" spans="1:3">
      <c r="A15" s="9" t="s">
        <v>125</v>
      </c>
      <c r="B15" s="15">
        <v>180</v>
      </c>
      <c r="C15" s="24">
        <v>0</v>
      </c>
    </row>
    <row r="16" spans="1:3">
      <c r="A16" s="9" t="s">
        <v>126</v>
      </c>
      <c r="B16" s="15">
        <v>100</v>
      </c>
      <c r="C16" s="24">
        <v>0</v>
      </c>
    </row>
    <row r="17" spans="1:3">
      <c r="A17" s="9" t="s">
        <v>127</v>
      </c>
      <c r="B17" s="15">
        <v>60</v>
      </c>
      <c r="C17" s="24">
        <v>100</v>
      </c>
    </row>
    <row r="18" spans="1:3">
      <c r="A18" s="9" t="s">
        <v>128</v>
      </c>
      <c r="B18" s="15">
        <v>120</v>
      </c>
      <c r="C18" s="24">
        <v>0</v>
      </c>
    </row>
    <row r="19" spans="1:3">
      <c r="A19" s="9" t="s">
        <v>129</v>
      </c>
      <c r="B19" s="15">
        <v>60</v>
      </c>
      <c r="C19" s="24">
        <v>0</v>
      </c>
    </row>
    <row r="20" spans="1:3">
      <c r="A20" s="9" t="s">
        <v>130</v>
      </c>
      <c r="B20" s="15">
        <v>120</v>
      </c>
      <c r="C20" s="24">
        <v>100</v>
      </c>
    </row>
    <row r="21" spans="1:3">
      <c r="A21" s="9" t="s">
        <v>131</v>
      </c>
      <c r="B21" s="15">
        <v>90</v>
      </c>
      <c r="C21" s="24">
        <v>100</v>
      </c>
    </row>
    <row r="22" spans="1:3">
      <c r="A22" s="9" t="s">
        <v>132</v>
      </c>
      <c r="B22" s="15">
        <v>90</v>
      </c>
      <c r="C22" s="24">
        <v>0</v>
      </c>
    </row>
    <row r="23" spans="1:3">
      <c r="A23" s="9" t="s">
        <v>133</v>
      </c>
      <c r="B23" s="15">
        <v>150</v>
      </c>
      <c r="C23" s="24">
        <v>0</v>
      </c>
    </row>
    <row r="24" spans="1:3">
      <c r="A24" s="9" t="s">
        <v>134</v>
      </c>
      <c r="B24" s="15">
        <v>60</v>
      </c>
      <c r="C24" s="24">
        <v>100</v>
      </c>
    </row>
    <row r="25" spans="1:3">
      <c r="A25" s="9" t="s">
        <v>135</v>
      </c>
      <c r="B25" s="15">
        <v>140</v>
      </c>
      <c r="C25" s="24">
        <v>0</v>
      </c>
    </row>
    <row r="26" spans="1:3">
      <c r="A26" s="11" t="s">
        <v>136</v>
      </c>
      <c r="B26" s="16">
        <v>60</v>
      </c>
      <c r="C26" s="25">
        <v>0</v>
      </c>
    </row>
    <row r="27" spans="1:3" ht="30" customHeight="1">
      <c r="A27" t="s">
        <v>94</v>
      </c>
    </row>
    <row r="28" spans="1:3">
      <c r="A28" t="s">
        <v>312</v>
      </c>
    </row>
    <row r="29" spans="1:3">
      <c r="A29" t="s">
        <v>313</v>
      </c>
    </row>
    <row r="30" spans="1:3">
      <c r="A30" t="s">
        <v>314</v>
      </c>
    </row>
    <row r="31" spans="1:3">
      <c r="A3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1"/>
  <sheetViews>
    <sheetView zoomScale="70" workbookViewId="0"/>
  </sheetViews>
  <sheetFormatPr defaultColWidth="10.90625" defaultRowHeight="15"/>
  <cols>
    <col min="1" max="1" width="77.6796875" customWidth="1"/>
    <col min="2" max="7" width="15.90625" customWidth="1"/>
  </cols>
  <sheetData>
    <row r="1" spans="1:7" ht="39.9" customHeight="1">
      <c r="A1" s="10" t="s">
        <v>315</v>
      </c>
      <c r="B1" s="12"/>
      <c r="C1" s="12"/>
      <c r="D1" s="12"/>
      <c r="E1" s="12"/>
      <c r="F1" s="12"/>
      <c r="G1" s="12"/>
    </row>
    <row r="2" spans="1:7" ht="60">
      <c r="A2" s="7" t="s">
        <v>2</v>
      </c>
      <c r="B2" s="6" t="s">
        <v>316</v>
      </c>
      <c r="C2" s="6" t="s">
        <v>317</v>
      </c>
      <c r="D2" s="6" t="s">
        <v>318</v>
      </c>
      <c r="E2" s="6" t="s">
        <v>319</v>
      </c>
      <c r="F2" s="6" t="s">
        <v>320</v>
      </c>
      <c r="G2" s="8" t="s">
        <v>321</v>
      </c>
    </row>
    <row r="3" spans="1:7">
      <c r="A3" s="40" t="s">
        <v>322</v>
      </c>
      <c r="B3" s="15"/>
      <c r="C3" s="15"/>
      <c r="D3" s="15"/>
      <c r="E3" s="15"/>
      <c r="F3" s="15"/>
      <c r="G3" s="24"/>
    </row>
    <row r="4" spans="1:7">
      <c r="A4" s="9" t="s">
        <v>323</v>
      </c>
      <c r="B4" s="15">
        <v>25.592507039249</v>
      </c>
      <c r="C4" s="15">
        <v>13.956889833458501</v>
      </c>
      <c r="D4" s="15">
        <v>22.232686984923099</v>
      </c>
      <c r="E4" s="15">
        <v>20.545721148355099</v>
      </c>
      <c r="F4" s="15">
        <v>21.1932422934138</v>
      </c>
      <c r="G4" s="24">
        <v>20.2262244207366</v>
      </c>
    </row>
    <row r="5" spans="1:7">
      <c r="A5" s="9" t="s">
        <v>324</v>
      </c>
      <c r="B5" s="15">
        <v>70.918648802923698</v>
      </c>
      <c r="C5" s="15">
        <v>47.165660750803902</v>
      </c>
      <c r="D5" s="15">
        <v>59.734659436897601</v>
      </c>
      <c r="E5" s="15">
        <v>59.178855303594901</v>
      </c>
      <c r="F5" s="15">
        <v>64.309156916743305</v>
      </c>
      <c r="G5" s="24">
        <v>64.5959647327619</v>
      </c>
    </row>
    <row r="6" spans="1:7">
      <c r="A6" s="9" t="s">
        <v>325</v>
      </c>
      <c r="B6" s="15">
        <v>50.912837424742399</v>
      </c>
      <c r="C6" s="15">
        <v>33.538081056680397</v>
      </c>
      <c r="D6" s="15">
        <v>40.077426375048901</v>
      </c>
      <c r="E6" s="15">
        <v>41.329629508028397</v>
      </c>
      <c r="F6" s="15">
        <v>47.656700842251396</v>
      </c>
      <c r="G6" s="24">
        <v>49.0090816749466</v>
      </c>
    </row>
    <row r="7" spans="1:7">
      <c r="A7" s="9" t="s">
        <v>166</v>
      </c>
      <c r="B7" s="15">
        <v>29.810224431807001</v>
      </c>
      <c r="C7" s="15">
        <v>2.93007812728119</v>
      </c>
      <c r="D7" s="15">
        <v>7.9108149730759996</v>
      </c>
      <c r="E7" s="15">
        <v>6.1176225631275498</v>
      </c>
      <c r="F7" s="15">
        <v>12.9657513343193</v>
      </c>
      <c r="G7" s="24">
        <v>26.5014977639281</v>
      </c>
    </row>
    <row r="8" spans="1:7">
      <c r="A8" s="9" t="s">
        <v>326</v>
      </c>
      <c r="B8" s="15">
        <v>62.227436770894897</v>
      </c>
      <c r="C8" s="15">
        <v>43.690773182929597</v>
      </c>
      <c r="D8" s="15">
        <v>55.736012768048603</v>
      </c>
      <c r="E8" s="15">
        <v>54.206269411015299</v>
      </c>
      <c r="F8" s="15">
        <v>53.851080351979597</v>
      </c>
      <c r="G8" s="24">
        <v>53.443874729260898</v>
      </c>
    </row>
    <row r="9" spans="1:7">
      <c r="A9" s="9" t="s">
        <v>327</v>
      </c>
      <c r="B9" s="15">
        <v>4.3993495805512604</v>
      </c>
      <c r="C9" s="15">
        <v>1.80393439372594</v>
      </c>
      <c r="D9" s="15">
        <v>3.6186211334300502</v>
      </c>
      <c r="E9" s="15">
        <v>3.5364518647365402</v>
      </c>
      <c r="F9" s="15">
        <v>3.7173446503951402</v>
      </c>
      <c r="G9" s="24">
        <v>3.1903411894654399</v>
      </c>
    </row>
    <row r="10" spans="1:7">
      <c r="A10" s="9" t="s">
        <v>328</v>
      </c>
      <c r="B10" s="15">
        <v>56.208284666711002</v>
      </c>
      <c r="C10" s="15">
        <v>38.479872902140897</v>
      </c>
      <c r="D10" s="15">
        <v>52.830117748225099</v>
      </c>
      <c r="E10" s="15">
        <v>50.942531932137399</v>
      </c>
      <c r="F10" s="15">
        <v>49.447658238078297</v>
      </c>
      <c r="G10" s="24">
        <v>49.478461680960599</v>
      </c>
    </row>
    <row r="11" spans="1:7">
      <c r="A11" s="9" t="s">
        <v>329</v>
      </c>
      <c r="B11" s="15">
        <v>2.20386170545612</v>
      </c>
      <c r="C11" s="15">
        <v>0.45692497472110799</v>
      </c>
      <c r="D11" s="15">
        <v>1.39430834878263</v>
      </c>
      <c r="E11" s="15">
        <v>1.0676653661992901</v>
      </c>
      <c r="F11" s="15">
        <v>1.7734259624178199</v>
      </c>
      <c r="G11" s="24">
        <v>1.3726564487711399</v>
      </c>
    </row>
    <row r="12" spans="1:7">
      <c r="A12" s="9" t="s">
        <v>330</v>
      </c>
      <c r="B12" s="15">
        <v>80.358759272204296</v>
      </c>
      <c r="C12" s="15">
        <v>38.933009720038001</v>
      </c>
      <c r="D12" s="15">
        <v>51.178554690565903</v>
      </c>
      <c r="E12" s="15">
        <v>59.736686119145901</v>
      </c>
      <c r="F12" s="15">
        <v>68.240781930932599</v>
      </c>
      <c r="G12" s="24">
        <v>66.954390281393401</v>
      </c>
    </row>
    <row r="13" spans="1:7">
      <c r="A13" s="9" t="s">
        <v>331</v>
      </c>
      <c r="B13" s="15">
        <v>1.6297483125774801</v>
      </c>
      <c r="C13" s="15">
        <v>0.66368206315445</v>
      </c>
      <c r="D13" s="15">
        <v>0.85149753445389798</v>
      </c>
      <c r="E13" s="15">
        <v>0.85149753445389798</v>
      </c>
      <c r="F13" s="15">
        <v>1.3181156371918801</v>
      </c>
      <c r="G13" s="24">
        <v>1.6297483125774801</v>
      </c>
    </row>
    <row r="14" spans="1:7">
      <c r="A14" s="9" t="s">
        <v>332</v>
      </c>
      <c r="B14" s="15">
        <v>49.726269542072401</v>
      </c>
      <c r="C14" s="15">
        <v>29.8347299153506</v>
      </c>
      <c r="D14" s="15">
        <v>45.764624256929501</v>
      </c>
      <c r="E14" s="15">
        <v>41.692302730650098</v>
      </c>
      <c r="F14" s="15">
        <v>39.478394356482397</v>
      </c>
      <c r="G14" s="24">
        <v>38.691924389291501</v>
      </c>
    </row>
    <row r="15" spans="1:7">
      <c r="A15" s="40" t="s">
        <v>333</v>
      </c>
      <c r="B15" s="15"/>
      <c r="C15" s="15"/>
      <c r="D15" s="15"/>
      <c r="E15" s="15"/>
      <c r="F15" s="15"/>
      <c r="G15" s="24"/>
    </row>
    <row r="16" spans="1:7">
      <c r="A16" s="9" t="s">
        <v>153</v>
      </c>
      <c r="B16" s="15">
        <v>90.136152902939102</v>
      </c>
      <c r="C16" s="15">
        <v>72.438042439320796</v>
      </c>
      <c r="D16" s="15">
        <v>82.646043057134307</v>
      </c>
      <c r="E16" s="15">
        <v>80.6419059370984</v>
      </c>
      <c r="F16" s="15">
        <v>83.915462728326702</v>
      </c>
      <c r="G16" s="24">
        <v>83.237148893326506</v>
      </c>
    </row>
    <row r="17" spans="1:7">
      <c r="A17" s="9" t="s">
        <v>154</v>
      </c>
      <c r="B17" s="15">
        <v>12.060609208693201</v>
      </c>
      <c r="C17" s="15">
        <v>4.7172137315768197</v>
      </c>
      <c r="D17" s="15">
        <v>9.4610597406451298</v>
      </c>
      <c r="E17" s="15">
        <v>7.13459842692005</v>
      </c>
      <c r="F17" s="15">
        <v>8.2852169696882498</v>
      </c>
      <c r="G17" s="24">
        <v>8.9789731874516292</v>
      </c>
    </row>
    <row r="18" spans="1:7">
      <c r="A18" s="9" t="s">
        <v>334</v>
      </c>
      <c r="B18" s="15">
        <v>80.508850981658199</v>
      </c>
      <c r="C18" s="15">
        <v>53.230740156884501</v>
      </c>
      <c r="D18" s="15">
        <v>68.734246682034197</v>
      </c>
      <c r="E18" s="15">
        <v>68.3312657613901</v>
      </c>
      <c r="F18" s="15">
        <v>71.785674659306295</v>
      </c>
      <c r="G18" s="24">
        <v>72.453094855731905</v>
      </c>
    </row>
    <row r="19" spans="1:7">
      <c r="A19" s="9" t="s">
        <v>155</v>
      </c>
      <c r="B19" s="15">
        <v>38.487253676681803</v>
      </c>
      <c r="C19" s="15">
        <v>18.767500495055302</v>
      </c>
      <c r="D19" s="15">
        <v>27.947777604333002</v>
      </c>
      <c r="E19" s="15">
        <v>26.863358347101901</v>
      </c>
      <c r="F19" s="15">
        <v>32.628938266697702</v>
      </c>
      <c r="G19" s="24">
        <v>32.716374704432198</v>
      </c>
    </row>
    <row r="20" spans="1:7">
      <c r="A20" s="9" t="s">
        <v>335</v>
      </c>
      <c r="B20" s="15">
        <v>5.3796785137651497</v>
      </c>
      <c r="C20" s="15">
        <v>1.92896083313315</v>
      </c>
      <c r="D20" s="15">
        <v>2.4335604587378299</v>
      </c>
      <c r="E20" s="15">
        <v>2.87204110983147</v>
      </c>
      <c r="F20" s="15">
        <v>4.2233494206955804</v>
      </c>
      <c r="G20" s="24">
        <v>3.8775739382787102</v>
      </c>
    </row>
    <row r="21" spans="1:7">
      <c r="A21" s="9" t="s">
        <v>164</v>
      </c>
      <c r="B21" s="15">
        <v>72.140847795772501</v>
      </c>
      <c r="C21" s="15">
        <v>41.691808361164199</v>
      </c>
      <c r="D21" s="15">
        <v>55.145328027520101</v>
      </c>
      <c r="E21" s="15">
        <v>55.181821003688597</v>
      </c>
      <c r="F21" s="15">
        <v>64.238874468808504</v>
      </c>
      <c r="G21" s="24">
        <v>65.314073342322502</v>
      </c>
    </row>
    <row r="22" spans="1:7">
      <c r="A22" s="9" t="s">
        <v>166</v>
      </c>
      <c r="B22" s="15">
        <v>29.810224431807001</v>
      </c>
      <c r="C22" s="15">
        <v>2.93007812728119</v>
      </c>
      <c r="D22" s="15">
        <v>7.9108149730759996</v>
      </c>
      <c r="E22" s="15">
        <v>6.1176225631275498</v>
      </c>
      <c r="F22" s="15">
        <v>12.9657513343193</v>
      </c>
      <c r="G22" s="24">
        <v>26.5014977639281</v>
      </c>
    </row>
    <row r="23" spans="1:7">
      <c r="A23" s="9" t="s">
        <v>168</v>
      </c>
      <c r="B23" s="15">
        <v>56.858003279900501</v>
      </c>
      <c r="C23" s="15">
        <v>37.327711891604203</v>
      </c>
      <c r="D23" s="15">
        <v>47.160944306061502</v>
      </c>
      <c r="E23" s="15">
        <v>48.1813025517664</v>
      </c>
      <c r="F23" s="15">
        <v>52.743092377865203</v>
      </c>
      <c r="G23" s="24">
        <v>52.697543429187</v>
      </c>
    </row>
    <row r="24" spans="1:7">
      <c r="A24" s="9" t="s">
        <v>173</v>
      </c>
      <c r="B24" s="15">
        <v>91.445049197328601</v>
      </c>
      <c r="C24" s="15">
        <v>63.0468209725748</v>
      </c>
      <c r="D24" s="15">
        <v>80.609331759065498</v>
      </c>
      <c r="E24" s="15">
        <v>80.200048952621501</v>
      </c>
      <c r="F24" s="15">
        <v>83.878537325385494</v>
      </c>
      <c r="G24" s="24">
        <v>83.274779389012494</v>
      </c>
    </row>
    <row r="25" spans="1:7">
      <c r="A25" s="9" t="s">
        <v>175</v>
      </c>
      <c r="B25" s="15">
        <v>10.760786508590501</v>
      </c>
      <c r="C25" s="15">
        <v>3.58850082737173</v>
      </c>
      <c r="D25" s="15">
        <v>7.1503425358448798</v>
      </c>
      <c r="E25" s="15">
        <v>5.98726468235055</v>
      </c>
      <c r="F25" s="15">
        <v>7.46980560051834</v>
      </c>
      <c r="G25" s="24">
        <v>7.8310796750865297</v>
      </c>
    </row>
    <row r="26" spans="1:7">
      <c r="A26" s="9" t="s">
        <v>336</v>
      </c>
      <c r="B26" s="15">
        <v>63.329027506632102</v>
      </c>
      <c r="C26" s="15">
        <v>33.6967813800945</v>
      </c>
      <c r="D26" s="15">
        <v>48.9847752623484</v>
      </c>
      <c r="E26" s="15">
        <v>49.093839796717802</v>
      </c>
      <c r="F26" s="15">
        <v>53.372221268675297</v>
      </c>
      <c r="G26" s="24">
        <v>53.8711114950205</v>
      </c>
    </row>
    <row r="27" spans="1:7">
      <c r="A27" s="9" t="s">
        <v>181</v>
      </c>
      <c r="B27" s="15">
        <v>2.9601793311977498</v>
      </c>
      <c r="C27" s="15">
        <v>0.90725690440514795</v>
      </c>
      <c r="D27" s="15">
        <v>1.32735857758817</v>
      </c>
      <c r="E27" s="15">
        <v>1.5269125158438299</v>
      </c>
      <c r="F27" s="15">
        <v>2.1820167925586298</v>
      </c>
      <c r="G27" s="24">
        <v>2.69019459120479</v>
      </c>
    </row>
    <row r="28" spans="1:7">
      <c r="A28" s="9" t="s">
        <v>337</v>
      </c>
      <c r="B28" s="15">
        <v>56.124744334891602</v>
      </c>
      <c r="C28" s="15">
        <v>40.355480735023903</v>
      </c>
      <c r="D28" s="15">
        <v>52.686254938774098</v>
      </c>
      <c r="E28" s="15">
        <v>52.615633291046201</v>
      </c>
      <c r="F28" s="15">
        <v>51.032109365297501</v>
      </c>
      <c r="G28" s="24">
        <v>50.683170614372898</v>
      </c>
    </row>
    <row r="29" spans="1:7">
      <c r="A29" s="9" t="s">
        <v>185</v>
      </c>
      <c r="B29" s="15">
        <v>76.307717557619</v>
      </c>
      <c r="C29" s="15">
        <v>41.988805324476999</v>
      </c>
      <c r="D29" s="15">
        <v>56.930338086330003</v>
      </c>
      <c r="E29" s="15">
        <v>59.701519873518897</v>
      </c>
      <c r="F29" s="15">
        <v>68.982273396763304</v>
      </c>
      <c r="G29" s="24">
        <v>70.989476875063801</v>
      </c>
    </row>
    <row r="30" spans="1:7">
      <c r="A30" s="9" t="s">
        <v>338</v>
      </c>
      <c r="B30" s="15">
        <v>12.439012110036099</v>
      </c>
      <c r="C30" s="15">
        <v>5.1169552063429098</v>
      </c>
      <c r="D30" s="15">
        <v>8.0470586918426008</v>
      </c>
      <c r="E30" s="15">
        <v>8.4493869240912591</v>
      </c>
      <c r="F30" s="15">
        <v>11.197628041812999</v>
      </c>
      <c r="G30" s="24">
        <v>11.6500481224171</v>
      </c>
    </row>
    <row r="31" spans="1:7">
      <c r="A31" s="9" t="s">
        <v>339</v>
      </c>
      <c r="B31" s="15">
        <v>55.720587217110896</v>
      </c>
      <c r="C31" s="15">
        <v>27.931235186272801</v>
      </c>
      <c r="D31" s="15">
        <v>38.669330192959599</v>
      </c>
      <c r="E31" s="15">
        <v>43.584929060773099</v>
      </c>
      <c r="F31" s="15">
        <v>51.602124478338297</v>
      </c>
      <c r="G31" s="24">
        <v>52.180995125882603</v>
      </c>
    </row>
    <row r="32" spans="1:7">
      <c r="A32" s="9" t="s">
        <v>197</v>
      </c>
      <c r="B32" s="15">
        <v>4.1253475875738896</v>
      </c>
      <c r="C32" s="15">
        <v>2.9839221363703001</v>
      </c>
      <c r="D32" s="15">
        <v>3.23042994245082</v>
      </c>
      <c r="E32" s="15">
        <v>3.23042994245082</v>
      </c>
      <c r="F32" s="15">
        <v>3.7310655252556701</v>
      </c>
      <c r="G32" s="24">
        <v>4.1253475875738896</v>
      </c>
    </row>
    <row r="33" spans="1:7">
      <c r="A33" s="9" t="s">
        <v>340</v>
      </c>
      <c r="B33" s="15">
        <v>5.3935465557361004</v>
      </c>
      <c r="C33" s="15">
        <v>2.7474603234128399</v>
      </c>
      <c r="D33" s="15">
        <v>4.0484726960663799</v>
      </c>
      <c r="E33" s="15">
        <v>4.0101682249461001</v>
      </c>
      <c r="F33" s="15">
        <v>4.4736986615552903</v>
      </c>
      <c r="G33" s="24">
        <v>4.8654699962189802</v>
      </c>
    </row>
    <row r="34" spans="1:7">
      <c r="A34" s="9" t="s">
        <v>341</v>
      </c>
      <c r="B34" s="15">
        <v>59.057733921474103</v>
      </c>
      <c r="C34" s="15">
        <v>36.7662155900789</v>
      </c>
      <c r="D34" s="15">
        <v>49.986437032836598</v>
      </c>
      <c r="E34" s="15">
        <v>48.682607056151603</v>
      </c>
      <c r="F34" s="15">
        <v>52.199830218873501</v>
      </c>
      <c r="G34" s="24">
        <v>51.029743718688501</v>
      </c>
    </row>
    <row r="35" spans="1:7">
      <c r="A35" s="9" t="s">
        <v>204</v>
      </c>
      <c r="B35" s="15">
        <v>2.68543749502357</v>
      </c>
      <c r="C35" s="15">
        <v>1.2737453871631499</v>
      </c>
      <c r="D35" s="15">
        <v>1.6463083213530301</v>
      </c>
      <c r="E35" s="15">
        <v>1.8538938422629501</v>
      </c>
      <c r="F35" s="15">
        <v>2.38394423846393</v>
      </c>
      <c r="G35" s="24">
        <v>2.29390813752959</v>
      </c>
    </row>
    <row r="36" spans="1:7">
      <c r="A36" s="9" t="s">
        <v>205</v>
      </c>
      <c r="B36" s="15">
        <v>4.2973120516551901</v>
      </c>
      <c r="C36" s="15">
        <v>0.75437669770152604</v>
      </c>
      <c r="D36" s="15">
        <v>2.2175730627781198</v>
      </c>
      <c r="E36" s="15">
        <v>2.3335767362277799</v>
      </c>
      <c r="F36" s="15">
        <v>3.46690182675998</v>
      </c>
      <c r="G36" s="24">
        <v>3.7468316568130602</v>
      </c>
    </row>
    <row r="37" spans="1:7">
      <c r="A37" s="9" t="s">
        <v>342</v>
      </c>
      <c r="B37" s="15">
        <v>1.3261106646480501</v>
      </c>
      <c r="C37" s="15">
        <v>0.223030872168095</v>
      </c>
      <c r="D37" s="15">
        <v>0.79775925708546902</v>
      </c>
      <c r="E37" s="15">
        <v>0.79775925708546902</v>
      </c>
      <c r="F37" s="15">
        <v>1.2322029289983301</v>
      </c>
      <c r="G37" s="24">
        <v>1.24394139595454</v>
      </c>
    </row>
    <row r="38" spans="1:7">
      <c r="A38" s="40" t="s">
        <v>343</v>
      </c>
      <c r="B38" s="15"/>
      <c r="C38" s="15"/>
      <c r="D38" s="15"/>
      <c r="E38" s="15"/>
      <c r="F38" s="15"/>
      <c r="G38" s="24"/>
    </row>
    <row r="39" spans="1:7">
      <c r="A39" s="9" t="s">
        <v>167</v>
      </c>
      <c r="B39" s="15">
        <v>83.309226168519601</v>
      </c>
      <c r="C39" s="15">
        <v>64.830571333413502</v>
      </c>
      <c r="D39" s="15">
        <v>78.188809388159498</v>
      </c>
      <c r="E39" s="15">
        <v>75.408597961941197</v>
      </c>
      <c r="F39" s="15">
        <v>74.733136916286</v>
      </c>
      <c r="G39" s="24">
        <v>74.744750346773799</v>
      </c>
    </row>
    <row r="40" spans="1:7">
      <c r="A40" s="9" t="s">
        <v>176</v>
      </c>
      <c r="B40" s="15">
        <v>80.856545933178893</v>
      </c>
      <c r="C40" s="15">
        <v>64.114773741682697</v>
      </c>
      <c r="D40" s="15">
        <v>76.104858901892499</v>
      </c>
      <c r="E40" s="15">
        <v>73.831893985080498</v>
      </c>
      <c r="F40" s="15">
        <v>73.754027654365004</v>
      </c>
      <c r="G40" s="24">
        <v>73.185630265558999</v>
      </c>
    </row>
    <row r="41" spans="1:7">
      <c r="A41" s="9" t="s">
        <v>344</v>
      </c>
      <c r="B41" s="15">
        <v>3.2043180813122101</v>
      </c>
      <c r="C41" s="15">
        <v>1.4175128366244401</v>
      </c>
      <c r="D41" s="15">
        <v>2.6399449463383799</v>
      </c>
      <c r="E41" s="15">
        <v>2.4563769466349301</v>
      </c>
      <c r="F41" s="15">
        <v>2.7968954573735698</v>
      </c>
      <c r="G41" s="24">
        <v>2.8848309905367899</v>
      </c>
    </row>
    <row r="42" spans="1:7">
      <c r="A42" s="40" t="s">
        <v>345</v>
      </c>
      <c r="B42" s="15"/>
      <c r="C42" s="15"/>
      <c r="D42" s="15"/>
      <c r="E42" s="15"/>
      <c r="F42" s="15"/>
      <c r="G42" s="24"/>
    </row>
    <row r="43" spans="1:7">
      <c r="A43" s="9" t="s">
        <v>346</v>
      </c>
      <c r="B43" s="15">
        <v>23.312177424714299</v>
      </c>
      <c r="C43" s="15">
        <v>2.8240148179487901</v>
      </c>
      <c r="D43" s="15">
        <v>3.8134409910474498</v>
      </c>
      <c r="E43" s="15">
        <v>5.0519482424117701</v>
      </c>
      <c r="F43" s="15">
        <v>13.6310472241911</v>
      </c>
      <c r="G43" s="24">
        <v>21.6873137759491</v>
      </c>
    </row>
    <row r="44" spans="1:7">
      <c r="A44" s="9" t="s">
        <v>347</v>
      </c>
      <c r="B44" s="15">
        <v>17.481965176904101</v>
      </c>
      <c r="C44" s="15">
        <v>1.6480522179202599</v>
      </c>
      <c r="D44" s="15">
        <v>2.6308856100049498</v>
      </c>
      <c r="E44" s="15">
        <v>4.2282688981417804</v>
      </c>
      <c r="F44" s="15">
        <v>10.345905722752301</v>
      </c>
      <c r="G44" s="24">
        <v>16.458652811695099</v>
      </c>
    </row>
    <row r="45" spans="1:7">
      <c r="A45" s="9" t="s">
        <v>163</v>
      </c>
      <c r="B45" s="15">
        <v>29.460946340959499</v>
      </c>
      <c r="C45" s="15">
        <v>4.9357008135191798</v>
      </c>
      <c r="D45" s="15">
        <v>6.2892979148566299</v>
      </c>
      <c r="E45" s="15">
        <v>8.2513509548725299</v>
      </c>
      <c r="F45" s="15">
        <v>18.976661151297598</v>
      </c>
      <c r="G45" s="24">
        <v>27.8967501915401</v>
      </c>
    </row>
    <row r="46" spans="1:7">
      <c r="A46" s="9" t="s">
        <v>184</v>
      </c>
      <c r="B46" s="15">
        <v>3.85867962998958</v>
      </c>
      <c r="C46" s="15">
        <v>0.529535287135945</v>
      </c>
      <c r="D46" s="15">
        <v>0.529535287135945</v>
      </c>
      <c r="E46" s="15">
        <v>0.70884393420396496</v>
      </c>
      <c r="F46" s="15">
        <v>2.0776769024725601</v>
      </c>
      <c r="G46" s="24">
        <v>3.4739478111877902</v>
      </c>
    </row>
    <row r="47" spans="1:7">
      <c r="A47" s="9" t="s">
        <v>348</v>
      </c>
      <c r="B47" s="15">
        <v>39.414318173864302</v>
      </c>
      <c r="C47" s="15">
        <v>17.730520739782602</v>
      </c>
      <c r="D47" s="15">
        <v>21.718477330806898</v>
      </c>
      <c r="E47" s="15">
        <v>23.881955896817001</v>
      </c>
      <c r="F47" s="15">
        <v>32.0718264859348</v>
      </c>
      <c r="G47" s="24">
        <v>37.206839434202202</v>
      </c>
    </row>
    <row r="48" spans="1:7">
      <c r="A48" s="9" t="s">
        <v>349</v>
      </c>
      <c r="B48" s="15">
        <v>1.9387367931025801</v>
      </c>
      <c r="C48" s="15">
        <v>0.150643659271433</v>
      </c>
      <c r="D48" s="15">
        <v>0.150643659271433</v>
      </c>
      <c r="E48" s="15">
        <v>0.150643659271433</v>
      </c>
      <c r="F48" s="15">
        <v>0.56060189504163005</v>
      </c>
      <c r="G48" s="24">
        <v>1.9387367931025801</v>
      </c>
    </row>
    <row r="49" spans="1:7">
      <c r="A49" s="9" t="s">
        <v>182</v>
      </c>
      <c r="B49" s="15">
        <v>13.088477522956399</v>
      </c>
      <c r="C49" s="15">
        <v>3.1606436503934798</v>
      </c>
      <c r="D49" s="15">
        <v>4.2035747044415501</v>
      </c>
      <c r="E49" s="15">
        <v>6.1184005174232601</v>
      </c>
      <c r="F49" s="15">
        <v>10.152197334608701</v>
      </c>
      <c r="G49" s="24">
        <v>12.385791267465599</v>
      </c>
    </row>
    <row r="50" spans="1:7">
      <c r="A50" s="9" t="s">
        <v>186</v>
      </c>
      <c r="B50" s="15">
        <v>9.8544781957624004</v>
      </c>
      <c r="C50" s="15">
        <v>0.63348228508458604</v>
      </c>
      <c r="D50" s="15">
        <v>0.94403378588211095</v>
      </c>
      <c r="E50" s="15">
        <v>1.4905557544157799</v>
      </c>
      <c r="F50" s="15">
        <v>5.4350869458376403</v>
      </c>
      <c r="G50" s="24">
        <v>8.8655698962059297</v>
      </c>
    </row>
    <row r="51" spans="1:7">
      <c r="A51" s="9" t="s">
        <v>187</v>
      </c>
      <c r="B51" s="15">
        <v>1.70384138294877</v>
      </c>
      <c r="C51" s="15">
        <v>0.57528784986294801</v>
      </c>
      <c r="D51" s="15">
        <v>1.3496279940945399</v>
      </c>
      <c r="E51" s="15">
        <v>1.22180913168242</v>
      </c>
      <c r="F51" s="15">
        <v>1.21920058346993</v>
      </c>
      <c r="G51" s="24">
        <v>1.1977830297252501</v>
      </c>
    </row>
    <row r="52" spans="1:7">
      <c r="A52" s="9" t="s">
        <v>189</v>
      </c>
      <c r="B52" s="15">
        <v>0.38150017607700398</v>
      </c>
      <c r="C52" s="15">
        <v>0</v>
      </c>
      <c r="D52" s="15">
        <v>0.24455139492115699</v>
      </c>
      <c r="E52" s="15">
        <v>0.24455139492115699</v>
      </c>
      <c r="F52" s="15">
        <v>0.38150017607700398</v>
      </c>
      <c r="G52" s="24">
        <v>0.38150017607700398</v>
      </c>
    </row>
    <row r="53" spans="1:7">
      <c r="A53" s="9" t="s">
        <v>194</v>
      </c>
      <c r="B53" s="15">
        <v>2.2076033267970998</v>
      </c>
      <c r="C53" s="15">
        <v>0.32174070793627102</v>
      </c>
      <c r="D53" s="15">
        <v>0.708478046193741</v>
      </c>
      <c r="E53" s="15">
        <v>0.83414869243087097</v>
      </c>
      <c r="F53" s="15">
        <v>1.60517033033829</v>
      </c>
      <c r="G53" s="24">
        <v>2.2076033267970998</v>
      </c>
    </row>
    <row r="54" spans="1:7">
      <c r="A54" s="9" t="s">
        <v>195</v>
      </c>
      <c r="B54" s="15">
        <v>1.5323676213266699</v>
      </c>
      <c r="C54" s="15">
        <v>0.44084464791120498</v>
      </c>
      <c r="D54" s="15">
        <v>0.93712952608857103</v>
      </c>
      <c r="E54" s="15">
        <v>1.01929879478208</v>
      </c>
      <c r="F54" s="15">
        <v>1.2589591618048099</v>
      </c>
      <c r="G54" s="24">
        <v>1.5323676213266699</v>
      </c>
    </row>
    <row r="55" spans="1:7">
      <c r="A55" s="9" t="s">
        <v>350</v>
      </c>
      <c r="B55" s="15">
        <v>0.65288212630685505</v>
      </c>
      <c r="C55" s="15">
        <v>0.18596202914846699</v>
      </c>
      <c r="D55" s="15">
        <v>0.18596202914846699</v>
      </c>
      <c r="E55" s="15">
        <v>0.36294199248833198</v>
      </c>
      <c r="F55" s="15">
        <v>0.53549745674469995</v>
      </c>
      <c r="G55" s="24">
        <v>0.56249593074399495</v>
      </c>
    </row>
    <row r="56" spans="1:7">
      <c r="A56" s="11" t="s">
        <v>198</v>
      </c>
      <c r="B56" s="16">
        <v>3.2543429825166101</v>
      </c>
      <c r="C56" s="16">
        <v>0.47247329498767499</v>
      </c>
      <c r="D56" s="16">
        <v>0.76006573541495503</v>
      </c>
      <c r="E56" s="16">
        <v>1.27599393211554</v>
      </c>
      <c r="F56" s="16">
        <v>2.24225504682193</v>
      </c>
      <c r="G56" s="25">
        <v>2.79774407632206</v>
      </c>
    </row>
    <row r="57" spans="1:7" ht="30" customHeight="1">
      <c r="A57" t="s">
        <v>94</v>
      </c>
    </row>
    <row r="58" spans="1:7">
      <c r="A58" t="s">
        <v>312</v>
      </c>
    </row>
    <row r="59" spans="1:7">
      <c r="A59" t="s">
        <v>313</v>
      </c>
    </row>
    <row r="60" spans="1:7">
      <c r="A60" t="s">
        <v>314</v>
      </c>
    </row>
    <row r="61" spans="1:7">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61"/>
  <sheetViews>
    <sheetView zoomScale="70" workbookViewId="0"/>
  </sheetViews>
  <sheetFormatPr defaultColWidth="10.90625" defaultRowHeight="15"/>
  <cols>
    <col min="1" max="1" width="77.6796875" customWidth="1"/>
    <col min="2" max="5" width="15.90625" customWidth="1"/>
  </cols>
  <sheetData>
    <row r="1" spans="1:5" ht="39.9" customHeight="1">
      <c r="A1" s="10" t="s">
        <v>351</v>
      </c>
      <c r="B1" s="12"/>
      <c r="C1" s="12"/>
      <c r="D1" s="12"/>
      <c r="E1" s="12"/>
    </row>
    <row r="2" spans="1:5" ht="60">
      <c r="A2" s="7" t="s">
        <v>2</v>
      </c>
      <c r="B2" s="6" t="s">
        <v>316</v>
      </c>
      <c r="C2" s="6" t="s">
        <v>352</v>
      </c>
      <c r="D2" s="6" t="s">
        <v>353</v>
      </c>
      <c r="E2" s="8" t="s">
        <v>354</v>
      </c>
    </row>
    <row r="3" spans="1:5">
      <c r="A3" s="40" t="s">
        <v>322</v>
      </c>
      <c r="B3" s="15"/>
      <c r="C3" s="15"/>
      <c r="D3" s="15"/>
      <c r="E3" s="24"/>
    </row>
    <row r="4" spans="1:5">
      <c r="A4" s="9" t="s">
        <v>323</v>
      </c>
      <c r="B4" s="15">
        <v>4.8645805744066699</v>
      </c>
      <c r="C4" s="15">
        <v>4.8645805744066699</v>
      </c>
      <c r="D4" s="15">
        <v>0</v>
      </c>
      <c r="E4" s="24">
        <v>0</v>
      </c>
    </row>
    <row r="5" spans="1:5">
      <c r="A5" s="9" t="s">
        <v>324</v>
      </c>
      <c r="B5" s="15">
        <v>18.156443870616901</v>
      </c>
      <c r="C5" s="15">
        <v>17.8191173991383</v>
      </c>
      <c r="D5" s="15">
        <v>0.55302080179907498</v>
      </c>
      <c r="E5" s="24">
        <v>0.55302080179907498</v>
      </c>
    </row>
    <row r="6" spans="1:5">
      <c r="A6" s="9" t="s">
        <v>325</v>
      </c>
      <c r="B6" s="15">
        <v>17.196924165339201</v>
      </c>
      <c r="C6" s="15">
        <v>16.716388396994802</v>
      </c>
      <c r="D6" s="15">
        <v>0.480535768344444</v>
      </c>
      <c r="E6" s="24">
        <v>0.480535768344444</v>
      </c>
    </row>
    <row r="7" spans="1:5">
      <c r="A7" s="9" t="s">
        <v>166</v>
      </c>
      <c r="B7" s="15">
        <v>4.2724191096260196</v>
      </c>
      <c r="C7" s="15">
        <v>4.2724191096260196</v>
      </c>
      <c r="D7" s="15">
        <v>0</v>
      </c>
      <c r="E7" s="24">
        <v>0</v>
      </c>
    </row>
    <row r="8" spans="1:5">
      <c r="A8" s="9" t="s">
        <v>326</v>
      </c>
      <c r="B8" s="15">
        <v>16.893552416554702</v>
      </c>
      <c r="C8" s="15">
        <v>16.337107895226801</v>
      </c>
      <c r="D8" s="15">
        <v>0.98481225297280595</v>
      </c>
      <c r="E8" s="24">
        <v>0.98481225297280595</v>
      </c>
    </row>
    <row r="9" spans="1:5">
      <c r="A9" s="9" t="s">
        <v>327</v>
      </c>
      <c r="B9" s="15">
        <v>2.2731378226448098</v>
      </c>
      <c r="C9" s="15">
        <v>2.0677146509110398</v>
      </c>
      <c r="D9" s="15">
        <v>0.29101615995617602</v>
      </c>
      <c r="E9" s="24">
        <v>0.29101615995617602</v>
      </c>
    </row>
    <row r="10" spans="1:5">
      <c r="A10" s="9" t="s">
        <v>328</v>
      </c>
      <c r="B10" s="15">
        <v>5.9567802340818004</v>
      </c>
      <c r="C10" s="15">
        <v>5.9567802340818004</v>
      </c>
      <c r="D10" s="15">
        <v>0</v>
      </c>
      <c r="E10" s="24">
        <v>0</v>
      </c>
    </row>
    <row r="11" spans="1:5">
      <c r="A11" s="9" t="s">
        <v>329</v>
      </c>
      <c r="B11" s="15">
        <v>9.39077356497241E-2</v>
      </c>
      <c r="C11" s="15">
        <v>9.39077356497241E-2</v>
      </c>
      <c r="D11" s="15">
        <v>0</v>
      </c>
      <c r="E11" s="24">
        <v>0</v>
      </c>
    </row>
    <row r="12" spans="1:5">
      <c r="A12" s="9" t="s">
        <v>330</v>
      </c>
      <c r="B12" s="15">
        <v>9.3338720349800504</v>
      </c>
      <c r="C12" s="15">
        <v>8.9973693155685392</v>
      </c>
      <c r="D12" s="15">
        <v>0.57616308643424496</v>
      </c>
      <c r="E12" s="24">
        <v>0.57616308643424496</v>
      </c>
    </row>
    <row r="13" spans="1:5">
      <c r="A13" s="9" t="s">
        <v>331</v>
      </c>
      <c r="B13" s="15">
        <v>0.68583912159572802</v>
      </c>
      <c r="C13" s="15">
        <v>0.68583912159572802</v>
      </c>
      <c r="D13" s="15">
        <v>0</v>
      </c>
      <c r="E13" s="24">
        <v>0</v>
      </c>
    </row>
    <row r="14" spans="1:5">
      <c r="A14" s="9" t="s">
        <v>332</v>
      </c>
      <c r="B14" s="15">
        <v>9.3539651630907894</v>
      </c>
      <c r="C14" s="15">
        <v>9.2631464976927003</v>
      </c>
      <c r="D14" s="15">
        <v>0.17641165362049299</v>
      </c>
      <c r="E14" s="24">
        <v>0.17641165362049299</v>
      </c>
    </row>
    <row r="15" spans="1:5">
      <c r="A15" s="40" t="s">
        <v>333</v>
      </c>
      <c r="B15" s="15"/>
      <c r="C15" s="15"/>
      <c r="D15" s="15"/>
      <c r="E15" s="24"/>
    </row>
    <row r="16" spans="1:5">
      <c r="A16" s="9" t="s">
        <v>153</v>
      </c>
      <c r="B16" s="15">
        <v>21.8658415552901</v>
      </c>
      <c r="C16" s="15">
        <v>20.858289808214899</v>
      </c>
      <c r="D16" s="15">
        <v>1.31715381304535</v>
      </c>
      <c r="E16" s="24">
        <v>1.31715381304535</v>
      </c>
    </row>
    <row r="17" spans="1:5">
      <c r="A17" s="9" t="s">
        <v>154</v>
      </c>
      <c r="B17" s="15">
        <v>2.72342454966835</v>
      </c>
      <c r="C17" s="15">
        <v>2.72342454966835</v>
      </c>
      <c r="D17" s="15">
        <v>0</v>
      </c>
      <c r="E17" s="24">
        <v>0</v>
      </c>
    </row>
    <row r="18" spans="1:5">
      <c r="A18" s="9" t="s">
        <v>334</v>
      </c>
      <c r="B18" s="15">
        <v>16.2966708710665</v>
      </c>
      <c r="C18" s="15">
        <v>15.625621843402801</v>
      </c>
      <c r="D18" s="15">
        <v>0.79886789007577796</v>
      </c>
      <c r="E18" s="24">
        <v>0.79886789007577796</v>
      </c>
    </row>
    <row r="19" spans="1:5">
      <c r="A19" s="9" t="s">
        <v>155</v>
      </c>
      <c r="B19" s="15">
        <v>10.992047124749201</v>
      </c>
      <c r="C19" s="15">
        <v>10.772929074899899</v>
      </c>
      <c r="D19" s="15">
        <v>0.56263124258194097</v>
      </c>
      <c r="E19" s="24">
        <v>0.56263124258194097</v>
      </c>
    </row>
    <row r="20" spans="1:5">
      <c r="A20" s="9" t="s">
        <v>335</v>
      </c>
      <c r="B20" s="15">
        <v>1.0975436319059</v>
      </c>
      <c r="C20" s="15">
        <v>1.0975436319059</v>
      </c>
      <c r="D20" s="15">
        <v>0</v>
      </c>
      <c r="E20" s="24">
        <v>0</v>
      </c>
    </row>
    <row r="21" spans="1:5">
      <c r="A21" s="9" t="s">
        <v>164</v>
      </c>
      <c r="B21" s="15">
        <v>23.994677827394</v>
      </c>
      <c r="C21" s="15">
        <v>23.004733780753199</v>
      </c>
      <c r="D21" s="15">
        <v>0.98994404664084201</v>
      </c>
      <c r="E21" s="24">
        <v>0.86473373244120999</v>
      </c>
    </row>
    <row r="22" spans="1:5">
      <c r="A22" s="9" t="s">
        <v>166</v>
      </c>
      <c r="B22" s="15">
        <v>4.2724191096260196</v>
      </c>
      <c r="C22" s="15">
        <v>4.2724191096260196</v>
      </c>
      <c r="D22" s="15">
        <v>0</v>
      </c>
      <c r="E22" s="24">
        <v>0</v>
      </c>
    </row>
    <row r="23" spans="1:5">
      <c r="A23" s="9" t="s">
        <v>168</v>
      </c>
      <c r="B23" s="15">
        <v>13.2455903834891</v>
      </c>
      <c r="C23" s="15">
        <v>13.0264723336398</v>
      </c>
      <c r="D23" s="15">
        <v>0.21911804984935601</v>
      </c>
      <c r="E23" s="24">
        <v>0.21911804984935601</v>
      </c>
    </row>
    <row r="24" spans="1:5">
      <c r="A24" s="9" t="s">
        <v>173</v>
      </c>
      <c r="B24" s="15">
        <v>52.694585030955601</v>
      </c>
      <c r="C24" s="15">
        <v>47.861148717954102</v>
      </c>
      <c r="D24" s="15">
        <v>6.7309544800348498</v>
      </c>
      <c r="E24" s="24">
        <v>7.94395219413218</v>
      </c>
    </row>
    <row r="25" spans="1:5">
      <c r="A25" s="9" t="s">
        <v>175</v>
      </c>
      <c r="B25" s="15">
        <v>1.7609043069432599</v>
      </c>
      <c r="C25" s="15">
        <v>1.7609043069432599</v>
      </c>
      <c r="D25" s="15">
        <v>8.5592988222404798E-2</v>
      </c>
      <c r="E25" s="24">
        <v>8.5592988222404798E-2</v>
      </c>
    </row>
    <row r="26" spans="1:5">
      <c r="A26" s="9" t="s">
        <v>336</v>
      </c>
      <c r="B26" s="15">
        <v>12.6397679273222</v>
      </c>
      <c r="C26" s="15">
        <v>12.0833234059942</v>
      </c>
      <c r="D26" s="15">
        <v>0.52563104556790496</v>
      </c>
      <c r="E26" s="24">
        <v>0.77213885164843099</v>
      </c>
    </row>
    <row r="27" spans="1:5">
      <c r="A27" s="9" t="s">
        <v>181</v>
      </c>
      <c r="B27" s="15">
        <v>0.65344132722933101</v>
      </c>
      <c r="C27" s="15">
        <v>0.65344132722933101</v>
      </c>
      <c r="D27" s="15">
        <v>0</v>
      </c>
      <c r="E27" s="24">
        <v>0</v>
      </c>
    </row>
    <row r="28" spans="1:5">
      <c r="A28" s="9" t="s">
        <v>337</v>
      </c>
      <c r="B28" s="15">
        <v>23.296778989796</v>
      </c>
      <c r="C28" s="15">
        <v>22.599836285022999</v>
      </c>
      <c r="D28" s="15">
        <v>1.21559204777213</v>
      </c>
      <c r="E28" s="24">
        <v>1.34126269400926</v>
      </c>
    </row>
    <row r="29" spans="1:5">
      <c r="A29" s="9" t="s">
        <v>185</v>
      </c>
      <c r="B29" s="15">
        <v>36.785445086633601</v>
      </c>
      <c r="C29" s="15">
        <v>32.817385259364301</v>
      </c>
      <c r="D29" s="15">
        <v>1.4529573940117599</v>
      </c>
      <c r="E29" s="24">
        <v>4.5091791278488502</v>
      </c>
    </row>
    <row r="30" spans="1:5">
      <c r="A30" s="9" t="s">
        <v>338</v>
      </c>
      <c r="B30" s="15">
        <v>4.8690237541833001</v>
      </c>
      <c r="C30" s="15">
        <v>4.1797801027375101</v>
      </c>
      <c r="D30" s="15">
        <v>0.68924365144578803</v>
      </c>
      <c r="E30" s="24">
        <v>0.58066283210079395</v>
      </c>
    </row>
    <row r="31" spans="1:5">
      <c r="A31" s="9" t="s">
        <v>339</v>
      </c>
      <c r="B31" s="15">
        <v>29.044524074968699</v>
      </c>
      <c r="C31" s="15">
        <v>25.474391976963901</v>
      </c>
      <c r="D31" s="15">
        <v>4.35326238654857</v>
      </c>
      <c r="E31" s="24">
        <v>3.8261378223181</v>
      </c>
    </row>
    <row r="32" spans="1:5">
      <c r="A32" s="9" t="s">
        <v>197</v>
      </c>
      <c r="B32" s="15">
        <v>0.36976170912078898</v>
      </c>
      <c r="C32" s="15">
        <v>0.36976170912078898</v>
      </c>
      <c r="D32" s="15">
        <v>0</v>
      </c>
      <c r="E32" s="24">
        <v>0</v>
      </c>
    </row>
    <row r="33" spans="1:5">
      <c r="A33" s="9" t="s">
        <v>340</v>
      </c>
      <c r="B33" s="15">
        <v>1.85798009598987</v>
      </c>
      <c r="C33" s="15">
        <v>1.85798009598987</v>
      </c>
      <c r="D33" s="15">
        <v>0</v>
      </c>
      <c r="E33" s="24">
        <v>0</v>
      </c>
    </row>
    <row r="34" spans="1:5">
      <c r="A34" s="9" t="s">
        <v>341</v>
      </c>
      <c r="B34" s="15">
        <v>11.5358429580773</v>
      </c>
      <c r="C34" s="15">
        <v>10.9136630217945</v>
      </c>
      <c r="D34" s="15">
        <v>0.52905476509680105</v>
      </c>
      <c r="E34" s="24">
        <v>0.62217993628277801</v>
      </c>
    </row>
    <row r="35" spans="1:5">
      <c r="A35" s="9" t="s">
        <v>204</v>
      </c>
      <c r="B35" s="15">
        <v>1.03759295527232</v>
      </c>
      <c r="C35" s="15">
        <v>1.03759295527232</v>
      </c>
      <c r="D35" s="15">
        <v>0</v>
      </c>
      <c r="E35" s="24">
        <v>0</v>
      </c>
    </row>
    <row r="36" spans="1:5">
      <c r="A36" s="9" t="s">
        <v>205</v>
      </c>
      <c r="B36" s="15">
        <v>0.63485542121532301</v>
      </c>
      <c r="C36" s="15">
        <v>0.63485542121532301</v>
      </c>
      <c r="D36" s="15">
        <v>0</v>
      </c>
      <c r="E36" s="24">
        <v>0</v>
      </c>
    </row>
    <row r="37" spans="1:5">
      <c r="A37" s="9" t="s">
        <v>342</v>
      </c>
      <c r="B37" s="15">
        <v>0.20175490080995401</v>
      </c>
      <c r="C37" s="15">
        <v>0.20175490080995401</v>
      </c>
      <c r="D37" s="15">
        <v>0</v>
      </c>
      <c r="E37" s="24">
        <v>0</v>
      </c>
    </row>
    <row r="38" spans="1:5">
      <c r="A38" s="40" t="s">
        <v>343</v>
      </c>
      <c r="B38" s="15"/>
      <c r="C38" s="15"/>
      <c r="D38" s="15"/>
      <c r="E38" s="24"/>
    </row>
    <row r="39" spans="1:5">
      <c r="A39" s="9" t="s">
        <v>167</v>
      </c>
      <c r="B39" s="15">
        <v>18.555006619201698</v>
      </c>
      <c r="C39" s="15">
        <v>17.926509534254301</v>
      </c>
      <c r="D39" s="15">
        <v>0.32036232734671499</v>
      </c>
      <c r="E39" s="24">
        <v>0.71409007316977702</v>
      </c>
    </row>
    <row r="40" spans="1:5">
      <c r="A40" s="9" t="s">
        <v>176</v>
      </c>
      <c r="B40" s="15">
        <v>10.9911062124322</v>
      </c>
      <c r="C40" s="15">
        <v>10.771988162582799</v>
      </c>
      <c r="D40" s="15">
        <v>0.65653897823166496</v>
      </c>
      <c r="E40" s="24">
        <v>0.65653897823166496</v>
      </c>
    </row>
    <row r="41" spans="1:5">
      <c r="A41" s="9" t="s">
        <v>344</v>
      </c>
      <c r="B41" s="15">
        <v>0.31840591618734598</v>
      </c>
      <c r="C41" s="15">
        <v>0.31840591618734598</v>
      </c>
      <c r="D41" s="15">
        <v>0</v>
      </c>
      <c r="E41" s="24">
        <v>0</v>
      </c>
    </row>
    <row r="42" spans="1:5">
      <c r="A42" s="40" t="s">
        <v>345</v>
      </c>
      <c r="B42" s="15"/>
      <c r="C42" s="15"/>
      <c r="D42" s="15"/>
      <c r="E42" s="24"/>
    </row>
    <row r="43" spans="1:5">
      <c r="A43" s="9" t="s">
        <v>346</v>
      </c>
      <c r="B43" s="15">
        <v>1.9097943127938699</v>
      </c>
      <c r="C43" s="15">
        <v>1.9097943127938699</v>
      </c>
      <c r="D43" s="15">
        <v>0</v>
      </c>
      <c r="E43" s="24">
        <v>0</v>
      </c>
    </row>
    <row r="44" spans="1:5">
      <c r="A44" s="9" t="s">
        <v>347</v>
      </c>
      <c r="B44" s="15">
        <v>1.87794019775673</v>
      </c>
      <c r="C44" s="15">
        <v>1.87794019775673</v>
      </c>
      <c r="D44" s="15">
        <v>0</v>
      </c>
      <c r="E44" s="24">
        <v>0</v>
      </c>
    </row>
    <row r="45" spans="1:5">
      <c r="A45" s="9" t="s">
        <v>163</v>
      </c>
      <c r="B45" s="15">
        <v>3.2060706864060302</v>
      </c>
      <c r="C45" s="15">
        <v>3.2060706864060302</v>
      </c>
      <c r="D45" s="15">
        <v>0</v>
      </c>
      <c r="E45" s="24">
        <v>0</v>
      </c>
    </row>
    <row r="46" spans="1:5">
      <c r="A46" s="9" t="s">
        <v>184</v>
      </c>
      <c r="B46" s="15">
        <v>0.102711585866886</v>
      </c>
      <c r="C46" s="15">
        <v>0.102711585866886</v>
      </c>
      <c r="D46" s="15">
        <v>0</v>
      </c>
      <c r="E46" s="24">
        <v>0</v>
      </c>
    </row>
    <row r="47" spans="1:5">
      <c r="A47" s="9" t="s">
        <v>348</v>
      </c>
      <c r="B47" s="15">
        <v>2.7767164966948199</v>
      </c>
      <c r="C47" s="15">
        <v>2.7767164966948199</v>
      </c>
      <c r="D47" s="15">
        <v>0</v>
      </c>
      <c r="E47" s="24">
        <v>0</v>
      </c>
    </row>
    <row r="48" spans="1:5">
      <c r="A48" s="9" t="s">
        <v>349</v>
      </c>
      <c r="B48" s="15">
        <v>0</v>
      </c>
      <c r="C48" s="15">
        <v>0</v>
      </c>
      <c r="D48" s="15">
        <v>0</v>
      </c>
      <c r="E48" s="24">
        <v>0</v>
      </c>
    </row>
    <row r="49" spans="1:5">
      <c r="A49" s="9" t="s">
        <v>182</v>
      </c>
      <c r="B49" s="15">
        <v>0.33294560821265801</v>
      </c>
      <c r="C49" s="15">
        <v>0.33294560821265801</v>
      </c>
      <c r="D49" s="15">
        <v>0</v>
      </c>
      <c r="E49" s="24">
        <v>0</v>
      </c>
    </row>
    <row r="50" spans="1:5">
      <c r="A50" s="9" t="s">
        <v>186</v>
      </c>
      <c r="B50" s="15">
        <v>0.3329613013503</v>
      </c>
      <c r="C50" s="15">
        <v>0.3329613013503</v>
      </c>
      <c r="D50" s="15">
        <v>0</v>
      </c>
      <c r="E50" s="24">
        <v>0</v>
      </c>
    </row>
    <row r="51" spans="1:5">
      <c r="A51" s="9" t="s">
        <v>187</v>
      </c>
      <c r="B51" s="15">
        <v>1.0376843150297601</v>
      </c>
      <c r="C51" s="15">
        <v>1.0376843150297601</v>
      </c>
      <c r="D51" s="15">
        <v>0</v>
      </c>
      <c r="E51" s="24">
        <v>0</v>
      </c>
    </row>
    <row r="52" spans="1:5">
      <c r="A52" s="9" t="s">
        <v>189</v>
      </c>
      <c r="B52" s="15">
        <v>0.13694878115584799</v>
      </c>
      <c r="C52" s="15">
        <v>0.13694878115584799</v>
      </c>
      <c r="D52" s="15">
        <v>0</v>
      </c>
      <c r="E52" s="24">
        <v>0</v>
      </c>
    </row>
    <row r="53" spans="1:5">
      <c r="A53" s="9" t="s">
        <v>194</v>
      </c>
      <c r="B53" s="15">
        <v>0.32174070793627102</v>
      </c>
      <c r="C53" s="15">
        <v>0.32174070793627102</v>
      </c>
      <c r="D53" s="15">
        <v>0</v>
      </c>
      <c r="E53" s="24">
        <v>0</v>
      </c>
    </row>
    <row r="54" spans="1:5">
      <c r="A54" s="9" t="s">
        <v>195</v>
      </c>
      <c r="B54" s="15">
        <v>0.28367961810854198</v>
      </c>
      <c r="C54" s="15">
        <v>0.28367961810854198</v>
      </c>
      <c r="D54" s="15">
        <v>0</v>
      </c>
      <c r="E54" s="24">
        <v>0</v>
      </c>
    </row>
    <row r="55" spans="1:5">
      <c r="A55" s="9" t="s">
        <v>350</v>
      </c>
      <c r="B55" s="15">
        <v>0.103792760454958</v>
      </c>
      <c r="C55" s="15">
        <v>0.103792760454958</v>
      </c>
      <c r="D55" s="15">
        <v>0</v>
      </c>
      <c r="E55" s="24">
        <v>0</v>
      </c>
    </row>
    <row r="56" spans="1:5">
      <c r="A56" s="11" t="s">
        <v>198</v>
      </c>
      <c r="B56" s="16">
        <v>0.16433853738701701</v>
      </c>
      <c r="C56" s="16">
        <v>0.16433853738701701</v>
      </c>
      <c r="D56" s="16">
        <v>0</v>
      </c>
      <c r="E56" s="25">
        <v>0</v>
      </c>
    </row>
    <row r="57" spans="1:5" ht="30" customHeight="1">
      <c r="A57" t="s">
        <v>94</v>
      </c>
    </row>
    <row r="58" spans="1:5">
      <c r="A58" t="s">
        <v>312</v>
      </c>
    </row>
    <row r="59" spans="1:5">
      <c r="A59" t="s">
        <v>313</v>
      </c>
    </row>
    <row r="60" spans="1:5">
      <c r="A60" t="s">
        <v>314</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9"/>
  <sheetViews>
    <sheetView zoomScale="70" workbookViewId="0"/>
  </sheetViews>
  <sheetFormatPr defaultColWidth="10.90625" defaultRowHeight="15"/>
  <cols>
    <col min="1" max="1" width="77.6796875" customWidth="1"/>
    <col min="2" max="4" width="15.90625" customWidth="1"/>
  </cols>
  <sheetData>
    <row r="1" spans="1:4" ht="39.9" customHeight="1">
      <c r="A1" s="10" t="s">
        <v>355</v>
      </c>
      <c r="B1" s="12"/>
      <c r="C1" s="12"/>
      <c r="D1" s="12"/>
    </row>
    <row r="2" spans="1:4" ht="45">
      <c r="A2" s="7" t="s">
        <v>2</v>
      </c>
      <c r="B2" s="6" t="s">
        <v>18</v>
      </c>
      <c r="C2" s="6" t="s">
        <v>19</v>
      </c>
      <c r="D2" s="8" t="s">
        <v>20</v>
      </c>
    </row>
    <row r="3" spans="1:4" ht="30">
      <c r="A3" s="40" t="s">
        <v>356</v>
      </c>
      <c r="B3" s="15"/>
      <c r="C3" s="15"/>
      <c r="D3" s="24"/>
    </row>
    <row r="4" spans="1:4">
      <c r="A4" s="9" t="s">
        <v>357</v>
      </c>
      <c r="B4" s="15">
        <v>88.335344666604698</v>
      </c>
      <c r="C4" s="15">
        <v>91.367254153756704</v>
      </c>
      <c r="D4" s="24">
        <v>84.935897435897402</v>
      </c>
    </row>
    <row r="5" spans="1:4">
      <c r="A5" s="9" t="s">
        <v>358</v>
      </c>
      <c r="B5" s="15">
        <v>80.719861870541905</v>
      </c>
      <c r="C5" s="15">
        <v>80.044753725843293</v>
      </c>
      <c r="D5" s="24">
        <v>79.612054612054607</v>
      </c>
    </row>
    <row r="6" spans="1:4">
      <c r="A6" s="9" t="s">
        <v>359</v>
      </c>
      <c r="B6" s="15">
        <v>81.295196094189706</v>
      </c>
      <c r="C6" s="15">
        <v>82.367846850893898</v>
      </c>
      <c r="D6" s="24">
        <v>84.790209790209801</v>
      </c>
    </row>
    <row r="7" spans="1:4">
      <c r="A7" s="9" t="s">
        <v>360</v>
      </c>
      <c r="B7" s="15">
        <v>39.696574060618403</v>
      </c>
      <c r="C7" s="15">
        <v>41.649285785658499</v>
      </c>
      <c r="D7" s="24">
        <v>41.708291708291704</v>
      </c>
    </row>
    <row r="8" spans="1:4">
      <c r="A8" s="9" t="s">
        <v>361</v>
      </c>
      <c r="B8" s="15">
        <v>44.2844552035682</v>
      </c>
      <c r="C8" s="15">
        <v>45.394316259067097</v>
      </c>
      <c r="D8" s="24">
        <v>63.3949383949384</v>
      </c>
    </row>
    <row r="9" spans="1:4">
      <c r="A9" s="9" t="s">
        <v>362</v>
      </c>
      <c r="B9" s="15">
        <v>48.423746917308101</v>
      </c>
      <c r="C9" s="15">
        <v>55.100711293285897</v>
      </c>
      <c r="D9" s="24">
        <v>63.3949383949384</v>
      </c>
    </row>
    <row r="10" spans="1:4">
      <c r="A10" s="9" t="s">
        <v>363</v>
      </c>
      <c r="B10" s="15">
        <v>21.173253857017102</v>
      </c>
      <c r="C10" s="15">
        <v>24.385954237771902</v>
      </c>
      <c r="D10" s="24">
        <v>27.947052947052899</v>
      </c>
    </row>
    <row r="11" spans="1:4">
      <c r="A11" s="9" t="s">
        <v>364</v>
      </c>
      <c r="B11" s="15">
        <v>48.605864411448998</v>
      </c>
      <c r="C11" s="15">
        <v>50.596771972733201</v>
      </c>
      <c r="D11" s="24">
        <v>59.373959373959401</v>
      </c>
    </row>
    <row r="12" spans="1:4">
      <c r="A12" s="9" t="s">
        <v>365</v>
      </c>
      <c r="B12" s="15">
        <v>44.593076910937803</v>
      </c>
      <c r="C12" s="15">
        <v>37.437561051862502</v>
      </c>
      <c r="D12" s="24">
        <v>36.188811188811201</v>
      </c>
    </row>
    <row r="13" spans="1:4">
      <c r="A13" s="9" t="s">
        <v>366</v>
      </c>
      <c r="B13" s="15">
        <v>28.649250258479899</v>
      </c>
      <c r="C13" s="15">
        <v>33.316138667307101</v>
      </c>
      <c r="D13" s="24">
        <v>32.092907092907097</v>
      </c>
    </row>
    <row r="14" spans="1:4">
      <c r="A14" s="11" t="s">
        <v>238</v>
      </c>
      <c r="B14" s="16">
        <v>2.7598461419949101</v>
      </c>
      <c r="C14" s="16">
        <v>2.8843212005101599</v>
      </c>
      <c r="D14" s="25">
        <v>2.7972027972028002</v>
      </c>
    </row>
    <row r="15" spans="1:4" ht="30" customHeight="1">
      <c r="A15" t="s">
        <v>94</v>
      </c>
    </row>
    <row r="16" spans="1:4">
      <c r="A16" t="s">
        <v>312</v>
      </c>
    </row>
    <row r="17" spans="1:1">
      <c r="A17" t="s">
        <v>313</v>
      </c>
    </row>
    <row r="18" spans="1:1">
      <c r="A18" t="s">
        <v>314</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5"/>
  <sheetViews>
    <sheetView zoomScale="70" workbookViewId="0"/>
  </sheetViews>
  <sheetFormatPr defaultColWidth="10.90625" defaultRowHeight="15"/>
  <cols>
    <col min="1" max="1" width="77.6796875" customWidth="1"/>
    <col min="2" max="4" width="15.90625" customWidth="1"/>
  </cols>
  <sheetData>
    <row r="1" spans="1:4" ht="39.9" customHeight="1">
      <c r="A1" s="10" t="s">
        <v>367</v>
      </c>
      <c r="B1" s="12"/>
      <c r="C1" s="12"/>
      <c r="D1" s="12"/>
    </row>
    <row r="2" spans="1:4" ht="45">
      <c r="A2" s="7" t="s">
        <v>2</v>
      </c>
      <c r="B2" s="6" t="s">
        <v>18</v>
      </c>
      <c r="C2" s="6" t="s">
        <v>19</v>
      </c>
      <c r="D2" s="8" t="s">
        <v>20</v>
      </c>
    </row>
    <row r="3" spans="1:4" ht="30">
      <c r="A3" s="40" t="s">
        <v>368</v>
      </c>
      <c r="B3" s="15"/>
      <c r="C3" s="15"/>
      <c r="D3" s="24"/>
    </row>
    <row r="4" spans="1:4">
      <c r="A4" s="9" t="s">
        <v>369</v>
      </c>
      <c r="B4" s="15">
        <v>92.796035634838901</v>
      </c>
      <c r="C4" s="15">
        <v>93.421787075661996</v>
      </c>
      <c r="D4" s="24">
        <v>91.412753912753899</v>
      </c>
    </row>
    <row r="5" spans="1:4">
      <c r="A5" s="9" t="s">
        <v>370</v>
      </c>
      <c r="B5" s="15">
        <v>5.1898693165648604</v>
      </c>
      <c r="C5" s="15">
        <v>3.2931316781062101</v>
      </c>
      <c r="D5" s="24">
        <v>8.5872460872460898</v>
      </c>
    </row>
    <row r="6" spans="1:4">
      <c r="A6" s="9" t="s">
        <v>371</v>
      </c>
      <c r="B6" s="15">
        <v>0</v>
      </c>
      <c r="C6" s="15">
        <v>0</v>
      </c>
      <c r="D6" s="24">
        <v>0</v>
      </c>
    </row>
    <row r="7" spans="1:4">
      <c r="A7" s="9" t="s">
        <v>372</v>
      </c>
      <c r="B7" s="15">
        <v>0.100971854095671</v>
      </c>
      <c r="C7" s="15">
        <v>0.45274476513865303</v>
      </c>
      <c r="D7" s="24">
        <v>0</v>
      </c>
    </row>
    <row r="8" spans="1:4">
      <c r="A8" s="9" t="s">
        <v>238</v>
      </c>
      <c r="B8" s="15">
        <v>1.91312319450057</v>
      </c>
      <c r="C8" s="15">
        <v>2.8323364810931002</v>
      </c>
      <c r="D8" s="24">
        <v>0</v>
      </c>
    </row>
    <row r="9" spans="1:4" ht="30">
      <c r="A9" s="40" t="s">
        <v>373</v>
      </c>
      <c r="B9" s="15"/>
      <c r="C9" s="15"/>
      <c r="D9" s="24"/>
    </row>
    <row r="10" spans="1:4">
      <c r="A10" s="9" t="s">
        <v>374</v>
      </c>
      <c r="B10" s="15">
        <v>88.569732526594905</v>
      </c>
      <c r="C10" s="15">
        <v>85.593701571056002</v>
      </c>
      <c r="D10" s="24">
        <v>87.316849816849796</v>
      </c>
    </row>
    <row r="11" spans="1:4">
      <c r="A11" s="9" t="s">
        <v>375</v>
      </c>
      <c r="B11" s="15">
        <v>11.430267473405101</v>
      </c>
      <c r="C11" s="15">
        <v>14.406298428944</v>
      </c>
      <c r="D11" s="24">
        <v>12.6831501831502</v>
      </c>
    </row>
    <row r="12" spans="1:4" ht="30">
      <c r="A12" s="40" t="s">
        <v>376</v>
      </c>
      <c r="B12" s="15"/>
      <c r="C12" s="15"/>
      <c r="D12" s="24"/>
    </row>
    <row r="13" spans="1:4">
      <c r="A13" s="9" t="s">
        <v>374</v>
      </c>
      <c r="B13" s="15">
        <v>82.100654897111198</v>
      </c>
      <c r="C13" s="15">
        <v>80.597961762447895</v>
      </c>
      <c r="D13" s="24">
        <v>77.426739926739899</v>
      </c>
    </row>
    <row r="14" spans="1:4">
      <c r="A14" s="9" t="s">
        <v>375</v>
      </c>
      <c r="B14" s="15">
        <v>17.899345102888802</v>
      </c>
      <c r="C14" s="15">
        <v>19.402038237552102</v>
      </c>
      <c r="D14" s="24">
        <v>22.573260073260101</v>
      </c>
    </row>
    <row r="15" spans="1:4" ht="30">
      <c r="A15" s="40" t="s">
        <v>377</v>
      </c>
      <c r="B15" s="15"/>
      <c r="C15" s="15"/>
      <c r="D15" s="24"/>
    </row>
    <row r="16" spans="1:4">
      <c r="A16" s="9" t="s">
        <v>374</v>
      </c>
      <c r="B16" s="15">
        <v>57.8040347875842</v>
      </c>
      <c r="C16" s="15">
        <v>64.204682176943194</v>
      </c>
      <c r="D16" s="24">
        <v>70.337995337995295</v>
      </c>
    </row>
    <row r="17" spans="1:4">
      <c r="A17" s="9" t="s">
        <v>375</v>
      </c>
      <c r="B17" s="15">
        <v>42.1959652124158</v>
      </c>
      <c r="C17" s="15">
        <v>35.795317823056799</v>
      </c>
      <c r="D17" s="24">
        <v>29.662004662004701</v>
      </c>
    </row>
    <row r="18" spans="1:4" ht="30">
      <c r="A18" s="40" t="s">
        <v>378</v>
      </c>
      <c r="B18" s="15"/>
      <c r="C18" s="15"/>
      <c r="D18" s="24"/>
    </row>
    <row r="19" spans="1:4">
      <c r="A19" s="9" t="s">
        <v>374</v>
      </c>
      <c r="B19" s="15">
        <v>72.848701991406401</v>
      </c>
      <c r="C19" s="15">
        <v>70.681045644842698</v>
      </c>
      <c r="D19" s="24">
        <v>73.967698967698993</v>
      </c>
    </row>
    <row r="20" spans="1:4">
      <c r="A20" s="11" t="s">
        <v>375</v>
      </c>
      <c r="B20" s="16">
        <v>27.151298008593599</v>
      </c>
      <c r="C20" s="16">
        <v>29.318954355157299</v>
      </c>
      <c r="D20" s="25">
        <v>26.032301032301</v>
      </c>
    </row>
    <row r="21" spans="1:4" ht="30" customHeight="1">
      <c r="A21" t="s">
        <v>94</v>
      </c>
    </row>
    <row r="22" spans="1:4">
      <c r="A22" t="s">
        <v>312</v>
      </c>
    </row>
    <row r="23" spans="1:4">
      <c r="A23" t="s">
        <v>313</v>
      </c>
    </row>
    <row r="24" spans="1:4">
      <c r="A24" t="s">
        <v>314</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2"/>
  <sheetViews>
    <sheetView zoomScale="70" workbookViewId="0"/>
  </sheetViews>
  <sheetFormatPr defaultColWidth="10.90625" defaultRowHeight="15"/>
  <cols>
    <col min="1" max="1" width="77.6796875" customWidth="1"/>
    <col min="2" max="7" width="15.90625" customWidth="1"/>
  </cols>
  <sheetData>
    <row r="1" spans="1:7" ht="39.9" customHeight="1">
      <c r="A1" s="10" t="s">
        <v>379</v>
      </c>
      <c r="B1" s="12"/>
      <c r="C1" s="12"/>
      <c r="D1" s="12"/>
      <c r="E1" s="12"/>
      <c r="F1" s="12"/>
      <c r="G1" s="12"/>
    </row>
    <row r="2" spans="1:7" ht="30">
      <c r="A2" s="7" t="s">
        <v>2</v>
      </c>
      <c r="B2" s="6" t="s">
        <v>380</v>
      </c>
      <c r="C2" s="6" t="s">
        <v>381</v>
      </c>
      <c r="D2" s="6" t="s">
        <v>382</v>
      </c>
      <c r="E2" s="6" t="s">
        <v>383</v>
      </c>
      <c r="F2" s="6" t="s">
        <v>384</v>
      </c>
      <c r="G2" s="8" t="s">
        <v>385</v>
      </c>
    </row>
    <row r="3" spans="1:7">
      <c r="A3" s="40" t="s">
        <v>386</v>
      </c>
      <c r="B3" s="15"/>
      <c r="C3" s="15"/>
      <c r="D3" s="15"/>
      <c r="E3" s="15"/>
      <c r="F3" s="15"/>
      <c r="G3" s="24"/>
    </row>
    <row r="4" spans="1:7">
      <c r="A4" s="9" t="s">
        <v>387</v>
      </c>
      <c r="B4" s="15">
        <v>23.567096274293799</v>
      </c>
      <c r="C4" s="15">
        <v>47.062151963428001</v>
      </c>
      <c r="D4" s="15">
        <v>14.5067501344038</v>
      </c>
      <c r="E4" s="15">
        <v>9.5251112522813006</v>
      </c>
      <c r="F4" s="15">
        <v>2.3868493368558199</v>
      </c>
      <c r="G4" s="24">
        <v>2.9520410387372502</v>
      </c>
    </row>
    <row r="5" spans="1:7">
      <c r="A5" s="9" t="s">
        <v>388</v>
      </c>
      <c r="B5" s="15">
        <v>20.617107015883001</v>
      </c>
      <c r="C5" s="15">
        <v>39.782838064813497</v>
      </c>
      <c r="D5" s="15">
        <v>17.5151511554024</v>
      </c>
      <c r="E5" s="15">
        <v>14.639883947331199</v>
      </c>
      <c r="F5" s="15">
        <v>5.13389392519161</v>
      </c>
      <c r="G5" s="24">
        <v>2.3111258913783002</v>
      </c>
    </row>
    <row r="6" spans="1:7">
      <c r="A6" s="9" t="s">
        <v>389</v>
      </c>
      <c r="B6" s="15">
        <v>39.008905881449401</v>
      </c>
      <c r="C6" s="15">
        <v>48.277900846921099</v>
      </c>
      <c r="D6" s="15">
        <v>6.8283623056595504</v>
      </c>
      <c r="E6" s="15">
        <v>4.6124512460488098</v>
      </c>
      <c r="F6" s="15">
        <v>0.79727015429562698</v>
      </c>
      <c r="G6" s="24">
        <v>0.475109565625502</v>
      </c>
    </row>
    <row r="7" spans="1:7">
      <c r="A7" s="9" t="s">
        <v>390</v>
      </c>
      <c r="B7" s="15">
        <v>33.387182787722402</v>
      </c>
      <c r="C7" s="15">
        <v>50.743503526211597</v>
      </c>
      <c r="D7" s="15">
        <v>8.6141892847623804</v>
      </c>
      <c r="E7" s="15">
        <v>5.8505268581211496</v>
      </c>
      <c r="F7" s="15">
        <v>0.92948797755699997</v>
      </c>
      <c r="G7" s="24">
        <v>0.475109565625502</v>
      </c>
    </row>
    <row r="8" spans="1:7">
      <c r="A8" s="9" t="s">
        <v>389</v>
      </c>
      <c r="B8" s="15">
        <v>39.008905881449401</v>
      </c>
      <c r="C8" s="15">
        <v>48.277900846921099</v>
      </c>
      <c r="D8" s="15">
        <v>6.8283623056595504</v>
      </c>
      <c r="E8" s="15">
        <v>4.6124512460488098</v>
      </c>
      <c r="F8" s="15">
        <v>0.79727015429562698</v>
      </c>
      <c r="G8" s="24">
        <v>0.475109565625502</v>
      </c>
    </row>
    <row r="9" spans="1:7">
      <c r="A9" s="40" t="s">
        <v>391</v>
      </c>
      <c r="B9" s="15"/>
      <c r="C9" s="15"/>
      <c r="D9" s="15"/>
      <c r="E9" s="15"/>
      <c r="F9" s="15"/>
      <c r="G9" s="24"/>
    </row>
    <row r="10" spans="1:7">
      <c r="A10" s="9" t="s">
        <v>392</v>
      </c>
      <c r="B10" s="15">
        <v>18.531145731463202</v>
      </c>
      <c r="C10" s="15">
        <v>34.180114091251099</v>
      </c>
      <c r="D10" s="15">
        <v>28.434486951369799</v>
      </c>
      <c r="E10" s="15">
        <v>12.6531986838602</v>
      </c>
      <c r="F10" s="15">
        <v>5.5117179544793</v>
      </c>
      <c r="G10" s="24">
        <v>0.68933658757643501</v>
      </c>
    </row>
    <row r="11" spans="1:7">
      <c r="A11" s="9" t="s">
        <v>393</v>
      </c>
      <c r="B11" s="15">
        <v>25.481789404373501</v>
      </c>
      <c r="C11" s="15">
        <v>42.973104244187098</v>
      </c>
      <c r="D11" s="15">
        <v>18.109995671619401</v>
      </c>
      <c r="E11" s="15">
        <v>7.1834376081547902</v>
      </c>
      <c r="F11" s="15">
        <v>3.9928056314847198</v>
      </c>
      <c r="G11" s="24">
        <v>2.2588674401804201</v>
      </c>
    </row>
    <row r="12" spans="1:7">
      <c r="A12" s="9" t="s">
        <v>394</v>
      </c>
      <c r="B12" s="15">
        <v>30.750436420510301</v>
      </c>
      <c r="C12" s="15">
        <v>40.556988240543099</v>
      </c>
      <c r="D12" s="15">
        <v>15.3618041450598</v>
      </c>
      <c r="E12" s="15">
        <v>8.8305103469721793</v>
      </c>
      <c r="F12" s="15">
        <v>3.6988218999063802</v>
      </c>
      <c r="G12" s="24">
        <v>0.80143894700829399</v>
      </c>
    </row>
    <row r="13" spans="1:7">
      <c r="A13" s="9" t="s">
        <v>395</v>
      </c>
      <c r="B13" s="15">
        <v>15.622440249997901</v>
      </c>
      <c r="C13" s="15">
        <v>30.498325426227002</v>
      </c>
      <c r="D13" s="15">
        <v>15.834472671715799</v>
      </c>
      <c r="E13" s="15">
        <v>22.7186051323878</v>
      </c>
      <c r="F13" s="15">
        <v>14.1934920149316</v>
      </c>
      <c r="G13" s="24">
        <v>1.13266450473993</v>
      </c>
    </row>
    <row r="14" spans="1:7">
      <c r="A14" s="9" t="s">
        <v>396</v>
      </c>
      <c r="B14" s="15">
        <v>6.5760586705227997</v>
      </c>
      <c r="C14" s="15">
        <v>13.276516232492099</v>
      </c>
      <c r="D14" s="15">
        <v>25.115395302813699</v>
      </c>
      <c r="E14" s="15">
        <v>25.1037786239241</v>
      </c>
      <c r="F14" s="15">
        <v>23.667382282779201</v>
      </c>
      <c r="G14" s="24">
        <v>6.26086888746807</v>
      </c>
    </row>
    <row r="15" spans="1:7">
      <c r="A15" s="40" t="s">
        <v>397</v>
      </c>
      <c r="B15" s="15"/>
      <c r="C15" s="15"/>
      <c r="D15" s="15"/>
      <c r="E15" s="15"/>
      <c r="F15" s="15"/>
      <c r="G15" s="24"/>
    </row>
    <row r="16" spans="1:7">
      <c r="A16" s="9" t="s">
        <v>398</v>
      </c>
      <c r="B16" s="15">
        <v>9.0201863530431208</v>
      </c>
      <c r="C16" s="15">
        <v>28.825118973064999</v>
      </c>
      <c r="D16" s="15">
        <v>26.0438654508539</v>
      </c>
      <c r="E16" s="15">
        <v>24.806173023128501</v>
      </c>
      <c r="F16" s="15">
        <v>9.1234582827559993</v>
      </c>
      <c r="G16" s="24">
        <v>2.1811979171534599</v>
      </c>
    </row>
    <row r="17" spans="1:7">
      <c r="A17" s="9" t="s">
        <v>399</v>
      </c>
      <c r="B17" s="15">
        <v>12.824468206673</v>
      </c>
      <c r="C17" s="15">
        <v>27.2561482362871</v>
      </c>
      <c r="D17" s="15">
        <v>26.043902366083501</v>
      </c>
      <c r="E17" s="15">
        <v>21.9649831443602</v>
      </c>
      <c r="F17" s="15">
        <v>9.0732184741618909</v>
      </c>
      <c r="G17" s="24">
        <v>2.8372795724344102</v>
      </c>
    </row>
    <row r="18" spans="1:7">
      <c r="A18" s="9" t="s">
        <v>400</v>
      </c>
      <c r="B18" s="15">
        <v>13.436807417908501</v>
      </c>
      <c r="C18" s="15">
        <v>46.197098769744201</v>
      </c>
      <c r="D18" s="15">
        <v>22.205363678858401</v>
      </c>
      <c r="E18" s="15">
        <v>13.481096473421999</v>
      </c>
      <c r="F18" s="15">
        <v>2.9403525808620299</v>
      </c>
      <c r="G18" s="24">
        <v>1.73928107920491</v>
      </c>
    </row>
    <row r="19" spans="1:7">
      <c r="A19" s="9" t="s">
        <v>401</v>
      </c>
      <c r="B19" s="15">
        <v>12.183421828892</v>
      </c>
      <c r="C19" s="15">
        <v>38.868085514994199</v>
      </c>
      <c r="D19" s="15">
        <v>26.101569152554799</v>
      </c>
      <c r="E19" s="15">
        <v>16.997589753112599</v>
      </c>
      <c r="F19" s="15">
        <v>2.6972128687380401</v>
      </c>
      <c r="G19" s="24">
        <v>3.15212088170831</v>
      </c>
    </row>
    <row r="20" spans="1:7">
      <c r="A20" s="9" t="s">
        <v>402</v>
      </c>
      <c r="B20" s="15">
        <v>8.5783795971958501</v>
      </c>
      <c r="C20" s="15">
        <v>30.132539392806098</v>
      </c>
      <c r="D20" s="15">
        <v>25.023231958951001</v>
      </c>
      <c r="E20" s="15">
        <v>22.9433568072204</v>
      </c>
      <c r="F20" s="15">
        <v>9.5522829762611394</v>
      </c>
      <c r="G20" s="24">
        <v>3.7702092675654799</v>
      </c>
    </row>
    <row r="21" spans="1:7">
      <c r="A21" s="9" t="s">
        <v>403</v>
      </c>
      <c r="B21" s="15">
        <v>31.7069640144895</v>
      </c>
      <c r="C21" s="15">
        <v>49.490026972060399</v>
      </c>
      <c r="D21" s="15">
        <v>12.3062927053638</v>
      </c>
      <c r="E21" s="15">
        <v>4.34122505815193</v>
      </c>
      <c r="F21" s="15">
        <v>1.1544983646704401</v>
      </c>
      <c r="G21" s="24">
        <v>1.00099288526396</v>
      </c>
    </row>
    <row r="22" spans="1:7">
      <c r="A22" s="40" t="s">
        <v>404</v>
      </c>
      <c r="B22" s="15"/>
      <c r="C22" s="15"/>
      <c r="D22" s="15"/>
      <c r="E22" s="15"/>
      <c r="F22" s="15"/>
      <c r="G22" s="24"/>
    </row>
    <row r="23" spans="1:7">
      <c r="A23" s="9" t="s">
        <v>405</v>
      </c>
      <c r="B23" s="15">
        <v>5.8924591979247296</v>
      </c>
      <c r="C23" s="15">
        <v>11.207360142180599</v>
      </c>
      <c r="D23" s="15">
        <v>34.742115518732803</v>
      </c>
      <c r="E23" s="15">
        <v>12.550857480396701</v>
      </c>
      <c r="F23" s="15">
        <v>22.828264789998801</v>
      </c>
      <c r="G23" s="24">
        <v>12.7789428707664</v>
      </c>
    </row>
    <row r="24" spans="1:7">
      <c r="A24" s="9" t="s">
        <v>406</v>
      </c>
      <c r="B24" s="15">
        <v>8.4065066093527694</v>
      </c>
      <c r="C24" s="15">
        <v>30.751336620324299</v>
      </c>
      <c r="D24" s="15">
        <v>21.066226936591601</v>
      </c>
      <c r="E24" s="15">
        <v>27.032853443735402</v>
      </c>
      <c r="F24" s="15">
        <v>11.015908624541201</v>
      </c>
      <c r="G24" s="24">
        <v>1.7271677654547</v>
      </c>
    </row>
    <row r="25" spans="1:7">
      <c r="A25" s="9" t="s">
        <v>407</v>
      </c>
      <c r="B25" s="15">
        <v>16.4437156868998</v>
      </c>
      <c r="C25" s="15">
        <v>38.654833891789202</v>
      </c>
      <c r="D25" s="15">
        <v>18.644843922391001</v>
      </c>
      <c r="E25" s="15">
        <v>19.030806776420999</v>
      </c>
      <c r="F25" s="15">
        <v>6.4528265578594901</v>
      </c>
      <c r="G25" s="24">
        <v>0.77297316463947097</v>
      </c>
    </row>
    <row r="26" spans="1:7">
      <c r="A26" s="9" t="s">
        <v>408</v>
      </c>
      <c r="B26" s="15">
        <v>13.046724450600999</v>
      </c>
      <c r="C26" s="15">
        <v>45.288390201044002</v>
      </c>
      <c r="D26" s="15">
        <v>15.5083263712913</v>
      </c>
      <c r="E26" s="15">
        <v>21.506716179056699</v>
      </c>
      <c r="F26" s="15">
        <v>4.0885095589826799</v>
      </c>
      <c r="G26" s="24">
        <v>0.561333239024283</v>
      </c>
    </row>
    <row r="27" spans="1:7">
      <c r="A27" s="11" t="s">
        <v>409</v>
      </c>
      <c r="B27" s="16">
        <v>15.8344530034069</v>
      </c>
      <c r="C27" s="16">
        <v>46.060197481684497</v>
      </c>
      <c r="D27" s="16">
        <v>24.404976209275301</v>
      </c>
      <c r="E27" s="16">
        <v>10.0622699173003</v>
      </c>
      <c r="F27" s="16">
        <v>2.5389325820714501</v>
      </c>
      <c r="G27" s="25">
        <v>1.09917080626153</v>
      </c>
    </row>
    <row r="28" spans="1:7" ht="30" customHeight="1">
      <c r="A28" t="s">
        <v>94</v>
      </c>
    </row>
    <row r="29" spans="1:7">
      <c r="A29" t="s">
        <v>312</v>
      </c>
    </row>
    <row r="30" spans="1:7">
      <c r="A30" t="s">
        <v>313</v>
      </c>
    </row>
    <row r="31" spans="1:7">
      <c r="A31" t="s">
        <v>314</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2"/>
  <sheetViews>
    <sheetView zoomScale="70" workbookViewId="0"/>
  </sheetViews>
  <sheetFormatPr defaultColWidth="10.90625" defaultRowHeight="15"/>
  <cols>
    <col min="1" max="1" width="77.6796875" customWidth="1"/>
    <col min="2" max="5" width="15.90625" customWidth="1"/>
  </cols>
  <sheetData>
    <row r="1" spans="1:5" ht="39.9" customHeight="1">
      <c r="A1" s="10" t="s">
        <v>410</v>
      </c>
      <c r="B1" s="12"/>
      <c r="C1" s="12"/>
      <c r="D1" s="12"/>
      <c r="E1" s="12"/>
    </row>
    <row r="2" spans="1:5" ht="60">
      <c r="A2" s="7" t="s">
        <v>2</v>
      </c>
      <c r="B2" s="6" t="s">
        <v>411</v>
      </c>
      <c r="C2" s="6" t="s">
        <v>412</v>
      </c>
      <c r="D2" s="6" t="s">
        <v>413</v>
      </c>
      <c r="E2" s="8" t="s">
        <v>414</v>
      </c>
    </row>
    <row r="3" spans="1:5">
      <c r="A3" s="40" t="s">
        <v>415</v>
      </c>
      <c r="B3" s="15"/>
      <c r="C3" s="15"/>
      <c r="D3" s="15"/>
      <c r="E3" s="24"/>
    </row>
    <row r="4" spans="1:5">
      <c r="A4" s="9" t="s">
        <v>416</v>
      </c>
      <c r="B4" s="15">
        <v>19.285835192056702</v>
      </c>
      <c r="C4" s="15">
        <v>7.1912139884823096</v>
      </c>
      <c r="D4" s="15">
        <v>6.6399209460739703</v>
      </c>
      <c r="E4" s="24">
        <v>4.0147468108042101</v>
      </c>
    </row>
    <row r="5" spans="1:5">
      <c r="A5" s="9" t="s">
        <v>417</v>
      </c>
      <c r="B5" s="15">
        <v>73.550799398421205</v>
      </c>
      <c r="C5" s="15">
        <v>76.135122919817803</v>
      </c>
      <c r="D5" s="15">
        <v>69.847878343306206</v>
      </c>
      <c r="E5" s="24">
        <v>28.372013919123201</v>
      </c>
    </row>
    <row r="6" spans="1:5">
      <c r="A6" s="9" t="s">
        <v>418</v>
      </c>
      <c r="B6" s="15">
        <v>2.2632932826755598</v>
      </c>
      <c r="C6" s="15">
        <v>0.96885508517293495</v>
      </c>
      <c r="D6" s="15">
        <v>0.76147550227979399</v>
      </c>
      <c r="E6" s="24">
        <v>0.29343290315304399</v>
      </c>
    </row>
    <row r="7" spans="1:5">
      <c r="A7" s="9" t="s">
        <v>419</v>
      </c>
      <c r="B7" s="15">
        <v>5.0630131440872503</v>
      </c>
      <c r="C7" s="15">
        <v>2.8544345794995101</v>
      </c>
      <c r="D7" s="15">
        <v>2.6249711728074199</v>
      </c>
      <c r="E7" s="24">
        <v>1.2071337677876599</v>
      </c>
    </row>
    <row r="8" spans="1:5">
      <c r="A8" s="9" t="s">
        <v>420</v>
      </c>
      <c r="B8" s="15">
        <v>1.6619336565926499</v>
      </c>
      <c r="C8" s="15">
        <v>0</v>
      </c>
      <c r="D8" s="15">
        <v>0</v>
      </c>
      <c r="E8" s="24">
        <v>0</v>
      </c>
    </row>
    <row r="9" spans="1:5">
      <c r="A9" s="9" t="s">
        <v>421</v>
      </c>
      <c r="B9" s="15">
        <v>0.29586956456307301</v>
      </c>
      <c r="C9" s="15">
        <v>0</v>
      </c>
      <c r="D9" s="15">
        <v>0</v>
      </c>
      <c r="E9" s="24">
        <v>0</v>
      </c>
    </row>
    <row r="10" spans="1:5">
      <c r="A10" s="9" t="s">
        <v>422</v>
      </c>
      <c r="B10" s="15">
        <v>52.244742953068098</v>
      </c>
      <c r="C10" s="15">
        <v>0.29209733454424902</v>
      </c>
      <c r="D10" s="15">
        <v>0</v>
      </c>
      <c r="E10" s="24">
        <v>0.29209733454424902</v>
      </c>
    </row>
    <row r="11" spans="1:5">
      <c r="A11" s="9" t="s">
        <v>423</v>
      </c>
      <c r="B11" s="15">
        <v>25.413806939655899</v>
      </c>
      <c r="C11" s="15">
        <v>0.64488829895567801</v>
      </c>
      <c r="D11" s="15">
        <v>0.64488829895567801</v>
      </c>
      <c r="E11" s="24">
        <v>0.64488829895567801</v>
      </c>
    </row>
    <row r="12" spans="1:5">
      <c r="A12" s="9" t="s">
        <v>424</v>
      </c>
      <c r="B12" s="15">
        <v>29.1896318966355</v>
      </c>
      <c r="C12" s="15">
        <v>11.3975315907725</v>
      </c>
      <c r="D12" s="15">
        <v>6.1952722794805197</v>
      </c>
      <c r="E12" s="24">
        <v>4.0460410292109596</v>
      </c>
    </row>
    <row r="13" spans="1:5">
      <c r="A13" s="9" t="s">
        <v>238</v>
      </c>
      <c r="B13" s="15">
        <v>0.82131038925394395</v>
      </c>
      <c r="C13" s="15">
        <v>0.537719607152639</v>
      </c>
      <c r="D13" s="15">
        <v>0.537719607152639</v>
      </c>
      <c r="E13" s="24">
        <v>0.19241303752396599</v>
      </c>
    </row>
    <row r="14" spans="1:5">
      <c r="A14" s="40" t="s">
        <v>425</v>
      </c>
      <c r="B14" s="15"/>
      <c r="C14" s="15"/>
      <c r="D14" s="15"/>
      <c r="E14" s="24"/>
    </row>
    <row r="15" spans="1:5">
      <c r="A15" s="9" t="s">
        <v>426</v>
      </c>
      <c r="B15" s="15">
        <v>11.559754052914</v>
      </c>
      <c r="C15" s="15">
        <v>1.57671038047974</v>
      </c>
      <c r="D15" s="15">
        <v>0.69968377281442196</v>
      </c>
      <c r="E15" s="24">
        <v>1.44758724396137</v>
      </c>
    </row>
    <row r="16" spans="1:5">
      <c r="A16" s="9" t="s">
        <v>427</v>
      </c>
      <c r="B16" s="15">
        <v>5.1694381385915902</v>
      </c>
      <c r="C16" s="15">
        <v>0.96055575556505401</v>
      </c>
      <c r="D16" s="15">
        <v>1.0857880034482901</v>
      </c>
      <c r="E16" s="24">
        <v>0.728875486692379</v>
      </c>
    </row>
    <row r="17" spans="1:5">
      <c r="A17" s="9" t="s">
        <v>428</v>
      </c>
      <c r="B17" s="15">
        <v>2.4214889806476698</v>
      </c>
      <c r="C17" s="15">
        <v>0.69968377281442196</v>
      </c>
      <c r="D17" s="15">
        <v>1.8801548079755901</v>
      </c>
      <c r="E17" s="24">
        <v>0.45317596673389599</v>
      </c>
    </row>
    <row r="18" spans="1:5">
      <c r="A18" s="9" t="s">
        <v>429</v>
      </c>
      <c r="B18" s="15">
        <v>2.40494896668022</v>
      </c>
      <c r="C18" s="15">
        <v>1.0857880034482901</v>
      </c>
      <c r="D18" s="15">
        <v>11.457765042498</v>
      </c>
      <c r="E18" s="24">
        <v>0.42973812800646799</v>
      </c>
    </row>
    <row r="19" spans="1:5">
      <c r="A19" s="9" t="s">
        <v>430</v>
      </c>
      <c r="B19" s="15">
        <v>3.6513750356569199</v>
      </c>
      <c r="C19" s="15">
        <v>1.9740625436253201</v>
      </c>
      <c r="D19" s="15">
        <v>15.027416903312099</v>
      </c>
      <c r="E19" s="24">
        <v>1.41217236587647</v>
      </c>
    </row>
    <row r="20" spans="1:5">
      <c r="A20" s="9" t="s">
        <v>431</v>
      </c>
      <c r="B20" s="15">
        <v>15.7790247734847</v>
      </c>
      <c r="C20" s="15">
        <v>11.6677531736036</v>
      </c>
      <c r="D20" s="15">
        <v>60.661369478481802</v>
      </c>
      <c r="E20" s="24">
        <v>4.41531805439908</v>
      </c>
    </row>
    <row r="21" spans="1:5">
      <c r="A21" s="9" t="s">
        <v>432</v>
      </c>
      <c r="B21" s="15">
        <v>31.711802221531499</v>
      </c>
      <c r="C21" s="15">
        <v>16.0984558581839</v>
      </c>
      <c r="D21" s="15">
        <v>2.0005397188415901</v>
      </c>
      <c r="E21" s="24">
        <v>6.9522397973729904</v>
      </c>
    </row>
    <row r="22" spans="1:5">
      <c r="A22" s="9" t="s">
        <v>433</v>
      </c>
      <c r="B22" s="15">
        <v>74.099685448485701</v>
      </c>
      <c r="C22" s="15">
        <v>65.226992311445997</v>
      </c>
      <c r="D22" s="15">
        <v>2.9737992133404401</v>
      </c>
      <c r="E22" s="24">
        <v>28.566234683622302</v>
      </c>
    </row>
    <row r="23" spans="1:5">
      <c r="A23" s="9" t="s">
        <v>434</v>
      </c>
      <c r="B23" s="15">
        <v>8.0181269884767303</v>
      </c>
      <c r="C23" s="15">
        <v>2.70264023485288</v>
      </c>
      <c r="D23" s="15">
        <v>0.87329930181203796</v>
      </c>
      <c r="E23" s="24">
        <v>1.31493530601498</v>
      </c>
    </row>
    <row r="24" spans="1:5">
      <c r="A24" s="9" t="s">
        <v>435</v>
      </c>
      <c r="B24" s="15">
        <v>8.6422185179979198</v>
      </c>
      <c r="C24" s="15">
        <v>3.24637996044871</v>
      </c>
      <c r="D24" s="15">
        <v>0.72667335403572098</v>
      </c>
      <c r="E24" s="24">
        <v>1.5009739858693401</v>
      </c>
    </row>
    <row r="25" spans="1:5">
      <c r="A25" s="9" t="s">
        <v>436</v>
      </c>
      <c r="B25" s="15">
        <v>7.6097634253951796</v>
      </c>
      <c r="C25" s="15">
        <v>0.87329930181203796</v>
      </c>
      <c r="D25" s="15">
        <v>6.5355387265199498</v>
      </c>
      <c r="E25" s="24">
        <v>0.32068839587327702</v>
      </c>
    </row>
    <row r="26" spans="1:5">
      <c r="A26" s="9" t="s">
        <v>437</v>
      </c>
      <c r="B26" s="15">
        <v>1.90352006788277</v>
      </c>
      <c r="C26" s="15">
        <v>0.84992725707598304</v>
      </c>
      <c r="D26" s="15">
        <v>1.75783298977419</v>
      </c>
      <c r="E26" s="24">
        <v>0.33699182220135399</v>
      </c>
    </row>
    <row r="27" spans="1:5">
      <c r="A27" s="11" t="s">
        <v>238</v>
      </c>
      <c r="B27" s="16">
        <v>8.8791161434359793</v>
      </c>
      <c r="C27" s="16">
        <v>6.72257163335565</v>
      </c>
      <c r="D27" s="16">
        <v>1.4851540825488301</v>
      </c>
      <c r="E27" s="25">
        <v>2.0248279346713298</v>
      </c>
    </row>
    <row r="28" spans="1:5" ht="30" customHeight="1">
      <c r="A28" t="s">
        <v>94</v>
      </c>
    </row>
    <row r="29" spans="1:5">
      <c r="A29" t="s">
        <v>312</v>
      </c>
    </row>
    <row r="30" spans="1:5">
      <c r="A30" t="s">
        <v>313</v>
      </c>
    </row>
    <row r="31" spans="1:5">
      <c r="A31" t="s">
        <v>314</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8"/>
  <sheetViews>
    <sheetView zoomScale="70" workbookViewId="0"/>
  </sheetViews>
  <sheetFormatPr defaultColWidth="10.90625" defaultRowHeight="15"/>
  <cols>
    <col min="1" max="1" width="77.6796875" customWidth="1"/>
    <col min="2" max="2" width="15.90625" customWidth="1"/>
  </cols>
  <sheetData>
    <row r="1" spans="1:2" ht="39.9" customHeight="1">
      <c r="A1" s="10" t="s">
        <v>438</v>
      </c>
      <c r="B1" s="12"/>
    </row>
    <row r="2" spans="1:2">
      <c r="A2" s="7" t="s">
        <v>2</v>
      </c>
      <c r="B2" s="8" t="s">
        <v>439</v>
      </c>
    </row>
    <row r="3" spans="1:2">
      <c r="A3" s="40" t="s">
        <v>440</v>
      </c>
      <c r="B3" s="24"/>
    </row>
    <row r="4" spans="1:2">
      <c r="A4" s="9" t="s">
        <v>441</v>
      </c>
      <c r="B4" s="24">
        <v>6.4768564768564802</v>
      </c>
    </row>
    <row r="5" spans="1:2">
      <c r="A5" s="9" t="s">
        <v>442</v>
      </c>
      <c r="B5" s="24">
        <v>11.384448884448901</v>
      </c>
    </row>
    <row r="6" spans="1:2">
      <c r="A6" s="9" t="s">
        <v>443</v>
      </c>
      <c r="B6" s="24">
        <v>6.2062937062937102</v>
      </c>
    </row>
    <row r="7" spans="1:2">
      <c r="A7" s="9" t="s">
        <v>444</v>
      </c>
      <c r="B7" s="24">
        <v>3.4090909090909101</v>
      </c>
    </row>
    <row r="8" spans="1:2">
      <c r="A8" s="9" t="s">
        <v>445</v>
      </c>
      <c r="B8" s="24">
        <v>75.466200466200505</v>
      </c>
    </row>
    <row r="9" spans="1:2">
      <c r="A9" s="9" t="s">
        <v>238</v>
      </c>
      <c r="B9" s="24">
        <v>0</v>
      </c>
    </row>
    <row r="10" spans="1:2">
      <c r="A10" s="9" t="s">
        <v>446</v>
      </c>
      <c r="B10" s="24">
        <v>15.9465534465534</v>
      </c>
    </row>
    <row r="11" spans="1:2" ht="30">
      <c r="A11" s="40" t="s">
        <v>447</v>
      </c>
      <c r="B11" s="24"/>
    </row>
    <row r="12" spans="1:2">
      <c r="A12" s="9" t="s">
        <v>448</v>
      </c>
      <c r="B12" s="24">
        <v>0</v>
      </c>
    </row>
    <row r="13" spans="1:2">
      <c r="A13" s="9" t="s">
        <v>449</v>
      </c>
      <c r="B13" s="24">
        <v>29.85688109741</v>
      </c>
    </row>
    <row r="14" spans="1:2">
      <c r="A14" s="9" t="s">
        <v>450</v>
      </c>
      <c r="B14" s="24">
        <v>56.598821373743398</v>
      </c>
    </row>
    <row r="15" spans="1:2">
      <c r="A15" s="9" t="s">
        <v>451</v>
      </c>
      <c r="B15" s="24">
        <v>4.0558609419105602</v>
      </c>
    </row>
    <row r="16" spans="1:2">
      <c r="A16" s="9" t="s">
        <v>452</v>
      </c>
      <c r="B16" s="24">
        <v>2.8326647848264201</v>
      </c>
    </row>
    <row r="17" spans="1:2">
      <c r="A17" s="9" t="s">
        <v>453</v>
      </c>
      <c r="B17" s="24">
        <v>6.6557718021096397</v>
      </c>
    </row>
    <row r="18" spans="1:2">
      <c r="A18" s="40" t="s">
        <v>454</v>
      </c>
      <c r="B18" s="24"/>
    </row>
    <row r="19" spans="1:2">
      <c r="A19" s="9" t="s">
        <v>455</v>
      </c>
      <c r="B19" s="24">
        <v>19.8732233942455</v>
      </c>
    </row>
    <row r="20" spans="1:2">
      <c r="A20" s="9" t="s">
        <v>456</v>
      </c>
      <c r="B20" s="24">
        <v>66.582479076907802</v>
      </c>
    </row>
    <row r="21" spans="1:2">
      <c r="A21" s="9" t="s">
        <v>457</v>
      </c>
      <c r="B21" s="24">
        <v>13.544297528846601</v>
      </c>
    </row>
    <row r="22" spans="1:2">
      <c r="A22" s="9" t="s">
        <v>458</v>
      </c>
      <c r="B22" s="24">
        <v>0</v>
      </c>
    </row>
    <row r="23" spans="1:2">
      <c r="A23" s="11" t="s">
        <v>238</v>
      </c>
      <c r="B23" s="25">
        <v>0</v>
      </c>
    </row>
    <row r="24" spans="1:2" ht="30" customHeight="1">
      <c r="A24" t="s">
        <v>94</v>
      </c>
    </row>
    <row r="25" spans="1:2">
      <c r="A25" t="s">
        <v>312</v>
      </c>
    </row>
    <row r="26" spans="1:2">
      <c r="A26" t="s">
        <v>313</v>
      </c>
    </row>
    <row r="27" spans="1:2">
      <c r="A27" t="s">
        <v>314</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7"/>
  <sheetViews>
    <sheetView zoomScale="70" workbookViewId="0"/>
  </sheetViews>
  <sheetFormatPr defaultColWidth="10.90625" defaultRowHeight="15"/>
  <cols>
    <col min="1" max="1" width="77.6796875" customWidth="1"/>
    <col min="2" max="6" width="15.90625" customWidth="1"/>
  </cols>
  <sheetData>
    <row r="1" spans="1:6" ht="39.9" customHeight="1">
      <c r="A1" s="10" t="s">
        <v>459</v>
      </c>
      <c r="B1" s="12"/>
      <c r="C1" s="12"/>
      <c r="D1" s="12"/>
      <c r="E1" s="12"/>
      <c r="F1" s="12"/>
    </row>
    <row r="2" spans="1:6">
      <c r="A2" s="7" t="s">
        <v>2</v>
      </c>
      <c r="B2" s="6" t="s">
        <v>439</v>
      </c>
      <c r="C2" s="6" t="s">
        <v>460</v>
      </c>
      <c r="D2" s="6" t="s">
        <v>461</v>
      </c>
      <c r="E2" s="6" t="s">
        <v>462</v>
      </c>
      <c r="F2" s="8" t="s">
        <v>463</v>
      </c>
    </row>
    <row r="3" spans="1:6">
      <c r="A3" s="40" t="s">
        <v>464</v>
      </c>
      <c r="B3" s="15"/>
      <c r="C3" s="15"/>
      <c r="D3" s="15"/>
      <c r="E3" s="15"/>
      <c r="F3" s="24"/>
    </row>
    <row r="4" spans="1:6">
      <c r="A4" s="9" t="s">
        <v>465</v>
      </c>
      <c r="B4" s="15">
        <v>55.623543123543101</v>
      </c>
      <c r="C4" s="15">
        <v>2.4494689962315901</v>
      </c>
      <c r="D4" s="15">
        <v>2.4494689962315901</v>
      </c>
      <c r="E4" s="15">
        <v>8.0826063735089893</v>
      </c>
      <c r="F4" s="24">
        <v>55.623543123543101</v>
      </c>
    </row>
    <row r="5" spans="1:6">
      <c r="A5" s="9" t="s">
        <v>466</v>
      </c>
      <c r="B5" s="15">
        <v>45.467032967032999</v>
      </c>
      <c r="C5" s="15">
        <v>2.4494689962315901</v>
      </c>
      <c r="D5" s="15">
        <v>2.4494689962315901</v>
      </c>
      <c r="E5" s="15">
        <v>8.0826063735089893</v>
      </c>
      <c r="F5" s="24">
        <v>45.467032967032999</v>
      </c>
    </row>
    <row r="6" spans="1:6">
      <c r="A6" s="9" t="s">
        <v>467</v>
      </c>
      <c r="B6" s="15">
        <v>33.666333666333699</v>
      </c>
      <c r="C6" s="15">
        <v>0</v>
      </c>
      <c r="D6" s="15">
        <v>0</v>
      </c>
      <c r="E6" s="15">
        <v>2.5458429766779398</v>
      </c>
      <c r="F6" s="24">
        <v>33.666333666333699</v>
      </c>
    </row>
    <row r="7" spans="1:6" ht="30">
      <c r="A7" s="40" t="s">
        <v>468</v>
      </c>
      <c r="B7" s="15"/>
      <c r="C7" s="20" t="s">
        <v>476</v>
      </c>
      <c r="D7" s="20" t="s">
        <v>476</v>
      </c>
      <c r="E7" s="20" t="s">
        <v>476</v>
      </c>
      <c r="F7" s="26" t="s">
        <v>476</v>
      </c>
    </row>
    <row r="8" spans="1:6">
      <c r="A8" s="9" t="s">
        <v>374</v>
      </c>
      <c r="B8" s="15">
        <v>77.198233929506898</v>
      </c>
      <c r="C8" s="20" t="s">
        <v>476</v>
      </c>
      <c r="D8" s="20" t="s">
        <v>476</v>
      </c>
      <c r="E8" s="20" t="s">
        <v>476</v>
      </c>
      <c r="F8" s="26" t="s">
        <v>476</v>
      </c>
    </row>
    <row r="9" spans="1:6">
      <c r="A9" s="9" t="s">
        <v>375</v>
      </c>
      <c r="B9" s="15">
        <v>0</v>
      </c>
      <c r="C9" s="20" t="s">
        <v>476</v>
      </c>
      <c r="D9" s="20" t="s">
        <v>476</v>
      </c>
      <c r="E9" s="20" t="s">
        <v>476</v>
      </c>
      <c r="F9" s="26" t="s">
        <v>476</v>
      </c>
    </row>
    <row r="10" spans="1:6">
      <c r="A10" s="9" t="s">
        <v>385</v>
      </c>
      <c r="B10" s="15">
        <v>22.801766070493201</v>
      </c>
      <c r="C10" s="20" t="s">
        <v>476</v>
      </c>
      <c r="D10" s="20" t="s">
        <v>476</v>
      </c>
      <c r="E10" s="20" t="s">
        <v>476</v>
      </c>
      <c r="F10" s="26" t="s">
        <v>476</v>
      </c>
    </row>
    <row r="11" spans="1:6">
      <c r="A11" s="40" t="s">
        <v>469</v>
      </c>
      <c r="B11" s="15"/>
      <c r="C11" s="20" t="s">
        <v>476</v>
      </c>
      <c r="D11" s="20" t="s">
        <v>476</v>
      </c>
      <c r="E11" s="20" t="s">
        <v>476</v>
      </c>
      <c r="F11" s="26" t="s">
        <v>476</v>
      </c>
    </row>
    <row r="12" spans="1:6">
      <c r="A12" s="9" t="s">
        <v>374</v>
      </c>
      <c r="B12" s="15">
        <v>51.964379256155098</v>
      </c>
      <c r="C12" s="20" t="s">
        <v>476</v>
      </c>
      <c r="D12" s="20" t="s">
        <v>476</v>
      </c>
      <c r="E12" s="20" t="s">
        <v>476</v>
      </c>
      <c r="F12" s="26" t="s">
        <v>476</v>
      </c>
    </row>
    <row r="13" spans="1:6">
      <c r="A13" s="9" t="s">
        <v>375</v>
      </c>
      <c r="B13" s="15">
        <v>9.3092868367881501</v>
      </c>
      <c r="C13" s="20" t="s">
        <v>476</v>
      </c>
      <c r="D13" s="20" t="s">
        <v>476</v>
      </c>
      <c r="E13" s="20" t="s">
        <v>476</v>
      </c>
      <c r="F13" s="26" t="s">
        <v>476</v>
      </c>
    </row>
    <row r="14" spans="1:6">
      <c r="A14" s="9" t="s">
        <v>385</v>
      </c>
      <c r="B14" s="15">
        <v>38.726333907056798</v>
      </c>
      <c r="C14" s="20" t="s">
        <v>476</v>
      </c>
      <c r="D14" s="20" t="s">
        <v>476</v>
      </c>
      <c r="E14" s="20" t="s">
        <v>476</v>
      </c>
      <c r="F14" s="26" t="s">
        <v>476</v>
      </c>
    </row>
    <row r="15" spans="1:6" ht="30">
      <c r="A15" s="40" t="s">
        <v>470</v>
      </c>
      <c r="B15" s="15"/>
      <c r="C15" s="20" t="s">
        <v>476</v>
      </c>
      <c r="D15" s="20" t="s">
        <v>476</v>
      </c>
      <c r="E15" s="20" t="s">
        <v>476</v>
      </c>
      <c r="F15" s="26" t="s">
        <v>476</v>
      </c>
    </row>
    <row r="16" spans="1:6">
      <c r="A16" s="9" t="s">
        <v>471</v>
      </c>
      <c r="B16" s="15">
        <v>79.884756416972195</v>
      </c>
      <c r="C16" s="20" t="s">
        <v>476</v>
      </c>
      <c r="D16" s="20" t="s">
        <v>476</v>
      </c>
      <c r="E16" s="20" t="s">
        <v>476</v>
      </c>
      <c r="F16" s="26" t="s">
        <v>476</v>
      </c>
    </row>
    <row r="17" spans="1:6">
      <c r="A17" s="9" t="s">
        <v>472</v>
      </c>
      <c r="B17" s="15">
        <v>6.6152809997755</v>
      </c>
      <c r="C17" s="20" t="s">
        <v>476</v>
      </c>
      <c r="D17" s="20" t="s">
        <v>476</v>
      </c>
      <c r="E17" s="20" t="s">
        <v>476</v>
      </c>
      <c r="F17" s="26" t="s">
        <v>476</v>
      </c>
    </row>
    <row r="18" spans="1:6">
      <c r="A18" s="9" t="s">
        <v>473</v>
      </c>
      <c r="B18" s="15">
        <v>10.057621791513901</v>
      </c>
      <c r="C18" s="20" t="s">
        <v>476</v>
      </c>
      <c r="D18" s="20" t="s">
        <v>476</v>
      </c>
      <c r="E18" s="20" t="s">
        <v>476</v>
      </c>
      <c r="F18" s="26" t="s">
        <v>476</v>
      </c>
    </row>
    <row r="19" spans="1:6">
      <c r="A19" s="9" t="s">
        <v>474</v>
      </c>
      <c r="B19" s="15">
        <v>10.057621791513901</v>
      </c>
      <c r="C19" s="20" t="s">
        <v>476</v>
      </c>
      <c r="D19" s="20" t="s">
        <v>476</v>
      </c>
      <c r="E19" s="20" t="s">
        <v>476</v>
      </c>
      <c r="F19" s="26" t="s">
        <v>476</v>
      </c>
    </row>
    <row r="20" spans="1:6">
      <c r="A20" s="9" t="s">
        <v>475</v>
      </c>
      <c r="B20" s="15">
        <v>6.6152809997755</v>
      </c>
      <c r="C20" s="20" t="s">
        <v>476</v>
      </c>
      <c r="D20" s="20" t="s">
        <v>476</v>
      </c>
      <c r="E20" s="20" t="s">
        <v>476</v>
      </c>
      <c r="F20" s="26" t="s">
        <v>476</v>
      </c>
    </row>
    <row r="21" spans="1:6">
      <c r="A21" s="11" t="s">
        <v>238</v>
      </c>
      <c r="B21" s="16">
        <v>0</v>
      </c>
      <c r="C21" s="28" t="s">
        <v>476</v>
      </c>
      <c r="D21" s="28" t="s">
        <v>476</v>
      </c>
      <c r="E21" s="28" t="s">
        <v>476</v>
      </c>
      <c r="F21" s="29" t="s">
        <v>476</v>
      </c>
    </row>
    <row r="22" spans="1:6" ht="30" customHeight="1">
      <c r="A22" t="s">
        <v>477</v>
      </c>
    </row>
    <row r="23" spans="1:6">
      <c r="A23" t="s">
        <v>94</v>
      </c>
    </row>
    <row r="24" spans="1:6">
      <c r="A24" t="s">
        <v>312</v>
      </c>
    </row>
    <row r="25" spans="1:6">
      <c r="A25" t="s">
        <v>313</v>
      </c>
    </row>
    <row r="26" spans="1:6">
      <c r="A26" t="s">
        <v>314</v>
      </c>
    </row>
    <row r="27" spans="1:6">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8"/>
  <sheetViews>
    <sheetView zoomScale="70" workbookViewId="0"/>
  </sheetViews>
  <sheetFormatPr defaultColWidth="10.90625" defaultRowHeight="15"/>
  <cols>
    <col min="1" max="1" width="51.6796875" customWidth="1"/>
    <col min="2" max="3" width="15.90625" customWidth="1"/>
  </cols>
  <sheetData>
    <row r="1" spans="1:3" ht="39.9" customHeight="1">
      <c r="A1" s="10" t="s">
        <v>478</v>
      </c>
      <c r="B1" s="12"/>
      <c r="C1" s="12"/>
    </row>
    <row r="2" spans="1:3" ht="150">
      <c r="A2" s="7" t="s">
        <v>2</v>
      </c>
      <c r="B2" s="6" t="s">
        <v>310</v>
      </c>
      <c r="C2" s="8" t="s">
        <v>311</v>
      </c>
    </row>
    <row r="3" spans="1:3" ht="21.9" customHeight="1">
      <c r="A3" s="22" t="s">
        <v>18</v>
      </c>
      <c r="B3" s="15">
        <v>92.880453063051505</v>
      </c>
      <c r="C3" s="24">
        <v>80.312646544741398</v>
      </c>
    </row>
    <row r="4" spans="1:3" ht="21.9" customHeight="1">
      <c r="A4" s="22" t="s">
        <v>19</v>
      </c>
      <c r="B4" s="15">
        <v>86.259349593495898</v>
      </c>
      <c r="C4" s="24">
        <v>82.113821138211406</v>
      </c>
    </row>
    <row r="5" spans="1:3" ht="21.9" customHeight="1">
      <c r="A5" s="22" t="s">
        <v>20</v>
      </c>
      <c r="B5" s="15">
        <v>93.726190476190496</v>
      </c>
      <c r="C5" s="24">
        <v>69.047619047618994</v>
      </c>
    </row>
    <row r="6" spans="1:3">
      <c r="A6" s="9" t="s">
        <v>138</v>
      </c>
      <c r="B6" s="15">
        <v>66</v>
      </c>
      <c r="C6" s="24">
        <v>100</v>
      </c>
    </row>
    <row r="7" spans="1:3">
      <c r="A7" s="9" t="s">
        <v>139</v>
      </c>
      <c r="B7" s="15">
        <v>102</v>
      </c>
      <c r="C7" s="24">
        <v>100</v>
      </c>
    </row>
    <row r="8" spans="1:3">
      <c r="A8" s="9" t="s">
        <v>140</v>
      </c>
      <c r="B8" s="15">
        <v>78</v>
      </c>
      <c r="C8" s="24">
        <v>100</v>
      </c>
    </row>
    <row r="9" spans="1:3">
      <c r="A9" s="9" t="s">
        <v>141</v>
      </c>
      <c r="B9" s="15">
        <v>136</v>
      </c>
      <c r="C9" s="24">
        <v>0</v>
      </c>
    </row>
    <row r="10" spans="1:3">
      <c r="A10" s="9" t="s">
        <v>142</v>
      </c>
      <c r="B10" s="15">
        <v>156</v>
      </c>
      <c r="C10" s="24">
        <v>100</v>
      </c>
    </row>
    <row r="11" spans="1:3">
      <c r="A11" s="9" t="s">
        <v>143</v>
      </c>
      <c r="B11" s="15">
        <v>75</v>
      </c>
      <c r="C11" s="24">
        <v>100</v>
      </c>
    </row>
    <row r="12" spans="1:3">
      <c r="A12" s="9" t="s">
        <v>144</v>
      </c>
      <c r="B12" s="15">
        <v>85</v>
      </c>
      <c r="C12" s="24">
        <v>100</v>
      </c>
    </row>
    <row r="13" spans="1:3">
      <c r="A13" s="11" t="s">
        <v>145</v>
      </c>
      <c r="B13" s="16">
        <v>72</v>
      </c>
      <c r="C13" s="25">
        <v>0</v>
      </c>
    </row>
    <row r="14" spans="1:3" ht="30" customHeight="1">
      <c r="A14" t="s">
        <v>94</v>
      </c>
    </row>
    <row r="15" spans="1:3">
      <c r="A15" t="s">
        <v>479</v>
      </c>
    </row>
    <row r="16" spans="1:3">
      <c r="A16" t="s">
        <v>480</v>
      </c>
    </row>
    <row r="17" spans="1:1">
      <c r="A17" t="s">
        <v>481</v>
      </c>
    </row>
    <row r="18" spans="1:1">
      <c r="A1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61"/>
  <sheetViews>
    <sheetView zoomScale="70" workbookViewId="0"/>
  </sheetViews>
  <sheetFormatPr defaultColWidth="10.90625" defaultRowHeight="15"/>
  <cols>
    <col min="1" max="1" width="77.6796875" customWidth="1"/>
    <col min="2" max="8" width="15.90625" customWidth="1"/>
  </cols>
  <sheetData>
    <row r="1" spans="1:8" ht="39.9" customHeight="1">
      <c r="A1" s="10" t="s">
        <v>482</v>
      </c>
      <c r="B1" s="12"/>
      <c r="C1" s="12"/>
      <c r="D1" s="12"/>
      <c r="E1" s="12"/>
      <c r="F1" s="12"/>
      <c r="G1" s="12"/>
      <c r="H1" s="12"/>
    </row>
    <row r="2" spans="1:8" ht="60">
      <c r="A2" s="7" t="s">
        <v>2</v>
      </c>
      <c r="B2" s="6" t="s">
        <v>483</v>
      </c>
      <c r="C2" s="6" t="s">
        <v>484</v>
      </c>
      <c r="D2" s="6" t="s">
        <v>485</v>
      </c>
      <c r="E2" s="6" t="s">
        <v>486</v>
      </c>
      <c r="F2" s="6" t="s">
        <v>487</v>
      </c>
      <c r="G2" s="6" t="s">
        <v>488</v>
      </c>
      <c r="H2" s="8" t="s">
        <v>489</v>
      </c>
    </row>
    <row r="3" spans="1:8">
      <c r="A3" s="40" t="s">
        <v>322</v>
      </c>
      <c r="B3" s="15"/>
      <c r="C3" s="15"/>
      <c r="D3" s="15"/>
      <c r="E3" s="15"/>
      <c r="F3" s="15"/>
      <c r="G3" s="15"/>
      <c r="H3" s="24"/>
    </row>
    <row r="4" spans="1:8">
      <c r="A4" s="9" t="s">
        <v>323</v>
      </c>
      <c r="B4" s="15">
        <v>54.061763319189097</v>
      </c>
      <c r="C4" s="15">
        <v>1.98019801980198</v>
      </c>
      <c r="D4" s="15">
        <v>36.301272984441297</v>
      </c>
      <c r="E4" s="15">
        <v>36.004243281470998</v>
      </c>
      <c r="F4" s="15">
        <v>42.398632720414902</v>
      </c>
      <c r="G4" s="15">
        <v>49.081801037246599</v>
      </c>
      <c r="H4" s="24">
        <v>44.585101367279599</v>
      </c>
    </row>
    <row r="5" spans="1:8">
      <c r="A5" s="9" t="s">
        <v>324</v>
      </c>
      <c r="B5" s="15">
        <v>96.212871287128706</v>
      </c>
      <c r="C5" s="15">
        <v>63.268505421970801</v>
      </c>
      <c r="D5" s="15">
        <v>92.128712871287107</v>
      </c>
      <c r="E5" s="15">
        <v>93.242574257425701</v>
      </c>
      <c r="F5" s="15">
        <v>92.004950495049499</v>
      </c>
      <c r="G5" s="15">
        <v>88.828382838283801</v>
      </c>
      <c r="H5" s="24">
        <v>83.229608675153202</v>
      </c>
    </row>
    <row r="6" spans="1:8">
      <c r="A6" s="9" t="s">
        <v>325</v>
      </c>
      <c r="B6" s="15">
        <v>82.9903347477605</v>
      </c>
      <c r="C6" s="15">
        <v>33.684582743988699</v>
      </c>
      <c r="D6" s="15">
        <v>82.000235737859498</v>
      </c>
      <c r="E6" s="15">
        <v>80.515087223007995</v>
      </c>
      <c r="F6" s="15">
        <v>75.988920320603498</v>
      </c>
      <c r="G6" s="15">
        <v>55.838048090523301</v>
      </c>
      <c r="H6" s="24">
        <v>50.392503536067899</v>
      </c>
    </row>
    <row r="7" spans="1:8">
      <c r="A7" s="9" t="s">
        <v>166</v>
      </c>
      <c r="B7" s="15">
        <v>13.358085808580899</v>
      </c>
      <c r="C7" s="15">
        <v>2.6402640264026398</v>
      </c>
      <c r="D7" s="15">
        <v>7.8712871287128703</v>
      </c>
      <c r="E7" s="15">
        <v>6.7161716171617201</v>
      </c>
      <c r="F7" s="15">
        <v>7.7062706270627102</v>
      </c>
      <c r="G7" s="15">
        <v>10.5528052805281</v>
      </c>
      <c r="H7" s="24">
        <v>8.8201320132013201</v>
      </c>
    </row>
    <row r="8" spans="1:8">
      <c r="A8" s="9" t="s">
        <v>326</v>
      </c>
      <c r="B8" s="15">
        <v>8.5985384252710997</v>
      </c>
      <c r="C8" s="15">
        <v>2.4752475247524801</v>
      </c>
      <c r="D8" s="15">
        <v>7.4846770391324799</v>
      </c>
      <c r="E8" s="15">
        <v>5.25695426685526</v>
      </c>
      <c r="F8" s="15">
        <v>5.25695426685526</v>
      </c>
      <c r="G8" s="15">
        <v>4.6499292786421504</v>
      </c>
      <c r="H8" s="24">
        <v>5.1449787835926504</v>
      </c>
    </row>
    <row r="9" spans="1:8">
      <c r="A9" s="9" t="s">
        <v>327</v>
      </c>
      <c r="B9" s="15">
        <v>8.2920792079207892</v>
      </c>
      <c r="C9" s="15">
        <v>0</v>
      </c>
      <c r="D9" s="15">
        <v>4.6204620462046204</v>
      </c>
      <c r="E9" s="15">
        <v>3.1353135313531402</v>
      </c>
      <c r="F9" s="15">
        <v>1.6501650165016499</v>
      </c>
      <c r="G9" s="15">
        <v>3.6716171617161701</v>
      </c>
      <c r="H9" s="24">
        <v>2.4339933993399301</v>
      </c>
    </row>
    <row r="10" spans="1:8">
      <c r="A10" s="9" t="s">
        <v>328</v>
      </c>
      <c r="B10" s="15">
        <v>26.3790664780764</v>
      </c>
      <c r="C10" s="15">
        <v>9.2821782178217802</v>
      </c>
      <c r="D10" s="15">
        <v>23.037482319660501</v>
      </c>
      <c r="E10" s="15">
        <v>23.037482319660501</v>
      </c>
      <c r="F10" s="15">
        <v>23.037482319660501</v>
      </c>
      <c r="G10" s="15">
        <v>18.4700612918435</v>
      </c>
      <c r="H10" s="24">
        <v>17.727487034417699</v>
      </c>
    </row>
    <row r="11" spans="1:8">
      <c r="A11" s="9" t="s">
        <v>329</v>
      </c>
      <c r="B11" s="15">
        <v>25.542197076850499</v>
      </c>
      <c r="C11" s="15">
        <v>0.56577086280056599</v>
      </c>
      <c r="D11" s="15">
        <v>14.6923620933522</v>
      </c>
      <c r="E11" s="15">
        <v>15.6824611032532</v>
      </c>
      <c r="F11" s="15">
        <v>17.8276756247053</v>
      </c>
      <c r="G11" s="15">
        <v>22.006129184346999</v>
      </c>
      <c r="H11" s="24">
        <v>21.511079679396499</v>
      </c>
    </row>
    <row r="12" spans="1:8">
      <c r="A12" s="9" t="s">
        <v>330</v>
      </c>
      <c r="B12" s="15">
        <v>29.646393210749601</v>
      </c>
      <c r="C12" s="15">
        <v>9.8361621876473393</v>
      </c>
      <c r="D12" s="15">
        <v>27.542432814710001</v>
      </c>
      <c r="E12" s="15">
        <v>25.3972182932579</v>
      </c>
      <c r="F12" s="15">
        <v>24.2090994813767</v>
      </c>
      <c r="G12" s="15">
        <v>19.1100895803866</v>
      </c>
      <c r="H12" s="24">
        <v>17.872465818010401</v>
      </c>
    </row>
    <row r="13" spans="1:8">
      <c r="A13" s="9" t="s">
        <v>331</v>
      </c>
      <c r="B13" s="15">
        <v>74.040546911833999</v>
      </c>
      <c r="C13" s="15">
        <v>17.562470532767598</v>
      </c>
      <c r="D13" s="15">
        <v>29.184347006129201</v>
      </c>
      <c r="E13" s="15">
        <v>33.639792550683602</v>
      </c>
      <c r="F13" s="15">
        <v>47.934936350777903</v>
      </c>
      <c r="G13" s="15">
        <v>71.936586515794403</v>
      </c>
      <c r="H13" s="24">
        <v>71.070249882131094</v>
      </c>
    </row>
    <row r="14" spans="1:8">
      <c r="A14" s="9" t="s">
        <v>332</v>
      </c>
      <c r="B14" s="15">
        <v>51.247053276756198</v>
      </c>
      <c r="C14" s="15">
        <v>3.1353135313531402</v>
      </c>
      <c r="D14" s="15">
        <v>29.649929278642201</v>
      </c>
      <c r="E14" s="15">
        <v>25.607024988213102</v>
      </c>
      <c r="F14" s="15">
        <v>30.351249410655399</v>
      </c>
      <c r="G14" s="15">
        <v>43.420556341348401</v>
      </c>
      <c r="H14" s="24">
        <v>40.499764262140502</v>
      </c>
    </row>
    <row r="15" spans="1:8">
      <c r="A15" s="40" t="s">
        <v>333</v>
      </c>
      <c r="B15" s="15"/>
      <c r="C15" s="15"/>
      <c r="D15" s="15"/>
      <c r="E15" s="15"/>
      <c r="F15" s="15"/>
      <c r="G15" s="15"/>
      <c r="H15" s="24"/>
    </row>
    <row r="16" spans="1:8">
      <c r="A16" s="9" t="s">
        <v>153</v>
      </c>
      <c r="B16" s="15">
        <v>97.450495049504994</v>
      </c>
      <c r="C16" s="15">
        <v>45.4926921263555</v>
      </c>
      <c r="D16" s="15">
        <v>96.955445544554493</v>
      </c>
      <c r="E16" s="15">
        <v>95.965346534653506</v>
      </c>
      <c r="F16" s="15">
        <v>93.242574257425701</v>
      </c>
      <c r="G16" s="15">
        <v>76.298915605846304</v>
      </c>
      <c r="H16" s="24">
        <v>60.632956152758098</v>
      </c>
    </row>
    <row r="17" spans="1:8">
      <c r="A17" s="9" t="s">
        <v>154</v>
      </c>
      <c r="B17" s="15">
        <v>90.7378595002357</v>
      </c>
      <c r="C17" s="15">
        <v>47.439886845827402</v>
      </c>
      <c r="D17" s="15">
        <v>67.408062234794897</v>
      </c>
      <c r="E17" s="15">
        <v>69.586280056577095</v>
      </c>
      <c r="F17" s="15">
        <v>82.115747289014607</v>
      </c>
      <c r="G17" s="15">
        <v>89.128948609146605</v>
      </c>
      <c r="H17" s="24">
        <v>87.396275341819901</v>
      </c>
    </row>
    <row r="18" spans="1:8">
      <c r="A18" s="9" t="s">
        <v>334</v>
      </c>
      <c r="B18" s="15">
        <v>96.4191419141914</v>
      </c>
      <c r="C18" s="15">
        <v>67.210042432814703</v>
      </c>
      <c r="D18" s="15">
        <v>93.820132013201302</v>
      </c>
      <c r="E18" s="15">
        <v>94.315181518151803</v>
      </c>
      <c r="F18" s="15">
        <v>95.305280528052805</v>
      </c>
      <c r="G18" s="15">
        <v>93.118811881188094</v>
      </c>
      <c r="H18" s="24">
        <v>85.188590287600206</v>
      </c>
    </row>
    <row r="19" spans="1:8">
      <c r="A19" s="9" t="s">
        <v>155</v>
      </c>
      <c r="B19" s="15">
        <v>94.034653465346494</v>
      </c>
      <c r="C19" s="15">
        <v>40.8309759547383</v>
      </c>
      <c r="D19" s="15">
        <v>81.010136727958496</v>
      </c>
      <c r="E19" s="15">
        <v>84.970532767562503</v>
      </c>
      <c r="F19" s="15">
        <v>89.590994813767097</v>
      </c>
      <c r="G19" s="15">
        <v>90.869872701555906</v>
      </c>
      <c r="H19" s="24">
        <v>85.927628477133396</v>
      </c>
    </row>
    <row r="20" spans="1:8">
      <c r="A20" s="9" t="s">
        <v>335</v>
      </c>
      <c r="B20" s="15">
        <v>4.4943422913719902</v>
      </c>
      <c r="C20" s="15">
        <v>0</v>
      </c>
      <c r="D20" s="15">
        <v>2.1923620933521901</v>
      </c>
      <c r="E20" s="15">
        <v>3.0091937765205099</v>
      </c>
      <c r="F20" s="15">
        <v>2.1216407355021198</v>
      </c>
      <c r="G20" s="15">
        <v>0.49504950495049499</v>
      </c>
      <c r="H20" s="24">
        <v>0.99009900990098998</v>
      </c>
    </row>
    <row r="21" spans="1:8">
      <c r="A21" s="9" t="s">
        <v>164</v>
      </c>
      <c r="B21" s="15">
        <v>84.528524280999505</v>
      </c>
      <c r="C21" s="15">
        <v>16.019566242338499</v>
      </c>
      <c r="D21" s="15">
        <v>82.548326261197502</v>
      </c>
      <c r="E21" s="15">
        <v>81.805752003771801</v>
      </c>
      <c r="F21" s="15">
        <v>80.815652993870799</v>
      </c>
      <c r="G21" s="15">
        <v>65.1214049976426</v>
      </c>
      <c r="H21" s="24">
        <v>52.629655822725098</v>
      </c>
    </row>
    <row r="22" spans="1:8">
      <c r="A22" s="9" t="s">
        <v>166</v>
      </c>
      <c r="B22" s="15">
        <v>13.358085808580899</v>
      </c>
      <c r="C22" s="15">
        <v>2.6402640264026398</v>
      </c>
      <c r="D22" s="15">
        <v>7.8712871287128703</v>
      </c>
      <c r="E22" s="15">
        <v>6.7161716171617201</v>
      </c>
      <c r="F22" s="15">
        <v>7.7062706270627102</v>
      </c>
      <c r="G22" s="15">
        <v>10.5528052805281</v>
      </c>
      <c r="H22" s="24">
        <v>8.8201320132013201</v>
      </c>
    </row>
    <row r="23" spans="1:8">
      <c r="A23" s="9" t="s">
        <v>168</v>
      </c>
      <c r="B23" s="15">
        <v>79.416548797736894</v>
      </c>
      <c r="C23" s="15">
        <v>46.184582743988699</v>
      </c>
      <c r="D23" s="15">
        <v>68.710513908533699</v>
      </c>
      <c r="E23" s="15">
        <v>67.225365393682196</v>
      </c>
      <c r="F23" s="15">
        <v>72.959688826025499</v>
      </c>
      <c r="G23" s="15">
        <v>74.507307873644507</v>
      </c>
      <c r="H23" s="24">
        <v>73.322725129655794</v>
      </c>
    </row>
    <row r="24" spans="1:8">
      <c r="A24" s="9" t="s">
        <v>173</v>
      </c>
      <c r="B24" s="15">
        <v>98.069306930693102</v>
      </c>
      <c r="C24" s="15">
        <v>64.148986327204099</v>
      </c>
      <c r="D24" s="15">
        <v>95.965346534653506</v>
      </c>
      <c r="E24" s="15">
        <v>96.460396039603907</v>
      </c>
      <c r="F24" s="15">
        <v>96.460396039603907</v>
      </c>
      <c r="G24" s="15">
        <v>97.079207920792101</v>
      </c>
      <c r="H24" s="24">
        <v>93.501885902875998</v>
      </c>
    </row>
    <row r="25" spans="1:8">
      <c r="A25" s="9" t="s">
        <v>175</v>
      </c>
      <c r="B25" s="15">
        <v>2.4752475247524801</v>
      </c>
      <c r="C25" s="15">
        <v>0</v>
      </c>
      <c r="D25" s="15">
        <v>2.4752475247524801</v>
      </c>
      <c r="E25" s="15">
        <v>1.98019801980198</v>
      </c>
      <c r="F25" s="15">
        <v>2.4752475247524801</v>
      </c>
      <c r="G25" s="15">
        <v>0.99009900990098998</v>
      </c>
      <c r="H25" s="24">
        <v>1.48514851485149</v>
      </c>
    </row>
    <row r="26" spans="1:8">
      <c r="A26" s="9" t="s">
        <v>336</v>
      </c>
      <c r="B26" s="15">
        <v>71.289486091466301</v>
      </c>
      <c r="C26" s="15">
        <v>14.8844884488449</v>
      </c>
      <c r="D26" s="15">
        <v>69.804337576614799</v>
      </c>
      <c r="E26" s="15">
        <v>69.804337576614799</v>
      </c>
      <c r="F26" s="15">
        <v>69.114804337576601</v>
      </c>
      <c r="G26" s="15">
        <v>51.481612446958998</v>
      </c>
      <c r="H26" s="24">
        <v>48.263790664780799</v>
      </c>
    </row>
    <row r="27" spans="1:8">
      <c r="A27" s="9" t="s">
        <v>181</v>
      </c>
      <c r="B27" s="15">
        <v>4.7241867043847199</v>
      </c>
      <c r="C27" s="15">
        <v>0.69306930693069302</v>
      </c>
      <c r="D27" s="15">
        <v>2.6732673267326699</v>
      </c>
      <c r="E27" s="15">
        <v>2.6732673267326699</v>
      </c>
      <c r="F27" s="15">
        <v>2.24893917963225</v>
      </c>
      <c r="G27" s="15">
        <v>2.7439886845827401</v>
      </c>
      <c r="H27" s="24">
        <v>3.2390381895332401</v>
      </c>
    </row>
    <row r="28" spans="1:8">
      <c r="A28" s="9" t="s">
        <v>337</v>
      </c>
      <c r="B28" s="15">
        <v>38.870815652993898</v>
      </c>
      <c r="C28" s="15">
        <v>8.9851485148514794</v>
      </c>
      <c r="D28" s="15">
        <v>37.314945780292298</v>
      </c>
      <c r="E28" s="15">
        <v>29.270391324846798</v>
      </c>
      <c r="F28" s="15">
        <v>26.535832154644002</v>
      </c>
      <c r="G28" s="15">
        <v>17.017916077321999</v>
      </c>
      <c r="H28" s="24">
        <v>16.522866572371498</v>
      </c>
    </row>
    <row r="29" spans="1:8">
      <c r="A29" s="9" t="s">
        <v>185</v>
      </c>
      <c r="B29" s="15">
        <v>93.708156529938705</v>
      </c>
      <c r="C29" s="15">
        <v>9.1053748231966107</v>
      </c>
      <c r="D29" s="15">
        <v>92.594295143800096</v>
      </c>
      <c r="E29" s="15">
        <v>91.604196133899094</v>
      </c>
      <c r="F29" s="15">
        <v>92.099245638849595</v>
      </c>
      <c r="G29" s="15">
        <v>87.520037718057495</v>
      </c>
      <c r="H29" s="24">
        <v>84.178453559641696</v>
      </c>
    </row>
    <row r="30" spans="1:8">
      <c r="A30" s="9" t="s">
        <v>338</v>
      </c>
      <c r="B30" s="15">
        <v>11.696133899104201</v>
      </c>
      <c r="C30" s="15">
        <v>0.49504950495049499</v>
      </c>
      <c r="D30" s="15">
        <v>9.0558698727015496</v>
      </c>
      <c r="E30" s="15">
        <v>9.5509193776520505</v>
      </c>
      <c r="F30" s="15">
        <v>9.5509193776520505</v>
      </c>
      <c r="G30" s="15">
        <v>9.7159358793022204</v>
      </c>
      <c r="H30" s="24">
        <v>8.2307873644507303</v>
      </c>
    </row>
    <row r="31" spans="1:8">
      <c r="A31" s="9" t="s">
        <v>339</v>
      </c>
      <c r="B31" s="15">
        <v>93.881423856671404</v>
      </c>
      <c r="C31" s="15">
        <v>42.4611032531825</v>
      </c>
      <c r="D31" s="15">
        <v>92.231258840169701</v>
      </c>
      <c r="E31" s="15">
        <v>92.396275341819901</v>
      </c>
      <c r="F31" s="15">
        <v>91.4061763319189</v>
      </c>
      <c r="G31" s="15">
        <v>83.909712399811397</v>
      </c>
      <c r="H31" s="24">
        <v>80.621169259783102</v>
      </c>
    </row>
    <row r="32" spans="1:8">
      <c r="A32" s="9" t="s">
        <v>197</v>
      </c>
      <c r="B32" s="15">
        <v>5.3630363036303601</v>
      </c>
      <c r="C32" s="15">
        <v>0.49504950495049499</v>
      </c>
      <c r="D32" s="15">
        <v>1.73267326732673</v>
      </c>
      <c r="E32" s="15">
        <v>2.2277227722772301</v>
      </c>
      <c r="F32" s="15">
        <v>1.73267326732673</v>
      </c>
      <c r="G32" s="15">
        <v>4.7442244224422403</v>
      </c>
      <c r="H32" s="24">
        <v>4.2491749174917501</v>
      </c>
    </row>
    <row r="33" spans="1:8">
      <c r="A33" s="9" t="s">
        <v>340</v>
      </c>
      <c r="B33" s="15">
        <v>47.946723243752899</v>
      </c>
      <c r="C33" s="15">
        <v>7.3762376237623801</v>
      </c>
      <c r="D33" s="15">
        <v>19.121876473361599</v>
      </c>
      <c r="E33" s="15">
        <v>18.131777463460601</v>
      </c>
      <c r="F33" s="15">
        <v>27.537718057519999</v>
      </c>
      <c r="G33" s="15">
        <v>43.903818953323899</v>
      </c>
      <c r="H33" s="24">
        <v>43.656294200848698</v>
      </c>
    </row>
    <row r="34" spans="1:8">
      <c r="A34" s="9" t="s">
        <v>341</v>
      </c>
      <c r="B34" s="15">
        <v>68.480669495520999</v>
      </c>
      <c r="C34" s="15">
        <v>33.8495992456388</v>
      </c>
      <c r="D34" s="15">
        <v>61.013672795851001</v>
      </c>
      <c r="E34" s="15">
        <v>62.045025931164503</v>
      </c>
      <c r="F34" s="15">
        <v>62.870108439415397</v>
      </c>
      <c r="G34" s="15">
        <v>58.809523809523803</v>
      </c>
      <c r="H34" s="24">
        <v>56.086751532296098</v>
      </c>
    </row>
    <row r="35" spans="1:8">
      <c r="A35" s="9" t="s">
        <v>204</v>
      </c>
      <c r="B35" s="15">
        <v>3.71287128712871</v>
      </c>
      <c r="C35" s="15">
        <v>0</v>
      </c>
      <c r="D35" s="15">
        <v>3.2178217821782198</v>
      </c>
      <c r="E35" s="15">
        <v>1.2376237623762401</v>
      </c>
      <c r="F35" s="15">
        <v>0.99009900990098998</v>
      </c>
      <c r="G35" s="15">
        <v>0.49504950495049499</v>
      </c>
      <c r="H35" s="24">
        <v>0.99009900990098998</v>
      </c>
    </row>
    <row r="36" spans="1:8">
      <c r="A36" s="9" t="s">
        <v>205</v>
      </c>
      <c r="B36" s="15">
        <v>53.629184347006102</v>
      </c>
      <c r="C36" s="15">
        <v>6.5181518151815201</v>
      </c>
      <c r="D36" s="15">
        <v>18.945073078736399</v>
      </c>
      <c r="E36" s="15">
        <v>20.760254596888299</v>
      </c>
      <c r="F36" s="15">
        <v>31.6395568128241</v>
      </c>
      <c r="G36" s="15">
        <v>47.708628005657701</v>
      </c>
      <c r="H36" s="24">
        <v>45.480905233380497</v>
      </c>
    </row>
    <row r="37" spans="1:8">
      <c r="A37" s="9" t="s">
        <v>342</v>
      </c>
      <c r="B37" s="15">
        <v>10.3677510608204</v>
      </c>
      <c r="C37" s="15">
        <v>1.11386138613861</v>
      </c>
      <c r="D37" s="15">
        <v>7.8512494106553499</v>
      </c>
      <c r="E37" s="15">
        <v>7.3231966053748199</v>
      </c>
      <c r="F37" s="15">
        <v>9.6746817538896792</v>
      </c>
      <c r="G37" s="15">
        <v>4.2079207920792099</v>
      </c>
      <c r="H37" s="24">
        <v>4.7029702970297</v>
      </c>
    </row>
    <row r="38" spans="1:8">
      <c r="A38" s="40" t="s">
        <v>343</v>
      </c>
      <c r="B38" s="15"/>
      <c r="C38" s="15"/>
      <c r="D38" s="15"/>
      <c r="E38" s="15"/>
      <c r="F38" s="15"/>
      <c r="G38" s="15"/>
      <c r="H38" s="24"/>
    </row>
    <row r="39" spans="1:8">
      <c r="A39" s="9" t="s">
        <v>167</v>
      </c>
      <c r="B39" s="15">
        <v>70.952380952380906</v>
      </c>
      <c r="C39" s="15">
        <v>3.66336633663366</v>
      </c>
      <c r="D39" s="15">
        <v>65.259311645450296</v>
      </c>
      <c r="E39" s="15">
        <v>62.495285242809999</v>
      </c>
      <c r="F39" s="15">
        <v>61.805752003771801</v>
      </c>
      <c r="G39" s="15">
        <v>48.681046676096202</v>
      </c>
      <c r="H39" s="24">
        <v>41.923620933521903</v>
      </c>
    </row>
    <row r="40" spans="1:8">
      <c r="A40" s="9" t="s">
        <v>176</v>
      </c>
      <c r="B40" s="15">
        <v>86.146864686468604</v>
      </c>
      <c r="C40" s="15">
        <v>12.1086751532296</v>
      </c>
      <c r="D40" s="15">
        <v>83.972182932579003</v>
      </c>
      <c r="E40" s="15">
        <v>82.227722772277204</v>
      </c>
      <c r="F40" s="15">
        <v>69.268033946251805</v>
      </c>
      <c r="G40" s="15">
        <v>28.0622347949081</v>
      </c>
      <c r="H40" s="24">
        <v>26.082036775106101</v>
      </c>
    </row>
    <row r="41" spans="1:8">
      <c r="A41" s="9" t="s">
        <v>344</v>
      </c>
      <c r="B41" s="15">
        <v>5.3960396039603999</v>
      </c>
      <c r="C41" s="15">
        <v>0</v>
      </c>
      <c r="D41" s="15">
        <v>3.1683168316831698</v>
      </c>
      <c r="E41" s="15">
        <v>2.4752475247524801</v>
      </c>
      <c r="F41" s="15">
        <v>3.2178217821782198</v>
      </c>
      <c r="G41" s="15">
        <v>1.48514851485149</v>
      </c>
      <c r="H41" s="24">
        <v>0.99009900990098998</v>
      </c>
    </row>
    <row r="42" spans="1:8">
      <c r="A42" s="40" t="s">
        <v>345</v>
      </c>
      <c r="B42" s="15"/>
      <c r="C42" s="15"/>
      <c r="D42" s="15"/>
      <c r="E42" s="15"/>
      <c r="F42" s="15"/>
      <c r="G42" s="15"/>
      <c r="H42" s="24"/>
    </row>
    <row r="43" spans="1:8">
      <c r="A43" s="9" t="s">
        <v>346</v>
      </c>
      <c r="B43" s="15">
        <v>2.1039603960396001</v>
      </c>
      <c r="C43" s="15">
        <v>0</v>
      </c>
      <c r="D43" s="15">
        <v>2.1039603960396001</v>
      </c>
      <c r="E43" s="15">
        <v>0</v>
      </c>
      <c r="F43" s="15">
        <v>0</v>
      </c>
      <c r="G43" s="15">
        <v>0</v>
      </c>
      <c r="H43" s="24">
        <v>0</v>
      </c>
    </row>
    <row r="44" spans="1:8">
      <c r="A44" s="9" t="s">
        <v>347</v>
      </c>
      <c r="B44" s="15">
        <v>2.5990099009901</v>
      </c>
      <c r="C44" s="15">
        <v>0</v>
      </c>
      <c r="D44" s="15">
        <v>1.11386138613861</v>
      </c>
      <c r="E44" s="15">
        <v>0</v>
      </c>
      <c r="F44" s="15">
        <v>1.48514851485149</v>
      </c>
      <c r="G44" s="15">
        <v>0.49504950495049499</v>
      </c>
      <c r="H44" s="24">
        <v>0</v>
      </c>
    </row>
    <row r="45" spans="1:8">
      <c r="A45" s="9" t="s">
        <v>163</v>
      </c>
      <c r="B45" s="15">
        <v>8.6633663366336595</v>
      </c>
      <c r="C45" s="15">
        <v>0</v>
      </c>
      <c r="D45" s="15">
        <v>5.0330033003300301</v>
      </c>
      <c r="E45" s="15">
        <v>5.0330033003300301</v>
      </c>
      <c r="F45" s="15">
        <v>2.6815181518151801</v>
      </c>
      <c r="G45" s="15">
        <v>3.7541254125412502</v>
      </c>
      <c r="H45" s="24">
        <v>3.0115511551155101</v>
      </c>
    </row>
    <row r="46" spans="1:8">
      <c r="A46" s="9" t="s">
        <v>184</v>
      </c>
      <c r="B46" s="15">
        <v>9.4884488448844895</v>
      </c>
      <c r="C46" s="15">
        <v>2.1452145214521501</v>
      </c>
      <c r="D46" s="15">
        <v>6.0231023102310202</v>
      </c>
      <c r="E46" s="15">
        <v>6.7656765676567696</v>
      </c>
      <c r="F46" s="15">
        <v>6.0231023102310202</v>
      </c>
      <c r="G46" s="15">
        <v>5.52805280528053</v>
      </c>
      <c r="H46" s="24">
        <v>6.0231023102310202</v>
      </c>
    </row>
    <row r="47" spans="1:8">
      <c r="A47" s="9" t="s">
        <v>348</v>
      </c>
      <c r="B47" s="15">
        <v>50.810938236680798</v>
      </c>
      <c r="C47" s="15">
        <v>6.0938236680810904</v>
      </c>
      <c r="D47" s="15">
        <v>47.675624705327699</v>
      </c>
      <c r="E47" s="15">
        <v>45.583451202263099</v>
      </c>
      <c r="F47" s="15">
        <v>36.466289486091497</v>
      </c>
      <c r="G47" s="15">
        <v>19.4931636020745</v>
      </c>
      <c r="H47" s="24">
        <v>15.3677510608204</v>
      </c>
    </row>
    <row r="48" spans="1:8">
      <c r="A48" s="9" t="s">
        <v>349</v>
      </c>
      <c r="B48" s="15">
        <v>0.49504950495049499</v>
      </c>
      <c r="C48" s="15">
        <v>0</v>
      </c>
      <c r="D48" s="15">
        <v>0</v>
      </c>
      <c r="E48" s="15">
        <v>0</v>
      </c>
      <c r="F48" s="15">
        <v>0.49504950495049499</v>
      </c>
      <c r="G48" s="15">
        <v>0</v>
      </c>
      <c r="H48" s="24">
        <v>0</v>
      </c>
    </row>
    <row r="49" spans="1:8">
      <c r="A49" s="9" t="s">
        <v>182</v>
      </c>
      <c r="B49" s="15">
        <v>23.2355021216407</v>
      </c>
      <c r="C49" s="15">
        <v>0.99009900990098998</v>
      </c>
      <c r="D49" s="15">
        <v>12.600188590287599</v>
      </c>
      <c r="E49" s="15">
        <v>11.6925978312117</v>
      </c>
      <c r="F49" s="15">
        <v>15.438472418670401</v>
      </c>
      <c r="G49" s="15">
        <v>7.2194719471947204</v>
      </c>
      <c r="H49" s="24">
        <v>6.4768976897689798</v>
      </c>
    </row>
    <row r="50" spans="1:8">
      <c r="A50" s="9" t="s">
        <v>186</v>
      </c>
      <c r="B50" s="15">
        <v>1.6089108910891099</v>
      </c>
      <c r="C50" s="15">
        <v>0</v>
      </c>
      <c r="D50" s="15">
        <v>1.11386138613861</v>
      </c>
      <c r="E50" s="15">
        <v>0.49504950495049499</v>
      </c>
      <c r="F50" s="15">
        <v>0</v>
      </c>
      <c r="G50" s="15">
        <v>0</v>
      </c>
      <c r="H50" s="24">
        <v>0</v>
      </c>
    </row>
    <row r="51" spans="1:8">
      <c r="A51" s="9" t="s">
        <v>187</v>
      </c>
      <c r="B51" s="15">
        <v>8.1683168316831694</v>
      </c>
      <c r="C51" s="15">
        <v>0.61881188118811903</v>
      </c>
      <c r="D51" s="15">
        <v>4.8267326732673297</v>
      </c>
      <c r="E51" s="15">
        <v>6.0643564356435604</v>
      </c>
      <c r="F51" s="15">
        <v>6.9306930693069297</v>
      </c>
      <c r="G51" s="15">
        <v>1.11386138613861</v>
      </c>
      <c r="H51" s="24">
        <v>1.11386138613861</v>
      </c>
    </row>
    <row r="52" spans="1:8">
      <c r="A52" s="9" t="s">
        <v>189</v>
      </c>
      <c r="B52" s="15">
        <v>1.98019801980198</v>
      </c>
      <c r="C52" s="15">
        <v>0</v>
      </c>
      <c r="D52" s="15">
        <v>0</v>
      </c>
      <c r="E52" s="15">
        <v>0.49504950495049499</v>
      </c>
      <c r="F52" s="15">
        <v>0.49504950495049499</v>
      </c>
      <c r="G52" s="15">
        <v>1.48514851485149</v>
      </c>
      <c r="H52" s="24">
        <v>1.48514851485149</v>
      </c>
    </row>
    <row r="53" spans="1:8">
      <c r="A53" s="9" t="s">
        <v>194</v>
      </c>
      <c r="B53" s="15">
        <v>1.11386138613861</v>
      </c>
      <c r="C53" s="15">
        <v>0</v>
      </c>
      <c r="D53" s="15">
        <v>0.61881188118811903</v>
      </c>
      <c r="E53" s="15">
        <v>0.61881188118811903</v>
      </c>
      <c r="F53" s="15">
        <v>1.11386138613861</v>
      </c>
      <c r="G53" s="15">
        <v>0.61881188118811903</v>
      </c>
      <c r="H53" s="24">
        <v>0</v>
      </c>
    </row>
    <row r="54" spans="1:8">
      <c r="A54" s="9" t="s">
        <v>195</v>
      </c>
      <c r="B54" s="15">
        <v>3.53606789250354</v>
      </c>
      <c r="C54" s="15">
        <v>0</v>
      </c>
      <c r="D54" s="15">
        <v>1.98019801980198</v>
      </c>
      <c r="E54" s="15">
        <v>1.98019801980198</v>
      </c>
      <c r="F54" s="15">
        <v>1.98019801980198</v>
      </c>
      <c r="G54" s="15">
        <v>1.0608203677510599</v>
      </c>
      <c r="H54" s="24">
        <v>0</v>
      </c>
    </row>
    <row r="55" spans="1:8">
      <c r="A55" s="9" t="s">
        <v>350</v>
      </c>
      <c r="B55" s="15">
        <v>2.4752475247524801</v>
      </c>
      <c r="C55" s="15">
        <v>1.48514851485149</v>
      </c>
      <c r="D55" s="15">
        <v>1.48514851485149</v>
      </c>
      <c r="E55" s="15">
        <v>1.98019801980198</v>
      </c>
      <c r="F55" s="15">
        <v>1.98019801980198</v>
      </c>
      <c r="G55" s="15">
        <v>1.98019801980198</v>
      </c>
      <c r="H55" s="24">
        <v>2.4752475247524801</v>
      </c>
    </row>
    <row r="56" spans="1:8">
      <c r="A56" s="11" t="s">
        <v>198</v>
      </c>
      <c r="B56" s="16">
        <v>2.4752475247524801</v>
      </c>
      <c r="C56" s="16">
        <v>0</v>
      </c>
      <c r="D56" s="16">
        <v>0.99009900990098998</v>
      </c>
      <c r="E56" s="16">
        <v>0.99009900990098998</v>
      </c>
      <c r="F56" s="16">
        <v>1.98019801980198</v>
      </c>
      <c r="G56" s="16">
        <v>0.99009900990098998</v>
      </c>
      <c r="H56" s="25">
        <v>0.99009900990098998</v>
      </c>
    </row>
    <row r="57" spans="1:8" ht="30" customHeight="1">
      <c r="A57" t="s">
        <v>94</v>
      </c>
    </row>
    <row r="58" spans="1:8">
      <c r="A58" t="s">
        <v>479</v>
      </c>
    </row>
    <row r="59" spans="1:8">
      <c r="A59" t="s">
        <v>480</v>
      </c>
    </row>
    <row r="60" spans="1:8">
      <c r="A60" t="s">
        <v>481</v>
      </c>
    </row>
    <row r="61" spans="1:8">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61"/>
  <sheetViews>
    <sheetView zoomScale="70" workbookViewId="0"/>
  </sheetViews>
  <sheetFormatPr defaultColWidth="10.90625" defaultRowHeight="15"/>
  <cols>
    <col min="1" max="1" width="77.6796875" customWidth="1"/>
    <col min="2" max="5" width="15.90625" customWidth="1"/>
  </cols>
  <sheetData>
    <row r="1" spans="1:5" ht="39.9" customHeight="1">
      <c r="A1" s="10" t="s">
        <v>490</v>
      </c>
      <c r="B1" s="12"/>
      <c r="C1" s="12"/>
      <c r="D1" s="12"/>
      <c r="E1" s="12"/>
    </row>
    <row r="2" spans="1:5" ht="60">
      <c r="A2" s="7" t="s">
        <v>2</v>
      </c>
      <c r="B2" s="6" t="s">
        <v>483</v>
      </c>
      <c r="C2" s="6" t="s">
        <v>352</v>
      </c>
      <c r="D2" s="6" t="s">
        <v>353</v>
      </c>
      <c r="E2" s="8" t="s">
        <v>354</v>
      </c>
    </row>
    <row r="3" spans="1:5">
      <c r="A3" s="40" t="s">
        <v>322</v>
      </c>
      <c r="B3" s="15"/>
      <c r="C3" s="15"/>
      <c r="D3" s="15"/>
      <c r="E3" s="24"/>
    </row>
    <row r="4" spans="1:5">
      <c r="A4" s="9" t="s">
        <v>323</v>
      </c>
      <c r="B4" s="15">
        <v>6.2623762376237604</v>
      </c>
      <c r="C4" s="15">
        <v>1.6089108910891099</v>
      </c>
      <c r="D4" s="15">
        <v>0.49504950495049499</v>
      </c>
      <c r="E4" s="24">
        <v>4.6534653465346496</v>
      </c>
    </row>
    <row r="5" spans="1:5">
      <c r="A5" s="9" t="s">
        <v>324</v>
      </c>
      <c r="B5" s="15">
        <v>30.162659123055199</v>
      </c>
      <c r="C5" s="15">
        <v>25.854549740688402</v>
      </c>
      <c r="D5" s="15">
        <v>4.4024045261669</v>
      </c>
      <c r="E5" s="24">
        <v>7.4552098066949499</v>
      </c>
    </row>
    <row r="6" spans="1:5">
      <c r="A6" s="9" t="s">
        <v>325</v>
      </c>
      <c r="B6" s="15">
        <v>30.8887317303159</v>
      </c>
      <c r="C6" s="15">
        <v>28.767090994813799</v>
      </c>
      <c r="D6" s="15">
        <v>4.1018387553041</v>
      </c>
      <c r="E6" s="24">
        <v>4.1018387553041</v>
      </c>
    </row>
    <row r="7" spans="1:5">
      <c r="A7" s="9" t="s">
        <v>166</v>
      </c>
      <c r="B7" s="15">
        <v>4.5379537953795399</v>
      </c>
      <c r="C7" s="15">
        <v>4.5379537953795399</v>
      </c>
      <c r="D7" s="15">
        <v>0</v>
      </c>
      <c r="E7" s="24">
        <v>0</v>
      </c>
    </row>
    <row r="8" spans="1:5">
      <c r="A8" s="9" t="s">
        <v>326</v>
      </c>
      <c r="B8" s="15">
        <v>4.1018387553041</v>
      </c>
      <c r="C8" s="15">
        <v>3.53606789250354</v>
      </c>
      <c r="D8" s="15">
        <v>0</v>
      </c>
      <c r="E8" s="24">
        <v>0.56577086280056599</v>
      </c>
    </row>
    <row r="9" spans="1:5">
      <c r="A9" s="9" t="s">
        <v>327</v>
      </c>
      <c r="B9" s="15">
        <v>5.2392739273927402</v>
      </c>
      <c r="C9" s="15">
        <v>3.7541254125412502</v>
      </c>
      <c r="D9" s="15">
        <v>0.99009900990098998</v>
      </c>
      <c r="E9" s="24">
        <v>1.48514851485149</v>
      </c>
    </row>
    <row r="10" spans="1:5">
      <c r="A10" s="9" t="s">
        <v>328</v>
      </c>
      <c r="B10" s="15">
        <v>1.73267326732673</v>
      </c>
      <c r="C10" s="15">
        <v>1.73267326732673</v>
      </c>
      <c r="D10" s="15">
        <v>0</v>
      </c>
      <c r="E10" s="24">
        <v>0</v>
      </c>
    </row>
    <row r="11" spans="1:5">
      <c r="A11" s="9" t="s">
        <v>329</v>
      </c>
      <c r="B11" s="15">
        <v>2.6402640264026398</v>
      </c>
      <c r="C11" s="15">
        <v>0</v>
      </c>
      <c r="D11" s="15">
        <v>0</v>
      </c>
      <c r="E11" s="24">
        <v>2.6402640264026398</v>
      </c>
    </row>
    <row r="12" spans="1:5">
      <c r="A12" s="9" t="s">
        <v>330</v>
      </c>
      <c r="B12" s="15">
        <v>7.3762376237623801</v>
      </c>
      <c r="C12" s="15">
        <v>7.3762376237623801</v>
      </c>
      <c r="D12" s="15">
        <v>0</v>
      </c>
      <c r="E12" s="24">
        <v>0</v>
      </c>
    </row>
    <row r="13" spans="1:5">
      <c r="A13" s="9" t="s">
        <v>331</v>
      </c>
      <c r="B13" s="15">
        <v>43.190711928335702</v>
      </c>
      <c r="C13" s="15">
        <v>32.735737859500198</v>
      </c>
      <c r="D13" s="15">
        <v>15.1991984912777</v>
      </c>
      <c r="E13" s="24">
        <v>12.1169259783121</v>
      </c>
    </row>
    <row r="14" spans="1:5">
      <c r="A14" s="9" t="s">
        <v>332</v>
      </c>
      <c r="B14" s="15">
        <v>8.0363036303630402</v>
      </c>
      <c r="C14" s="15">
        <v>6.2293729372937303</v>
      </c>
      <c r="D14" s="15">
        <v>0.49504950495049499</v>
      </c>
      <c r="E14" s="24">
        <v>2.7970297029703</v>
      </c>
    </row>
    <row r="15" spans="1:5">
      <c r="A15" s="40" t="s">
        <v>333</v>
      </c>
      <c r="B15" s="15"/>
      <c r="C15" s="15"/>
      <c r="D15" s="15"/>
      <c r="E15" s="24"/>
    </row>
    <row r="16" spans="1:5">
      <c r="A16" s="9" t="s">
        <v>153</v>
      </c>
      <c r="B16" s="15">
        <v>80.453795379537993</v>
      </c>
      <c r="C16" s="15">
        <v>75.962989156058498</v>
      </c>
      <c r="D16" s="15">
        <v>5.7814710042432802</v>
      </c>
      <c r="E16" s="24">
        <v>7.1841112682696799</v>
      </c>
    </row>
    <row r="17" spans="1:5">
      <c r="A17" s="9" t="s">
        <v>154</v>
      </c>
      <c r="B17" s="15">
        <v>56.841112682696803</v>
      </c>
      <c r="C17" s="15">
        <v>53.664545025931197</v>
      </c>
      <c r="D17" s="15">
        <v>3.5478547854785498</v>
      </c>
      <c r="E17" s="24">
        <v>3.79537953795379</v>
      </c>
    </row>
    <row r="18" spans="1:5">
      <c r="A18" s="9" t="s">
        <v>334</v>
      </c>
      <c r="B18" s="15">
        <v>65.663602074493198</v>
      </c>
      <c r="C18" s="15">
        <v>46.606553512494102</v>
      </c>
      <c r="D18" s="15">
        <v>9.2998585572843009</v>
      </c>
      <c r="E18" s="24">
        <v>22.027345591702002</v>
      </c>
    </row>
    <row r="19" spans="1:5">
      <c r="A19" s="9" t="s">
        <v>155</v>
      </c>
      <c r="B19" s="15">
        <v>73.922677982083897</v>
      </c>
      <c r="C19" s="15">
        <v>56.036067892503503</v>
      </c>
      <c r="D19" s="15">
        <v>23.7859500235738</v>
      </c>
      <c r="E19" s="24">
        <v>8.0445544554455406</v>
      </c>
    </row>
    <row r="20" spans="1:5">
      <c r="A20" s="9" t="s">
        <v>335</v>
      </c>
      <c r="B20" s="15">
        <v>0.49504950495049499</v>
      </c>
      <c r="C20" s="15">
        <v>0.49504950495049499</v>
      </c>
      <c r="D20" s="15">
        <v>0</v>
      </c>
      <c r="E20" s="24">
        <v>0</v>
      </c>
    </row>
    <row r="21" spans="1:5">
      <c r="A21" s="9" t="s">
        <v>164</v>
      </c>
      <c r="B21" s="15">
        <v>59.923385195662398</v>
      </c>
      <c r="C21" s="15">
        <v>37.351485148514897</v>
      </c>
      <c r="D21" s="15">
        <v>22.996228194248001</v>
      </c>
      <c r="E21" s="24">
        <v>14.1383781235266</v>
      </c>
    </row>
    <row r="22" spans="1:5">
      <c r="A22" s="9" t="s">
        <v>166</v>
      </c>
      <c r="B22" s="15">
        <v>4.5379537953795399</v>
      </c>
      <c r="C22" s="15">
        <v>4.5379537953795399</v>
      </c>
      <c r="D22" s="15">
        <v>0</v>
      </c>
      <c r="E22" s="24">
        <v>0</v>
      </c>
    </row>
    <row r="23" spans="1:5">
      <c r="A23" s="9" t="s">
        <v>168</v>
      </c>
      <c r="B23" s="15">
        <v>28.7010843941537</v>
      </c>
      <c r="C23" s="15">
        <v>25.907590759075902</v>
      </c>
      <c r="D23" s="15">
        <v>2.1039603960396001</v>
      </c>
      <c r="E23" s="24">
        <v>4.2786421499292802</v>
      </c>
    </row>
    <row r="24" spans="1:5">
      <c r="A24" s="9" t="s">
        <v>173</v>
      </c>
      <c r="B24" s="15">
        <v>95.346534653465298</v>
      </c>
      <c r="C24" s="15">
        <v>44.341112682696803</v>
      </c>
      <c r="D24" s="15">
        <v>64.499057048561994</v>
      </c>
      <c r="E24" s="24">
        <v>62.395096652522398</v>
      </c>
    </row>
    <row r="25" spans="1:5">
      <c r="A25" s="9" t="s">
        <v>175</v>
      </c>
      <c r="B25" s="15">
        <v>3.4653465346534702</v>
      </c>
      <c r="C25" s="15">
        <v>3.4653465346534702</v>
      </c>
      <c r="D25" s="15">
        <v>0</v>
      </c>
      <c r="E25" s="24">
        <v>0</v>
      </c>
    </row>
    <row r="26" spans="1:5">
      <c r="A26" s="9" t="s">
        <v>336</v>
      </c>
      <c r="B26" s="15">
        <v>50.768505421970801</v>
      </c>
      <c r="C26" s="15">
        <v>35.598774163130599</v>
      </c>
      <c r="D26" s="15">
        <v>4.7442244224422403</v>
      </c>
      <c r="E26" s="24">
        <v>21.4321074964639</v>
      </c>
    </row>
    <row r="27" spans="1:5">
      <c r="A27" s="9" t="s">
        <v>181</v>
      </c>
      <c r="B27" s="15">
        <v>0.99009900990098998</v>
      </c>
      <c r="C27" s="15">
        <v>0.99009900990098998</v>
      </c>
      <c r="D27" s="15">
        <v>0</v>
      </c>
      <c r="E27" s="24">
        <v>0</v>
      </c>
    </row>
    <row r="28" spans="1:5">
      <c r="A28" s="9" t="s">
        <v>337</v>
      </c>
      <c r="B28" s="15">
        <v>6.5594059405940603</v>
      </c>
      <c r="C28" s="15">
        <v>3.9603960396039599</v>
      </c>
      <c r="D28" s="15">
        <v>0</v>
      </c>
      <c r="E28" s="24">
        <v>2.5990099009901</v>
      </c>
    </row>
    <row r="29" spans="1:5">
      <c r="A29" s="9" t="s">
        <v>185</v>
      </c>
      <c r="B29" s="15">
        <v>84.590994813767097</v>
      </c>
      <c r="C29" s="15">
        <v>19.1136256482791</v>
      </c>
      <c r="D29" s="15">
        <v>1.2376237623762401</v>
      </c>
      <c r="E29" s="24">
        <v>65.848656294200893</v>
      </c>
    </row>
    <row r="30" spans="1:5">
      <c r="A30" s="9" t="s">
        <v>338</v>
      </c>
      <c r="B30" s="15">
        <v>6.0148514851485197</v>
      </c>
      <c r="C30" s="15">
        <v>2.1782178217821802</v>
      </c>
      <c r="D30" s="15">
        <v>3.3415841584158401</v>
      </c>
      <c r="E30" s="24">
        <v>1.8564356435643601</v>
      </c>
    </row>
    <row r="31" spans="1:5">
      <c r="A31" s="9" t="s">
        <v>339</v>
      </c>
      <c r="B31" s="15">
        <v>86.579443658651599</v>
      </c>
      <c r="C31" s="15">
        <v>33.177746346063202</v>
      </c>
      <c r="D31" s="15">
        <v>63.962753418199</v>
      </c>
      <c r="E31" s="24">
        <v>40.359500235737897</v>
      </c>
    </row>
    <row r="32" spans="1:5">
      <c r="A32" s="9" t="s">
        <v>197</v>
      </c>
      <c r="B32" s="15">
        <v>0.49504950495049499</v>
      </c>
      <c r="C32" s="15">
        <v>0.49504950495049499</v>
      </c>
      <c r="D32" s="15">
        <v>0</v>
      </c>
      <c r="E32" s="24">
        <v>0</v>
      </c>
    </row>
    <row r="33" spans="1:5">
      <c r="A33" s="9" t="s">
        <v>340</v>
      </c>
      <c r="B33" s="15">
        <v>16.254125412541299</v>
      </c>
      <c r="C33" s="15">
        <v>15.5115511551155</v>
      </c>
      <c r="D33" s="15">
        <v>0.74257425742574301</v>
      </c>
      <c r="E33" s="24">
        <v>0</v>
      </c>
    </row>
    <row r="34" spans="1:5">
      <c r="A34" s="9" t="s">
        <v>341</v>
      </c>
      <c r="B34" s="15">
        <v>34.642857142857103</v>
      </c>
      <c r="C34" s="15">
        <v>30.800330033003299</v>
      </c>
      <c r="D34" s="15">
        <v>6.07024988213107</v>
      </c>
      <c r="E34" s="24">
        <v>5.5044790193304998</v>
      </c>
    </row>
    <row r="35" spans="1:5">
      <c r="A35" s="9" t="s">
        <v>204</v>
      </c>
      <c r="B35" s="15">
        <v>0.49504950495049499</v>
      </c>
      <c r="C35" s="15">
        <v>0.49504950495049499</v>
      </c>
      <c r="D35" s="15">
        <v>0</v>
      </c>
      <c r="E35" s="24">
        <v>0</v>
      </c>
    </row>
    <row r="36" spans="1:5">
      <c r="A36" s="9" t="s">
        <v>205</v>
      </c>
      <c r="B36" s="15">
        <v>6.8399339933993399</v>
      </c>
      <c r="C36" s="15">
        <v>5.52805280528053</v>
      </c>
      <c r="D36" s="15">
        <v>0</v>
      </c>
      <c r="E36" s="24">
        <v>1.3118811881188099</v>
      </c>
    </row>
    <row r="37" spans="1:5">
      <c r="A37" s="9" t="s">
        <v>342</v>
      </c>
      <c r="B37" s="15">
        <v>0.66006600660065995</v>
      </c>
      <c r="C37" s="15">
        <v>0.66006600660065995</v>
      </c>
      <c r="D37" s="15">
        <v>0</v>
      </c>
      <c r="E37" s="24">
        <v>0</v>
      </c>
    </row>
    <row r="38" spans="1:5">
      <c r="A38" s="40" t="s">
        <v>343</v>
      </c>
      <c r="B38" s="15"/>
      <c r="C38" s="15"/>
      <c r="D38" s="15"/>
      <c r="E38" s="24"/>
    </row>
    <row r="39" spans="1:5">
      <c r="A39" s="9" t="s">
        <v>167</v>
      </c>
      <c r="B39" s="15">
        <v>38.570249882131101</v>
      </c>
      <c r="C39" s="15">
        <v>21.968411126827</v>
      </c>
      <c r="D39" s="15">
        <v>0.66006600660065995</v>
      </c>
      <c r="E39" s="24">
        <v>18.3757661480434</v>
      </c>
    </row>
    <row r="40" spans="1:5">
      <c r="A40" s="9" t="s">
        <v>176</v>
      </c>
      <c r="B40" s="15">
        <v>43.748231966053702</v>
      </c>
      <c r="C40" s="15">
        <v>32.138142385667102</v>
      </c>
      <c r="D40" s="15">
        <v>6.0938236680810904</v>
      </c>
      <c r="E40" s="24">
        <v>12.8477133427628</v>
      </c>
    </row>
    <row r="41" spans="1:5">
      <c r="A41" s="9" t="s">
        <v>344</v>
      </c>
      <c r="B41" s="15">
        <v>0</v>
      </c>
      <c r="C41" s="15">
        <v>0</v>
      </c>
      <c r="D41" s="15">
        <v>0</v>
      </c>
      <c r="E41" s="24">
        <v>0</v>
      </c>
    </row>
    <row r="42" spans="1:5">
      <c r="A42" s="40" t="s">
        <v>345</v>
      </c>
      <c r="B42" s="15"/>
      <c r="C42" s="15"/>
      <c r="D42" s="15"/>
      <c r="E42" s="24"/>
    </row>
    <row r="43" spans="1:5">
      <c r="A43" s="9" t="s">
        <v>346</v>
      </c>
      <c r="B43" s="15">
        <v>0.74257425742574301</v>
      </c>
      <c r="C43" s="15">
        <v>0.74257425742574301</v>
      </c>
      <c r="D43" s="15">
        <v>0</v>
      </c>
      <c r="E43" s="24">
        <v>0</v>
      </c>
    </row>
    <row r="44" spans="1:5">
      <c r="A44" s="9" t="s">
        <v>347</v>
      </c>
      <c r="B44" s="15">
        <v>0.49504950495049499</v>
      </c>
      <c r="C44" s="15">
        <v>0.49504950495049499</v>
      </c>
      <c r="D44" s="15">
        <v>0</v>
      </c>
      <c r="E44" s="24">
        <v>0</v>
      </c>
    </row>
    <row r="45" spans="1:5">
      <c r="A45" s="9" t="s">
        <v>163</v>
      </c>
      <c r="B45" s="15">
        <v>3.83663366336634</v>
      </c>
      <c r="C45" s="15">
        <v>3.83663366336634</v>
      </c>
      <c r="D45" s="15">
        <v>0.61881188118811903</v>
      </c>
      <c r="E45" s="24">
        <v>0.61881188118811903</v>
      </c>
    </row>
    <row r="46" spans="1:5">
      <c r="A46" s="9" t="s">
        <v>184</v>
      </c>
      <c r="B46" s="15">
        <v>4.6204620462046204</v>
      </c>
      <c r="C46" s="15">
        <v>3.9603960396039599</v>
      </c>
      <c r="D46" s="15">
        <v>0.66006600660065995</v>
      </c>
      <c r="E46" s="24">
        <v>0</v>
      </c>
    </row>
    <row r="47" spans="1:5">
      <c r="A47" s="9" t="s">
        <v>348</v>
      </c>
      <c r="B47" s="15">
        <v>2.1452145214521501</v>
      </c>
      <c r="C47" s="15">
        <v>1.48514851485149</v>
      </c>
      <c r="D47" s="15">
        <v>0.66006600660065995</v>
      </c>
      <c r="E47" s="24">
        <v>0.66006600660065995</v>
      </c>
    </row>
    <row r="48" spans="1:5">
      <c r="A48" s="9" t="s">
        <v>349</v>
      </c>
      <c r="B48" s="15">
        <v>0</v>
      </c>
      <c r="C48" s="15">
        <v>0</v>
      </c>
      <c r="D48" s="15">
        <v>0</v>
      </c>
      <c r="E48" s="24">
        <v>0</v>
      </c>
    </row>
    <row r="49" spans="1:5">
      <c r="A49" s="9" t="s">
        <v>182</v>
      </c>
      <c r="B49" s="15">
        <v>1.15511551155115</v>
      </c>
      <c r="C49" s="15">
        <v>0.49504950495049499</v>
      </c>
      <c r="D49" s="15">
        <v>0.66006600660065995</v>
      </c>
      <c r="E49" s="24">
        <v>0.66006600660065995</v>
      </c>
    </row>
    <row r="50" spans="1:5">
      <c r="A50" s="9" t="s">
        <v>186</v>
      </c>
      <c r="B50" s="15">
        <v>1.73267326732673</v>
      </c>
      <c r="C50" s="15">
        <v>1.73267326732673</v>
      </c>
      <c r="D50" s="15">
        <v>0</v>
      </c>
      <c r="E50" s="24">
        <v>0</v>
      </c>
    </row>
    <row r="51" spans="1:5">
      <c r="A51" s="9" t="s">
        <v>187</v>
      </c>
      <c r="B51" s="15">
        <v>5.2805280528052796</v>
      </c>
      <c r="C51" s="15">
        <v>4.2904290429042904</v>
      </c>
      <c r="D51" s="15">
        <v>0.99009900990098998</v>
      </c>
      <c r="E51" s="24">
        <v>0</v>
      </c>
    </row>
    <row r="52" spans="1:5">
      <c r="A52" s="9" t="s">
        <v>189</v>
      </c>
      <c r="B52" s="15">
        <v>0.74257425742574301</v>
      </c>
      <c r="C52" s="15">
        <v>0.74257425742574301</v>
      </c>
      <c r="D52" s="15">
        <v>0</v>
      </c>
      <c r="E52" s="24">
        <v>0</v>
      </c>
    </row>
    <row r="53" spans="1:5">
      <c r="A53" s="9" t="s">
        <v>194</v>
      </c>
      <c r="B53" s="15">
        <v>0.61881188118811903</v>
      </c>
      <c r="C53" s="15">
        <v>0.61881188118811903</v>
      </c>
      <c r="D53" s="15">
        <v>0</v>
      </c>
      <c r="E53" s="24">
        <v>0</v>
      </c>
    </row>
    <row r="54" spans="1:5">
      <c r="A54" s="9" t="s">
        <v>195</v>
      </c>
      <c r="B54" s="15">
        <v>2.84653465346535</v>
      </c>
      <c r="C54" s="15">
        <v>2.84653465346535</v>
      </c>
      <c r="D54" s="15">
        <v>0</v>
      </c>
      <c r="E54" s="24">
        <v>0</v>
      </c>
    </row>
    <row r="55" spans="1:5">
      <c r="A55" s="9" t="s">
        <v>350</v>
      </c>
      <c r="B55" s="15">
        <v>1.98019801980198</v>
      </c>
      <c r="C55" s="15">
        <v>1.98019801980198</v>
      </c>
      <c r="D55" s="15">
        <v>0</v>
      </c>
      <c r="E55" s="24">
        <v>0</v>
      </c>
    </row>
    <row r="56" spans="1:5">
      <c r="A56" s="11" t="s">
        <v>198</v>
      </c>
      <c r="B56" s="16">
        <v>2.4752475247524801</v>
      </c>
      <c r="C56" s="16">
        <v>2.4752475247524801</v>
      </c>
      <c r="D56" s="16">
        <v>0</v>
      </c>
      <c r="E56" s="25">
        <v>0</v>
      </c>
    </row>
    <row r="57" spans="1:5" ht="30" customHeight="1">
      <c r="A57" t="s">
        <v>94</v>
      </c>
    </row>
    <row r="58" spans="1:5">
      <c r="A58" t="s">
        <v>479</v>
      </c>
    </row>
    <row r="59" spans="1:5">
      <c r="A59" t="s">
        <v>480</v>
      </c>
    </row>
    <row r="60" spans="1:5">
      <c r="A60" t="s">
        <v>481</v>
      </c>
    </row>
    <row r="61" spans="1:5">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9"/>
  <sheetViews>
    <sheetView zoomScale="70" workbookViewId="0"/>
  </sheetViews>
  <sheetFormatPr defaultColWidth="10.90625" defaultRowHeight="15"/>
  <cols>
    <col min="1" max="1" width="77.6796875" customWidth="1"/>
    <col min="2" max="4" width="15.90625" customWidth="1"/>
  </cols>
  <sheetData>
    <row r="1" spans="1:4" ht="39.9" customHeight="1">
      <c r="A1" s="10" t="s">
        <v>491</v>
      </c>
      <c r="B1" s="12"/>
      <c r="C1" s="12"/>
      <c r="D1" s="12"/>
    </row>
    <row r="2" spans="1:4" ht="45">
      <c r="A2" s="7" t="s">
        <v>2</v>
      </c>
      <c r="B2" s="6" t="s">
        <v>18</v>
      </c>
      <c r="C2" s="6" t="s">
        <v>19</v>
      </c>
      <c r="D2" s="8" t="s">
        <v>20</v>
      </c>
    </row>
    <row r="3" spans="1:4" ht="30">
      <c r="A3" s="40" t="s">
        <v>356</v>
      </c>
      <c r="B3" s="15"/>
      <c r="C3" s="15"/>
      <c r="D3" s="24"/>
    </row>
    <row r="4" spans="1:4">
      <c r="A4" s="9" t="s">
        <v>357</v>
      </c>
      <c r="B4" s="15">
        <v>96.984109221127994</v>
      </c>
      <c r="C4" s="15">
        <v>97.560975609756099</v>
      </c>
      <c r="D4" s="24">
        <v>100</v>
      </c>
    </row>
    <row r="5" spans="1:4">
      <c r="A5" s="9" t="s">
        <v>358</v>
      </c>
      <c r="B5" s="15">
        <v>81.219891716758298</v>
      </c>
      <c r="C5" s="15">
        <v>80.487804878048806</v>
      </c>
      <c r="D5" s="24">
        <v>71.428571428571402</v>
      </c>
    </row>
    <row r="6" spans="1:4">
      <c r="A6" s="9" t="s">
        <v>359</v>
      </c>
      <c r="B6" s="15">
        <v>68.1392015176706</v>
      </c>
      <c r="C6" s="15">
        <v>68.292682926829301</v>
      </c>
      <c r="D6" s="24">
        <v>59.523809523809497</v>
      </c>
    </row>
    <row r="7" spans="1:4">
      <c r="A7" s="9" t="s">
        <v>360</v>
      </c>
      <c r="B7" s="15">
        <v>25.6504987850109</v>
      </c>
      <c r="C7" s="15">
        <v>26.016260162601601</v>
      </c>
      <c r="D7" s="24">
        <v>19.047619047619001</v>
      </c>
    </row>
    <row r="8" spans="1:4">
      <c r="A8" s="9" t="s">
        <v>361</v>
      </c>
      <c r="B8" s="15">
        <v>30.849320032399699</v>
      </c>
      <c r="C8" s="15">
        <v>34.5528455284553</v>
      </c>
      <c r="D8" s="24">
        <v>29.761904761904798</v>
      </c>
    </row>
    <row r="9" spans="1:4">
      <c r="A9" s="9" t="s">
        <v>362</v>
      </c>
      <c r="B9" s="15">
        <v>78.732521209020803</v>
      </c>
      <c r="C9" s="15">
        <v>69.512195121951194</v>
      </c>
      <c r="D9" s="24">
        <v>39.285714285714299</v>
      </c>
    </row>
    <row r="10" spans="1:4">
      <c r="A10" s="9" t="s">
        <v>363</v>
      </c>
      <c r="B10" s="15">
        <v>22.443939975273899</v>
      </c>
      <c r="C10" s="15">
        <v>23.5772357723577</v>
      </c>
      <c r="D10" s="24">
        <v>19.047619047619001</v>
      </c>
    </row>
    <row r="11" spans="1:4">
      <c r="A11" s="9" t="s">
        <v>364</v>
      </c>
      <c r="B11" s="15">
        <v>47.822398431171898</v>
      </c>
      <c r="C11" s="15">
        <v>45.528455284552798</v>
      </c>
      <c r="D11" s="24">
        <v>28.571428571428601</v>
      </c>
    </row>
    <row r="12" spans="1:4">
      <c r="A12" s="9" t="s">
        <v>365</v>
      </c>
      <c r="B12" s="15">
        <v>57.515773543078801</v>
      </c>
      <c r="C12" s="15">
        <v>43.495934959349597</v>
      </c>
      <c r="D12" s="24">
        <v>29.761904761904798</v>
      </c>
    </row>
    <row r="13" spans="1:4">
      <c r="A13" s="9" t="s">
        <v>366</v>
      </c>
      <c r="B13" s="15">
        <v>19.102453425416702</v>
      </c>
      <c r="C13" s="15">
        <v>15.4471544715447</v>
      </c>
      <c r="D13" s="24">
        <v>0</v>
      </c>
    </row>
    <row r="14" spans="1:4">
      <c r="A14" s="11" t="s">
        <v>238</v>
      </c>
      <c r="B14" s="16">
        <v>4.8231871083258699</v>
      </c>
      <c r="C14" s="16">
        <v>0</v>
      </c>
      <c r="D14" s="25">
        <v>0</v>
      </c>
    </row>
    <row r="15" spans="1:4" ht="30" customHeight="1">
      <c r="A15" t="s">
        <v>94</v>
      </c>
    </row>
    <row r="16" spans="1:4">
      <c r="A16" t="s">
        <v>479</v>
      </c>
    </row>
    <row r="17" spans="1:1">
      <c r="A17" t="s">
        <v>480</v>
      </c>
    </row>
    <row r="18" spans="1:1">
      <c r="A18" t="s">
        <v>481</v>
      </c>
    </row>
    <row r="19" spans="1:1">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5"/>
  <sheetViews>
    <sheetView zoomScale="70" workbookViewId="0"/>
  </sheetViews>
  <sheetFormatPr defaultColWidth="10.90625" defaultRowHeight="15"/>
  <cols>
    <col min="1" max="1" width="77.6796875" customWidth="1"/>
    <col min="2" max="4" width="15.90625" customWidth="1"/>
  </cols>
  <sheetData>
    <row r="1" spans="1:4" ht="39.9" customHeight="1">
      <c r="A1" s="10" t="s">
        <v>492</v>
      </c>
      <c r="B1" s="12"/>
      <c r="C1" s="12"/>
      <c r="D1" s="12"/>
    </row>
    <row r="2" spans="1:4" ht="45">
      <c r="A2" s="7" t="s">
        <v>2</v>
      </c>
      <c r="B2" s="6" t="s">
        <v>18</v>
      </c>
      <c r="C2" s="6" t="s">
        <v>19</v>
      </c>
      <c r="D2" s="8" t="s">
        <v>20</v>
      </c>
    </row>
    <row r="3" spans="1:4" ht="30">
      <c r="A3" s="40" t="s">
        <v>368</v>
      </c>
      <c r="B3" s="15"/>
      <c r="C3" s="15"/>
      <c r="D3" s="24"/>
    </row>
    <row r="4" spans="1:4">
      <c r="A4" s="9" t="s">
        <v>369</v>
      </c>
      <c r="B4" s="15">
        <v>87.857835614102399</v>
      </c>
      <c r="C4" s="15">
        <v>86.991869918699194</v>
      </c>
      <c r="D4" s="24">
        <v>100</v>
      </c>
    </row>
    <row r="5" spans="1:4">
      <c r="A5" s="9" t="s">
        <v>370</v>
      </c>
      <c r="B5" s="15">
        <v>9.5906872149038698</v>
      </c>
      <c r="C5" s="15">
        <v>5.6910569105691096</v>
      </c>
      <c r="D5" s="24">
        <v>0</v>
      </c>
    </row>
    <row r="6" spans="1:4">
      <c r="A6" s="9" t="s">
        <v>371</v>
      </c>
      <c r="B6" s="15">
        <v>0.42524619516562201</v>
      </c>
      <c r="C6" s="15">
        <v>2.4390243902439002</v>
      </c>
      <c r="D6" s="24">
        <v>0</v>
      </c>
    </row>
    <row r="7" spans="1:4">
      <c r="A7" s="9" t="s">
        <v>372</v>
      </c>
      <c r="B7" s="15">
        <v>1.2757385854968699</v>
      </c>
      <c r="C7" s="15">
        <v>2.4390243902439002</v>
      </c>
      <c r="D7" s="24">
        <v>0</v>
      </c>
    </row>
    <row r="8" spans="1:4">
      <c r="A8" s="9" t="s">
        <v>238</v>
      </c>
      <c r="B8" s="15">
        <v>0.85049239033124402</v>
      </c>
      <c r="C8" s="15">
        <v>2.4390243902439002</v>
      </c>
      <c r="D8" s="24">
        <v>0</v>
      </c>
    </row>
    <row r="9" spans="1:4" ht="30">
      <c r="A9" s="40" t="s">
        <v>373</v>
      </c>
      <c r="B9" s="15"/>
      <c r="C9" s="15"/>
      <c r="D9" s="24"/>
    </row>
    <row r="10" spans="1:4">
      <c r="A10" s="9" t="s">
        <v>374</v>
      </c>
      <c r="B10" s="15">
        <v>77.860446774949907</v>
      </c>
      <c r="C10" s="15">
        <v>83.3333333333333</v>
      </c>
      <c r="D10" s="24">
        <v>89.285714285714306</v>
      </c>
    </row>
    <row r="11" spans="1:4">
      <c r="A11" s="9" t="s">
        <v>375</v>
      </c>
      <c r="B11" s="15">
        <v>22.139553225050101</v>
      </c>
      <c r="C11" s="15">
        <v>16.6666666666667</v>
      </c>
      <c r="D11" s="24">
        <v>10.714285714285699</v>
      </c>
    </row>
    <row r="12" spans="1:4" ht="30">
      <c r="A12" s="40" t="s">
        <v>376</v>
      </c>
      <c r="B12" s="15"/>
      <c r="C12" s="15"/>
      <c r="D12" s="24"/>
    </row>
    <row r="13" spans="1:4">
      <c r="A13" s="9" t="s">
        <v>374</v>
      </c>
      <c r="B13" s="15">
        <v>90.512959884043099</v>
      </c>
      <c r="C13" s="15">
        <v>89.430894308943095</v>
      </c>
      <c r="D13" s="24">
        <v>90.476190476190496</v>
      </c>
    </row>
    <row r="14" spans="1:4">
      <c r="A14" s="9" t="s">
        <v>375</v>
      </c>
      <c r="B14" s="15">
        <v>9.4870401159568605</v>
      </c>
      <c r="C14" s="15">
        <v>10.569105691056899</v>
      </c>
      <c r="D14" s="24">
        <v>9.5238095238095202</v>
      </c>
    </row>
    <row r="15" spans="1:4" ht="30">
      <c r="A15" s="40" t="s">
        <v>377</v>
      </c>
      <c r="B15" s="15"/>
      <c r="C15" s="15"/>
      <c r="D15" s="24"/>
    </row>
    <row r="16" spans="1:4">
      <c r="A16" s="9" t="s">
        <v>374</v>
      </c>
      <c r="B16" s="15">
        <v>73.343138508760703</v>
      </c>
      <c r="C16" s="15">
        <v>77.235772357723604</v>
      </c>
      <c r="D16" s="24">
        <v>69.047619047618994</v>
      </c>
    </row>
    <row r="17" spans="1:4">
      <c r="A17" s="9" t="s">
        <v>375</v>
      </c>
      <c r="B17" s="15">
        <v>26.656861491239301</v>
      </c>
      <c r="C17" s="15">
        <v>22.764227642276399</v>
      </c>
      <c r="D17" s="24">
        <v>30.952380952380899</v>
      </c>
    </row>
    <row r="18" spans="1:4" ht="30">
      <c r="A18" s="40" t="s">
        <v>378</v>
      </c>
      <c r="B18" s="15"/>
      <c r="C18" s="15"/>
      <c r="D18" s="24"/>
    </row>
    <row r="19" spans="1:4">
      <c r="A19" s="9" t="s">
        <v>374</v>
      </c>
      <c r="B19" s="15">
        <v>86.922613718719305</v>
      </c>
      <c r="C19" s="15">
        <v>92.682926829268297</v>
      </c>
      <c r="D19" s="24">
        <v>100</v>
      </c>
    </row>
    <row r="20" spans="1:4">
      <c r="A20" s="11" t="s">
        <v>375</v>
      </c>
      <c r="B20" s="16">
        <v>13.077386281280599</v>
      </c>
      <c r="C20" s="16">
        <v>7.3170731707317103</v>
      </c>
      <c r="D20" s="25">
        <v>0</v>
      </c>
    </row>
    <row r="21" spans="1:4" ht="30" customHeight="1">
      <c r="A21" t="s">
        <v>94</v>
      </c>
    </row>
    <row r="22" spans="1:4">
      <c r="A22" t="s">
        <v>479</v>
      </c>
    </row>
    <row r="23" spans="1:4">
      <c r="A23" t="s">
        <v>480</v>
      </c>
    </row>
    <row r="24" spans="1:4">
      <c r="A24" t="s">
        <v>481</v>
      </c>
    </row>
    <row r="25" spans="1:4">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32"/>
  <sheetViews>
    <sheetView zoomScale="70" workbookViewId="0"/>
  </sheetViews>
  <sheetFormatPr defaultColWidth="10.90625" defaultRowHeight="15"/>
  <cols>
    <col min="1" max="1" width="77.6796875" customWidth="1"/>
    <col min="2" max="7" width="15.90625" customWidth="1"/>
  </cols>
  <sheetData>
    <row r="1" spans="1:7" ht="39.9" customHeight="1">
      <c r="A1" s="10" t="s">
        <v>493</v>
      </c>
      <c r="B1" s="12"/>
      <c r="C1" s="12"/>
      <c r="D1" s="12"/>
      <c r="E1" s="12"/>
      <c r="F1" s="12"/>
      <c r="G1" s="12"/>
    </row>
    <row r="2" spans="1:7" ht="30">
      <c r="A2" s="7" t="s">
        <v>2</v>
      </c>
      <c r="B2" s="6" t="s">
        <v>380</v>
      </c>
      <c r="C2" s="6" t="s">
        <v>381</v>
      </c>
      <c r="D2" s="6" t="s">
        <v>382</v>
      </c>
      <c r="E2" s="6" t="s">
        <v>383</v>
      </c>
      <c r="F2" s="6" t="s">
        <v>384</v>
      </c>
      <c r="G2" s="8" t="s">
        <v>385</v>
      </c>
    </row>
    <row r="3" spans="1:7">
      <c r="A3" s="40" t="s">
        <v>386</v>
      </c>
      <c r="B3" s="15"/>
      <c r="C3" s="15"/>
      <c r="D3" s="15"/>
      <c r="E3" s="15"/>
      <c r="F3" s="15"/>
      <c r="G3" s="24"/>
    </row>
    <row r="4" spans="1:7">
      <c r="A4" s="9" t="s">
        <v>387</v>
      </c>
      <c r="B4" s="15">
        <v>46.087930221593602</v>
      </c>
      <c r="C4" s="15">
        <v>40.182696841112701</v>
      </c>
      <c r="D4" s="15">
        <v>6.7986798679867997</v>
      </c>
      <c r="E4" s="15">
        <v>2.7227722772277199</v>
      </c>
      <c r="F4" s="15">
        <v>4.2079207920792099</v>
      </c>
      <c r="G4" s="24">
        <v>0</v>
      </c>
    </row>
    <row r="5" spans="1:7">
      <c r="A5" s="9" t="s">
        <v>388</v>
      </c>
      <c r="B5" s="15">
        <v>18.2932578972183</v>
      </c>
      <c r="C5" s="15">
        <v>28.288543140028299</v>
      </c>
      <c r="D5" s="15">
        <v>19.529702970296999</v>
      </c>
      <c r="E5" s="15">
        <v>18.446487505893401</v>
      </c>
      <c r="F5" s="15">
        <v>15.4420084865629</v>
      </c>
      <c r="G5" s="24">
        <v>0</v>
      </c>
    </row>
    <row r="6" spans="1:7">
      <c r="A6" s="9" t="s">
        <v>389</v>
      </c>
      <c r="B6" s="15">
        <v>22.9502593116454</v>
      </c>
      <c r="C6" s="15">
        <v>56.371994342291401</v>
      </c>
      <c r="D6" s="15">
        <v>12.1499292786421</v>
      </c>
      <c r="E6" s="15">
        <v>7.5377180575200402</v>
      </c>
      <c r="F6" s="15">
        <v>0.99009900990098998</v>
      </c>
      <c r="G6" s="24">
        <v>0</v>
      </c>
    </row>
    <row r="7" spans="1:7">
      <c r="A7" s="9" t="s">
        <v>390</v>
      </c>
      <c r="B7" s="15">
        <v>22.492927864215002</v>
      </c>
      <c r="C7" s="15">
        <v>50.806223479490797</v>
      </c>
      <c r="D7" s="15">
        <v>14.933993399339901</v>
      </c>
      <c r="E7" s="15">
        <v>8.6020744931636006</v>
      </c>
      <c r="F7" s="15">
        <v>3.16478076379066</v>
      </c>
      <c r="G7" s="24">
        <v>0</v>
      </c>
    </row>
    <row r="8" spans="1:7">
      <c r="A8" s="9" t="s">
        <v>389</v>
      </c>
      <c r="B8" s="15">
        <v>22.9502593116454</v>
      </c>
      <c r="C8" s="15">
        <v>56.371994342291401</v>
      </c>
      <c r="D8" s="15">
        <v>12.1499292786421</v>
      </c>
      <c r="E8" s="15">
        <v>7.5377180575200402</v>
      </c>
      <c r="F8" s="15">
        <v>0.99009900990098998</v>
      </c>
      <c r="G8" s="24">
        <v>0</v>
      </c>
    </row>
    <row r="9" spans="1:7">
      <c r="A9" s="40" t="s">
        <v>391</v>
      </c>
      <c r="B9" s="15"/>
      <c r="C9" s="15"/>
      <c r="D9" s="15"/>
      <c r="E9" s="15"/>
      <c r="F9" s="15"/>
      <c r="G9" s="24"/>
    </row>
    <row r="10" spans="1:7">
      <c r="A10" s="9" t="s">
        <v>392</v>
      </c>
      <c r="B10" s="15">
        <v>63.592644978783603</v>
      </c>
      <c r="C10" s="15">
        <v>21.225836869401199</v>
      </c>
      <c r="D10" s="15">
        <v>10.932343234323399</v>
      </c>
      <c r="E10" s="15">
        <v>1.73267326732673</v>
      </c>
      <c r="F10" s="15">
        <v>2.5165016501650199</v>
      </c>
      <c r="G10" s="24">
        <v>0</v>
      </c>
    </row>
    <row r="11" spans="1:7">
      <c r="A11" s="9" t="s">
        <v>393</v>
      </c>
      <c r="B11" s="15">
        <v>44.467232437529503</v>
      </c>
      <c r="C11" s="15">
        <v>28.148279113625598</v>
      </c>
      <c r="D11" s="15">
        <v>18.8531353135314</v>
      </c>
      <c r="E11" s="15">
        <v>4.7772277227722801</v>
      </c>
      <c r="F11" s="15">
        <v>3.7541254125412502</v>
      </c>
      <c r="G11" s="24">
        <v>0</v>
      </c>
    </row>
    <row r="12" spans="1:7">
      <c r="A12" s="9" t="s">
        <v>394</v>
      </c>
      <c r="B12" s="15">
        <v>32.042668552569502</v>
      </c>
      <c r="C12" s="15">
        <v>27.278406412069799</v>
      </c>
      <c r="D12" s="15">
        <v>7.4964639321075</v>
      </c>
      <c r="E12" s="15">
        <v>18.2355021216407</v>
      </c>
      <c r="F12" s="15">
        <v>14.946958981612401</v>
      </c>
      <c r="G12" s="24">
        <v>0</v>
      </c>
    </row>
    <row r="13" spans="1:7">
      <c r="A13" s="9" t="s">
        <v>395</v>
      </c>
      <c r="B13" s="15">
        <v>15.924092409240901</v>
      </c>
      <c r="C13" s="15">
        <v>21.923620933521899</v>
      </c>
      <c r="D13" s="15">
        <v>5.72607260726073</v>
      </c>
      <c r="E13" s="15">
        <v>29.97171145686</v>
      </c>
      <c r="F13" s="15">
        <v>26.454502593116501</v>
      </c>
      <c r="G13" s="24">
        <v>0</v>
      </c>
    </row>
    <row r="14" spans="1:7">
      <c r="A14" s="9" t="s">
        <v>396</v>
      </c>
      <c r="B14" s="15">
        <v>18.151815181518099</v>
      </c>
      <c r="C14" s="15">
        <v>30.678925035360699</v>
      </c>
      <c r="D14" s="15">
        <v>14.7194719471947</v>
      </c>
      <c r="E14" s="15">
        <v>15.297029702970301</v>
      </c>
      <c r="F14" s="15">
        <v>19.543847241866999</v>
      </c>
      <c r="G14" s="24">
        <v>1.6089108910891099</v>
      </c>
    </row>
    <row r="15" spans="1:7">
      <c r="A15" s="40" t="s">
        <v>397</v>
      </c>
      <c r="B15" s="15"/>
      <c r="C15" s="15"/>
      <c r="D15" s="15"/>
      <c r="E15" s="15"/>
      <c r="F15" s="15"/>
      <c r="G15" s="24"/>
    </row>
    <row r="16" spans="1:7">
      <c r="A16" s="9" t="s">
        <v>398</v>
      </c>
      <c r="B16" s="15">
        <v>20.772041489863302</v>
      </c>
      <c r="C16" s="15">
        <v>25.0707213578501</v>
      </c>
      <c r="D16" s="15">
        <v>18.420556341348401</v>
      </c>
      <c r="E16" s="15">
        <v>23.624469589816101</v>
      </c>
      <c r="F16" s="15">
        <v>12.1122112211221</v>
      </c>
      <c r="G16" s="24">
        <v>0</v>
      </c>
    </row>
    <row r="17" spans="1:7">
      <c r="A17" s="9" t="s">
        <v>399</v>
      </c>
      <c r="B17" s="15">
        <v>25.212164073550198</v>
      </c>
      <c r="C17" s="15">
        <v>32.6084394153701</v>
      </c>
      <c r="D17" s="15">
        <v>20.7225365393682</v>
      </c>
      <c r="E17" s="15">
        <v>9.8102310231023093</v>
      </c>
      <c r="F17" s="15">
        <v>11.6466289486091</v>
      </c>
      <c r="G17" s="24">
        <v>0</v>
      </c>
    </row>
    <row r="18" spans="1:7">
      <c r="A18" s="9" t="s">
        <v>400</v>
      </c>
      <c r="B18" s="15">
        <v>77.701555869872706</v>
      </c>
      <c r="C18" s="15">
        <v>19.006364922206501</v>
      </c>
      <c r="D18" s="15">
        <v>1.8069306930693101</v>
      </c>
      <c r="E18" s="15">
        <v>0.99009900990098998</v>
      </c>
      <c r="F18" s="15">
        <v>0.49504950495049499</v>
      </c>
      <c r="G18" s="24">
        <v>0</v>
      </c>
    </row>
    <row r="19" spans="1:7">
      <c r="A19" s="9" t="s">
        <v>401</v>
      </c>
      <c r="B19" s="15">
        <v>39.941065535124899</v>
      </c>
      <c r="C19" s="15">
        <v>39.006364922206501</v>
      </c>
      <c r="D19" s="15">
        <v>12.100424328147099</v>
      </c>
      <c r="E19" s="15">
        <v>6.5594059405940603</v>
      </c>
      <c r="F19" s="15">
        <v>2.3927392739273898</v>
      </c>
      <c r="G19" s="24">
        <v>0</v>
      </c>
    </row>
    <row r="20" spans="1:7">
      <c r="A20" s="9" t="s">
        <v>402</v>
      </c>
      <c r="B20" s="15">
        <v>16.0242809995285</v>
      </c>
      <c r="C20" s="15">
        <v>35.648279113625598</v>
      </c>
      <c r="D20" s="15">
        <v>19.852663837812401</v>
      </c>
      <c r="E20" s="15">
        <v>19.852663837812401</v>
      </c>
      <c r="F20" s="15">
        <v>8.6221122112211201</v>
      </c>
      <c r="G20" s="24">
        <v>0</v>
      </c>
    </row>
    <row r="21" spans="1:7">
      <c r="A21" s="9" t="s">
        <v>403</v>
      </c>
      <c r="B21" s="15">
        <v>70.531588873173007</v>
      </c>
      <c r="C21" s="15">
        <v>25.3842527109854</v>
      </c>
      <c r="D21" s="15">
        <v>3.5891089108910901</v>
      </c>
      <c r="E21" s="15">
        <v>0</v>
      </c>
      <c r="F21" s="15">
        <v>0.49504950495049499</v>
      </c>
      <c r="G21" s="24">
        <v>0</v>
      </c>
    </row>
    <row r="22" spans="1:7">
      <c r="A22" s="40" t="s">
        <v>404</v>
      </c>
      <c r="B22" s="15"/>
      <c r="C22" s="15"/>
      <c r="D22" s="15"/>
      <c r="E22" s="15"/>
      <c r="F22" s="15"/>
      <c r="G22" s="24"/>
    </row>
    <row r="23" spans="1:7">
      <c r="A23" s="9" t="s">
        <v>405</v>
      </c>
      <c r="B23" s="15">
        <v>16.316595945308801</v>
      </c>
      <c r="C23" s="15">
        <v>34.501414427157002</v>
      </c>
      <c r="D23" s="15">
        <v>5.2687411598302702</v>
      </c>
      <c r="E23" s="15">
        <v>20.500942951437999</v>
      </c>
      <c r="F23" s="15">
        <v>23.412305516265899</v>
      </c>
      <c r="G23" s="24">
        <v>0</v>
      </c>
    </row>
    <row r="24" spans="1:7">
      <c r="A24" s="9" t="s">
        <v>406</v>
      </c>
      <c r="B24" s="15">
        <v>30.364214992927899</v>
      </c>
      <c r="C24" s="15">
        <v>29.011079679396499</v>
      </c>
      <c r="D24" s="15">
        <v>8.2095709570957105</v>
      </c>
      <c r="E24" s="15">
        <v>20.1214049976426</v>
      </c>
      <c r="F24" s="15">
        <v>12.2937293729373</v>
      </c>
      <c r="G24" s="24">
        <v>0</v>
      </c>
    </row>
    <row r="25" spans="1:7">
      <c r="A25" s="9" t="s">
        <v>407</v>
      </c>
      <c r="B25" s="15">
        <v>29.97171145686</v>
      </c>
      <c r="C25" s="15">
        <v>32.9101838755304</v>
      </c>
      <c r="D25" s="15">
        <v>8.7340876944837298</v>
      </c>
      <c r="E25" s="15">
        <v>17.265440829797299</v>
      </c>
      <c r="F25" s="15">
        <v>11.1185761433286</v>
      </c>
      <c r="G25" s="24">
        <v>0</v>
      </c>
    </row>
    <row r="26" spans="1:7">
      <c r="A26" s="9" t="s">
        <v>408</v>
      </c>
      <c r="B26" s="15">
        <v>32.237152286657199</v>
      </c>
      <c r="C26" s="15">
        <v>38.834276284771299</v>
      </c>
      <c r="D26" s="15">
        <v>13.717586044318701</v>
      </c>
      <c r="E26" s="15">
        <v>9.6004243281470991</v>
      </c>
      <c r="F26" s="15">
        <v>5.6105610561056096</v>
      </c>
      <c r="G26" s="24">
        <v>0</v>
      </c>
    </row>
    <row r="27" spans="1:7">
      <c r="A27" s="11" t="s">
        <v>409</v>
      </c>
      <c r="B27" s="16">
        <v>58.992220650636497</v>
      </c>
      <c r="C27" s="16">
        <v>30.950023573785899</v>
      </c>
      <c r="D27" s="16">
        <v>5.7673267326732702</v>
      </c>
      <c r="E27" s="16">
        <v>3.1353135313531402</v>
      </c>
      <c r="F27" s="16">
        <v>1.15511551155115</v>
      </c>
      <c r="G27" s="25">
        <v>0</v>
      </c>
    </row>
    <row r="28" spans="1:7" ht="30" customHeight="1">
      <c r="A28" t="s">
        <v>94</v>
      </c>
    </row>
    <row r="29" spans="1:7">
      <c r="A29" t="s">
        <v>479</v>
      </c>
    </row>
    <row r="30" spans="1:7">
      <c r="A30" t="s">
        <v>480</v>
      </c>
    </row>
    <row r="31" spans="1:7">
      <c r="A31" t="s">
        <v>481</v>
      </c>
    </row>
    <row r="32" spans="1:7">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
  <sheetViews>
    <sheetView zoomScale="70" workbookViewId="0"/>
  </sheetViews>
  <sheetFormatPr defaultColWidth="10.90625" defaultRowHeight="15"/>
  <cols>
    <col min="1" max="1" width="77.6796875" customWidth="1"/>
    <col min="2" max="5" width="15.90625" customWidth="1"/>
  </cols>
  <sheetData>
    <row r="1" spans="1:5" ht="39.9" customHeight="1">
      <c r="A1" s="10" t="s">
        <v>494</v>
      </c>
      <c r="B1" s="12"/>
      <c r="C1" s="12"/>
      <c r="D1" s="12"/>
      <c r="E1" s="12"/>
    </row>
    <row r="2" spans="1:5" ht="60">
      <c r="A2" s="7" t="s">
        <v>2</v>
      </c>
      <c r="B2" s="6" t="s">
        <v>411</v>
      </c>
      <c r="C2" s="6" t="s">
        <v>412</v>
      </c>
      <c r="D2" s="6" t="s">
        <v>413</v>
      </c>
      <c r="E2" s="8" t="s">
        <v>414</v>
      </c>
    </row>
    <row r="3" spans="1:5">
      <c r="A3" s="40" t="s">
        <v>415</v>
      </c>
      <c r="B3" s="15"/>
      <c r="C3" s="15"/>
      <c r="D3" s="15"/>
      <c r="E3" s="24"/>
    </row>
    <row r="4" spans="1:5">
      <c r="A4" s="9" t="s">
        <v>416</v>
      </c>
      <c r="B4" s="15">
        <v>86.909476661951899</v>
      </c>
      <c r="C4" s="15">
        <v>60.983026874116</v>
      </c>
      <c r="D4" s="15">
        <v>60.240452616690199</v>
      </c>
      <c r="E4" s="24">
        <v>11.1386138613861</v>
      </c>
    </row>
    <row r="5" spans="1:5">
      <c r="A5" s="9" t="s">
        <v>417</v>
      </c>
      <c r="B5" s="15">
        <v>56.2022630834512</v>
      </c>
      <c r="C5" s="15">
        <v>59.048797736916498</v>
      </c>
      <c r="D5" s="15">
        <v>50.426685525695397</v>
      </c>
      <c r="E5" s="24">
        <v>25.763790664780799</v>
      </c>
    </row>
    <row r="6" spans="1:5">
      <c r="A6" s="9" t="s">
        <v>418</v>
      </c>
      <c r="B6" s="15">
        <v>27.629655822725098</v>
      </c>
      <c r="C6" s="15">
        <v>24.1136256482791</v>
      </c>
      <c r="D6" s="15">
        <v>15.6565299387082</v>
      </c>
      <c r="E6" s="24">
        <v>7.1251768033946297</v>
      </c>
    </row>
    <row r="7" spans="1:5">
      <c r="A7" s="9" t="s">
        <v>419</v>
      </c>
      <c r="B7" s="15">
        <v>65.852192362093305</v>
      </c>
      <c r="C7" s="15">
        <v>50.755539839698301</v>
      </c>
      <c r="D7" s="15">
        <v>44.823196605374797</v>
      </c>
      <c r="E7" s="24">
        <v>33.923856671381401</v>
      </c>
    </row>
    <row r="8" spans="1:5">
      <c r="A8" s="9" t="s">
        <v>420</v>
      </c>
      <c r="B8" s="15">
        <v>1.8481848184818499</v>
      </c>
      <c r="C8" s="15">
        <v>0</v>
      </c>
      <c r="D8" s="15">
        <v>0</v>
      </c>
      <c r="E8" s="24">
        <v>0</v>
      </c>
    </row>
    <row r="9" spans="1:5">
      <c r="A9" s="9" t="s">
        <v>421</v>
      </c>
      <c r="B9" s="15">
        <v>7.1287128712871297</v>
      </c>
      <c r="C9" s="15">
        <v>1.98019801980198</v>
      </c>
      <c r="D9" s="15">
        <v>1.48514851485149</v>
      </c>
      <c r="E9" s="24">
        <v>0</v>
      </c>
    </row>
    <row r="10" spans="1:5">
      <c r="A10" s="9" t="s">
        <v>422</v>
      </c>
      <c r="B10" s="15">
        <v>28.2520037718058</v>
      </c>
      <c r="C10" s="15">
        <v>9.0346534653465405</v>
      </c>
      <c r="D10" s="15">
        <v>9.0346534653465405</v>
      </c>
      <c r="E10" s="24">
        <v>0.49504950495049499</v>
      </c>
    </row>
    <row r="11" spans="1:5">
      <c r="A11" s="9" t="s">
        <v>423</v>
      </c>
      <c r="B11" s="15">
        <v>4.2373880245167399</v>
      </c>
      <c r="C11" s="15">
        <v>1.77392739273927</v>
      </c>
      <c r="D11" s="15">
        <v>1.77392739273927</v>
      </c>
      <c r="E11" s="24">
        <v>0</v>
      </c>
    </row>
    <row r="12" spans="1:5">
      <c r="A12" s="9" t="s">
        <v>424</v>
      </c>
      <c r="B12" s="15">
        <v>84.549740688354504</v>
      </c>
      <c r="C12" s="15">
        <v>68.384016973125895</v>
      </c>
      <c r="D12" s="15">
        <v>65.413719943422905</v>
      </c>
      <c r="E12" s="24">
        <v>30.829797265440799</v>
      </c>
    </row>
    <row r="13" spans="1:5">
      <c r="A13" s="9" t="s">
        <v>238</v>
      </c>
      <c r="B13" s="15">
        <v>4.4554455445544603</v>
      </c>
      <c r="C13" s="15">
        <v>4.7029702970297</v>
      </c>
      <c r="D13" s="15">
        <v>3.71287128712871</v>
      </c>
      <c r="E13" s="24">
        <v>2.2277227722772301</v>
      </c>
    </row>
    <row r="14" spans="1:5">
      <c r="A14" s="40" t="s">
        <v>425</v>
      </c>
      <c r="B14" s="15"/>
      <c r="C14" s="15"/>
      <c r="D14" s="15"/>
      <c r="E14" s="24"/>
    </row>
    <row r="15" spans="1:5">
      <c r="A15" s="9" t="s">
        <v>426</v>
      </c>
      <c r="B15" s="15">
        <v>43.3203677510608</v>
      </c>
      <c r="C15" s="15">
        <v>24.255068363979301</v>
      </c>
      <c r="D15" s="15">
        <v>14.356435643564399</v>
      </c>
      <c r="E15" s="24">
        <v>0.99009900990098998</v>
      </c>
    </row>
    <row r="16" spans="1:5">
      <c r="A16" s="9" t="s">
        <v>427</v>
      </c>
      <c r="B16" s="15">
        <v>6.1350777934936396</v>
      </c>
      <c r="C16" s="15">
        <v>5.1980198019802</v>
      </c>
      <c r="D16" s="15">
        <v>4.8679867986798699</v>
      </c>
      <c r="E16" s="24">
        <v>2.4339933993399301</v>
      </c>
    </row>
    <row r="17" spans="1:5">
      <c r="A17" s="9" t="s">
        <v>428</v>
      </c>
      <c r="B17" s="15">
        <v>25.1367279585101</v>
      </c>
      <c r="C17" s="15">
        <v>14.356435643564399</v>
      </c>
      <c r="D17" s="15">
        <v>7.0132013201320103</v>
      </c>
      <c r="E17" s="24">
        <v>0.49504950495049499</v>
      </c>
    </row>
    <row r="18" spans="1:5">
      <c r="A18" s="9" t="s">
        <v>429</v>
      </c>
      <c r="B18" s="15">
        <v>3.1353135313531402</v>
      </c>
      <c r="C18" s="15">
        <v>4.8679867986798699</v>
      </c>
      <c r="D18" s="15">
        <v>21.856435643564399</v>
      </c>
      <c r="E18" s="24">
        <v>1.48514851485149</v>
      </c>
    </row>
    <row r="19" spans="1:5">
      <c r="A19" s="9" t="s">
        <v>430</v>
      </c>
      <c r="B19" s="15">
        <v>11.4898632720415</v>
      </c>
      <c r="C19" s="15">
        <v>7.5082508250825102</v>
      </c>
      <c r="D19" s="15">
        <v>54.695898161244699</v>
      </c>
      <c r="E19" s="24">
        <v>1.8151815181518201</v>
      </c>
    </row>
    <row r="20" spans="1:5">
      <c r="A20" s="9" t="s">
        <v>431</v>
      </c>
      <c r="B20" s="15">
        <v>30.066006600660099</v>
      </c>
      <c r="C20" s="15">
        <v>22.422206506364901</v>
      </c>
      <c r="D20" s="15">
        <v>61.565299387081602</v>
      </c>
      <c r="E20" s="24">
        <v>10.912305516265899</v>
      </c>
    </row>
    <row r="21" spans="1:5">
      <c r="A21" s="9" t="s">
        <v>432</v>
      </c>
      <c r="B21" s="15">
        <v>61.915370108439397</v>
      </c>
      <c r="C21" s="15">
        <v>56.346063177746302</v>
      </c>
      <c r="D21" s="15">
        <v>25.619990570485601</v>
      </c>
      <c r="E21" s="24">
        <v>17.8547854785479</v>
      </c>
    </row>
    <row r="22" spans="1:5">
      <c r="A22" s="9" t="s">
        <v>433</v>
      </c>
      <c r="B22" s="15">
        <v>69.214992927864202</v>
      </c>
      <c r="C22" s="15">
        <v>63.174210278170698</v>
      </c>
      <c r="D22" s="15">
        <v>6.3118811881188099</v>
      </c>
      <c r="E22" s="24">
        <v>24.814945780292302</v>
      </c>
    </row>
    <row r="23" spans="1:5">
      <c r="A23" s="9" t="s">
        <v>434</v>
      </c>
      <c r="B23" s="15">
        <v>47.197076850542203</v>
      </c>
      <c r="C23" s="15">
        <v>30.364214992927899</v>
      </c>
      <c r="D23" s="15">
        <v>3.50660066006601</v>
      </c>
      <c r="E23" s="24">
        <v>10.5528052805281</v>
      </c>
    </row>
    <row r="24" spans="1:5">
      <c r="A24" s="9" t="s">
        <v>435</v>
      </c>
      <c r="B24" s="15">
        <v>17.805280528052801</v>
      </c>
      <c r="C24" s="15">
        <v>7.5</v>
      </c>
      <c r="D24" s="15">
        <v>13.4075907590759</v>
      </c>
      <c r="E24" s="24">
        <v>3.9108910891089099</v>
      </c>
    </row>
    <row r="25" spans="1:5">
      <c r="A25" s="9" t="s">
        <v>436</v>
      </c>
      <c r="B25" s="15">
        <v>12.079207920792101</v>
      </c>
      <c r="C25" s="15">
        <v>7.4587458745874597</v>
      </c>
      <c r="D25" s="15">
        <v>4.5792079207920802</v>
      </c>
      <c r="E25" s="24">
        <v>2.7970297029703</v>
      </c>
    </row>
    <row r="26" spans="1:5">
      <c r="A26" s="9" t="s">
        <v>437</v>
      </c>
      <c r="B26" s="15">
        <v>20.285242809995299</v>
      </c>
      <c r="C26" s="15">
        <v>14.3976897689769</v>
      </c>
      <c r="D26" s="15">
        <v>9.5297029702970306</v>
      </c>
      <c r="E26" s="24">
        <v>6.0231023102310202</v>
      </c>
    </row>
    <row r="27" spans="1:5">
      <c r="A27" s="11" t="s">
        <v>238</v>
      </c>
      <c r="B27" s="16">
        <v>2.7640264026402601</v>
      </c>
      <c r="C27" s="16">
        <v>5.2392739273927402</v>
      </c>
      <c r="D27" s="16">
        <v>21.267090994813799</v>
      </c>
      <c r="E27" s="25">
        <v>2.5990099009901</v>
      </c>
    </row>
    <row r="28" spans="1:5" ht="30" customHeight="1">
      <c r="A28" t="s">
        <v>94</v>
      </c>
    </row>
    <row r="29" spans="1:5">
      <c r="A29" t="s">
        <v>479</v>
      </c>
    </row>
    <row r="30" spans="1:5">
      <c r="A30" t="s">
        <v>480</v>
      </c>
    </row>
    <row r="31" spans="1:5">
      <c r="A31" t="s">
        <v>481</v>
      </c>
    </row>
    <row r="32" spans="1:5">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8"/>
  <sheetViews>
    <sheetView zoomScale="70" workbookViewId="0"/>
  </sheetViews>
  <sheetFormatPr defaultColWidth="10.90625" defaultRowHeight="15"/>
  <cols>
    <col min="1" max="1" width="77.6796875" customWidth="1"/>
    <col min="2" max="2" width="15.90625" customWidth="1"/>
  </cols>
  <sheetData>
    <row r="1" spans="1:2" ht="39.9" customHeight="1">
      <c r="A1" s="10" t="s">
        <v>495</v>
      </c>
      <c r="B1" s="12"/>
    </row>
    <row r="2" spans="1:2">
      <c r="A2" s="7" t="s">
        <v>2</v>
      </c>
      <c r="B2" s="8" t="s">
        <v>496</v>
      </c>
    </row>
    <row r="3" spans="1:2">
      <c r="A3" s="40" t="s">
        <v>440</v>
      </c>
      <c r="B3" s="24"/>
    </row>
    <row r="4" spans="1:2">
      <c r="A4" s="9" t="s">
        <v>441</v>
      </c>
      <c r="B4" s="24">
        <v>39.285714285714299</v>
      </c>
    </row>
    <row r="5" spans="1:2">
      <c r="A5" s="9" t="s">
        <v>442</v>
      </c>
      <c r="B5" s="24">
        <v>0</v>
      </c>
    </row>
    <row r="6" spans="1:2">
      <c r="A6" s="9" t="s">
        <v>443</v>
      </c>
      <c r="B6" s="24">
        <v>0</v>
      </c>
    </row>
    <row r="7" spans="1:2">
      <c r="A7" s="9" t="s">
        <v>444</v>
      </c>
      <c r="B7" s="24">
        <v>0</v>
      </c>
    </row>
    <row r="8" spans="1:2">
      <c r="A8" s="9" t="s">
        <v>445</v>
      </c>
      <c r="B8" s="24">
        <v>9.5238095238095202</v>
      </c>
    </row>
    <row r="9" spans="1:2">
      <c r="A9" s="9" t="s">
        <v>238</v>
      </c>
      <c r="B9" s="24">
        <v>0</v>
      </c>
    </row>
    <row r="10" spans="1:2">
      <c r="A10" s="9" t="s">
        <v>446</v>
      </c>
      <c r="B10" s="24">
        <v>60.714285714285701</v>
      </c>
    </row>
    <row r="11" spans="1:2" ht="30">
      <c r="A11" s="40" t="s">
        <v>447</v>
      </c>
      <c r="B11" s="24"/>
    </row>
    <row r="12" spans="1:2">
      <c r="A12" s="9" t="s">
        <v>448</v>
      </c>
      <c r="B12" s="24">
        <v>0</v>
      </c>
    </row>
    <row r="13" spans="1:2">
      <c r="A13" s="9" t="s">
        <v>449</v>
      </c>
      <c r="B13" s="24">
        <v>24.2424242424242</v>
      </c>
    </row>
    <row r="14" spans="1:2">
      <c r="A14" s="9" t="s">
        <v>450</v>
      </c>
      <c r="B14" s="24">
        <v>75.757575757575793</v>
      </c>
    </row>
    <row r="15" spans="1:2">
      <c r="A15" s="9" t="s">
        <v>451</v>
      </c>
      <c r="B15" s="24">
        <v>0</v>
      </c>
    </row>
    <row r="16" spans="1:2">
      <c r="A16" s="9" t="s">
        <v>452</v>
      </c>
      <c r="B16" s="24">
        <v>0</v>
      </c>
    </row>
    <row r="17" spans="1:2">
      <c r="A17" s="9" t="s">
        <v>453</v>
      </c>
      <c r="B17" s="24">
        <v>0</v>
      </c>
    </row>
    <row r="18" spans="1:2">
      <c r="A18" s="40" t="s">
        <v>454</v>
      </c>
      <c r="B18" s="24"/>
    </row>
    <row r="19" spans="1:2">
      <c r="A19" s="9" t="s">
        <v>455</v>
      </c>
      <c r="B19" s="24">
        <v>0</v>
      </c>
    </row>
    <row r="20" spans="1:2">
      <c r="A20" s="9" t="s">
        <v>456</v>
      </c>
      <c r="B20" s="24">
        <v>75.757575757575793</v>
      </c>
    </row>
    <row r="21" spans="1:2">
      <c r="A21" s="9" t="s">
        <v>457</v>
      </c>
      <c r="B21" s="24">
        <v>0</v>
      </c>
    </row>
    <row r="22" spans="1:2">
      <c r="A22" s="9" t="s">
        <v>458</v>
      </c>
      <c r="B22" s="24">
        <v>24.2424242424242</v>
      </c>
    </row>
    <row r="23" spans="1:2">
      <c r="A23" s="11" t="s">
        <v>238</v>
      </c>
      <c r="B23" s="25">
        <v>0</v>
      </c>
    </row>
    <row r="24" spans="1:2" ht="30" customHeight="1">
      <c r="A24" t="s">
        <v>94</v>
      </c>
    </row>
    <row r="25" spans="1:2">
      <c r="A25" t="s">
        <v>479</v>
      </c>
    </row>
    <row r="26" spans="1:2">
      <c r="A26" t="s">
        <v>480</v>
      </c>
    </row>
    <row r="27" spans="1:2">
      <c r="A27" t="s">
        <v>481</v>
      </c>
    </row>
    <row r="28" spans="1: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7"/>
  <sheetViews>
    <sheetView zoomScale="70" workbookViewId="0"/>
  </sheetViews>
  <sheetFormatPr defaultColWidth="10.90625" defaultRowHeight="15"/>
  <cols>
    <col min="1" max="1" width="77.6796875" customWidth="1"/>
    <col min="2" max="7" width="15.90625" customWidth="1"/>
  </cols>
  <sheetData>
    <row r="1" spans="1:7" ht="39.9" customHeight="1">
      <c r="A1" s="10" t="s">
        <v>497</v>
      </c>
      <c r="B1" s="12"/>
      <c r="C1" s="12"/>
      <c r="D1" s="12"/>
      <c r="E1" s="12"/>
      <c r="F1" s="12"/>
      <c r="G1" s="12"/>
    </row>
    <row r="2" spans="1:7">
      <c r="A2" s="7" t="s">
        <v>2</v>
      </c>
      <c r="B2" s="6" t="s">
        <v>496</v>
      </c>
      <c r="C2" s="6" t="s">
        <v>498</v>
      </c>
      <c r="D2" s="6" t="s">
        <v>499</v>
      </c>
      <c r="E2" s="6" t="s">
        <v>500</v>
      </c>
      <c r="F2" s="6" t="s">
        <v>501</v>
      </c>
      <c r="G2" s="8" t="s">
        <v>502</v>
      </c>
    </row>
    <row r="3" spans="1:7">
      <c r="A3" s="40" t="s">
        <v>464</v>
      </c>
      <c r="B3" s="15"/>
      <c r="C3" s="15"/>
      <c r="D3" s="15"/>
      <c r="E3" s="15"/>
      <c r="F3" s="15"/>
      <c r="G3" s="24"/>
    </row>
    <row r="4" spans="1:7">
      <c r="A4" s="9" t="s">
        <v>465</v>
      </c>
      <c r="B4" s="15">
        <v>0</v>
      </c>
      <c r="C4" s="15">
        <v>0</v>
      </c>
      <c r="D4" s="15">
        <v>0</v>
      </c>
      <c r="E4" s="15">
        <v>0</v>
      </c>
      <c r="F4" s="15">
        <v>0</v>
      </c>
      <c r="G4" s="24">
        <v>0</v>
      </c>
    </row>
    <row r="5" spans="1:7">
      <c r="A5" s="9" t="s">
        <v>466</v>
      </c>
      <c r="B5" s="15">
        <v>0</v>
      </c>
      <c r="C5" s="15">
        <v>0</v>
      </c>
      <c r="D5" s="15">
        <v>0</v>
      </c>
      <c r="E5" s="15">
        <v>0</v>
      </c>
      <c r="F5" s="15">
        <v>0</v>
      </c>
      <c r="G5" s="24">
        <v>0</v>
      </c>
    </row>
    <row r="6" spans="1:7">
      <c r="A6" s="9" t="s">
        <v>467</v>
      </c>
      <c r="B6" s="15">
        <v>0</v>
      </c>
      <c r="C6" s="15">
        <v>0</v>
      </c>
      <c r="D6" s="15">
        <v>0</v>
      </c>
      <c r="E6" s="15">
        <v>0</v>
      </c>
      <c r="F6" s="15">
        <v>0</v>
      </c>
      <c r="G6" s="24">
        <v>0</v>
      </c>
    </row>
    <row r="7" spans="1:7" ht="30">
      <c r="A7" s="40" t="s">
        <v>468</v>
      </c>
      <c r="B7" s="15"/>
      <c r="C7" s="20" t="s">
        <v>476</v>
      </c>
      <c r="D7" s="20" t="s">
        <v>476</v>
      </c>
      <c r="E7" s="20" t="s">
        <v>476</v>
      </c>
      <c r="F7" s="20" t="s">
        <v>476</v>
      </c>
      <c r="G7" s="26" t="s">
        <v>476</v>
      </c>
    </row>
    <row r="8" spans="1:7">
      <c r="A8" s="9" t="s">
        <v>374</v>
      </c>
      <c r="B8" s="15">
        <v>0</v>
      </c>
      <c r="C8" s="20" t="s">
        <v>476</v>
      </c>
      <c r="D8" s="20" t="s">
        <v>476</v>
      </c>
      <c r="E8" s="20" t="s">
        <v>476</v>
      </c>
      <c r="F8" s="20" t="s">
        <v>476</v>
      </c>
      <c r="G8" s="26" t="s">
        <v>476</v>
      </c>
    </row>
    <row r="9" spans="1:7">
      <c r="A9" s="9" t="s">
        <v>375</v>
      </c>
      <c r="B9" s="15">
        <v>0</v>
      </c>
      <c r="C9" s="20" t="s">
        <v>476</v>
      </c>
      <c r="D9" s="20" t="s">
        <v>476</v>
      </c>
      <c r="E9" s="20" t="s">
        <v>476</v>
      </c>
      <c r="F9" s="20" t="s">
        <v>476</v>
      </c>
      <c r="G9" s="26" t="s">
        <v>476</v>
      </c>
    </row>
    <row r="10" spans="1:7">
      <c r="A10" s="9" t="s">
        <v>385</v>
      </c>
      <c r="B10" s="15">
        <v>0</v>
      </c>
      <c r="C10" s="20" t="s">
        <v>476</v>
      </c>
      <c r="D10" s="20" t="s">
        <v>476</v>
      </c>
      <c r="E10" s="20" t="s">
        <v>476</v>
      </c>
      <c r="F10" s="20" t="s">
        <v>476</v>
      </c>
      <c r="G10" s="26" t="s">
        <v>476</v>
      </c>
    </row>
    <row r="11" spans="1:7">
      <c r="A11" s="40" t="s">
        <v>469</v>
      </c>
      <c r="B11" s="15"/>
      <c r="C11" s="20" t="s">
        <v>476</v>
      </c>
      <c r="D11" s="20" t="s">
        <v>476</v>
      </c>
      <c r="E11" s="20" t="s">
        <v>476</v>
      </c>
      <c r="F11" s="20" t="s">
        <v>476</v>
      </c>
      <c r="G11" s="26" t="s">
        <v>476</v>
      </c>
    </row>
    <row r="12" spans="1:7">
      <c r="A12" s="9" t="s">
        <v>374</v>
      </c>
      <c r="B12" s="15">
        <v>0</v>
      </c>
      <c r="C12" s="20" t="s">
        <v>476</v>
      </c>
      <c r="D12" s="20" t="s">
        <v>476</v>
      </c>
      <c r="E12" s="20" t="s">
        <v>476</v>
      </c>
      <c r="F12" s="20" t="s">
        <v>476</v>
      </c>
      <c r="G12" s="26" t="s">
        <v>476</v>
      </c>
    </row>
    <row r="13" spans="1:7">
      <c r="A13" s="9" t="s">
        <v>375</v>
      </c>
      <c r="B13" s="15">
        <v>0</v>
      </c>
      <c r="C13" s="20" t="s">
        <v>476</v>
      </c>
      <c r="D13" s="20" t="s">
        <v>476</v>
      </c>
      <c r="E13" s="20" t="s">
        <v>476</v>
      </c>
      <c r="F13" s="20" t="s">
        <v>476</v>
      </c>
      <c r="G13" s="26" t="s">
        <v>476</v>
      </c>
    </row>
    <row r="14" spans="1:7">
      <c r="A14" s="9" t="s">
        <v>385</v>
      </c>
      <c r="B14" s="15">
        <v>0</v>
      </c>
      <c r="C14" s="20" t="s">
        <v>476</v>
      </c>
      <c r="D14" s="20" t="s">
        <v>476</v>
      </c>
      <c r="E14" s="20" t="s">
        <v>476</v>
      </c>
      <c r="F14" s="20" t="s">
        <v>476</v>
      </c>
      <c r="G14" s="26" t="s">
        <v>476</v>
      </c>
    </row>
    <row r="15" spans="1:7" ht="30">
      <c r="A15" s="40" t="s">
        <v>470</v>
      </c>
      <c r="B15" s="15"/>
      <c r="C15" s="20" t="s">
        <v>476</v>
      </c>
      <c r="D15" s="20" t="s">
        <v>476</v>
      </c>
      <c r="E15" s="20" t="s">
        <v>476</v>
      </c>
      <c r="F15" s="20" t="s">
        <v>476</v>
      </c>
      <c r="G15" s="26" t="s">
        <v>476</v>
      </c>
    </row>
    <row r="16" spans="1:7">
      <c r="A16" s="9" t="s">
        <v>471</v>
      </c>
      <c r="B16" s="15">
        <v>0</v>
      </c>
      <c r="C16" s="20" t="s">
        <v>476</v>
      </c>
      <c r="D16" s="20" t="s">
        <v>476</v>
      </c>
      <c r="E16" s="20" t="s">
        <v>476</v>
      </c>
      <c r="F16" s="20" t="s">
        <v>476</v>
      </c>
      <c r="G16" s="26" t="s">
        <v>476</v>
      </c>
    </row>
    <row r="17" spans="1:7">
      <c r="A17" s="9" t="s">
        <v>472</v>
      </c>
      <c r="B17" s="15">
        <v>0</v>
      </c>
      <c r="C17" s="20" t="s">
        <v>476</v>
      </c>
      <c r="D17" s="20" t="s">
        <v>476</v>
      </c>
      <c r="E17" s="20" t="s">
        <v>476</v>
      </c>
      <c r="F17" s="20" t="s">
        <v>476</v>
      </c>
      <c r="G17" s="26" t="s">
        <v>476</v>
      </c>
    </row>
    <row r="18" spans="1:7">
      <c r="A18" s="9" t="s">
        <v>473</v>
      </c>
      <c r="B18" s="15">
        <v>0</v>
      </c>
      <c r="C18" s="20" t="s">
        <v>476</v>
      </c>
      <c r="D18" s="20" t="s">
        <v>476</v>
      </c>
      <c r="E18" s="20" t="s">
        <v>476</v>
      </c>
      <c r="F18" s="20" t="s">
        <v>476</v>
      </c>
      <c r="G18" s="26" t="s">
        <v>476</v>
      </c>
    </row>
    <row r="19" spans="1:7">
      <c r="A19" s="9" t="s">
        <v>474</v>
      </c>
      <c r="B19" s="15">
        <v>0</v>
      </c>
      <c r="C19" s="20" t="s">
        <v>476</v>
      </c>
      <c r="D19" s="20" t="s">
        <v>476</v>
      </c>
      <c r="E19" s="20" t="s">
        <v>476</v>
      </c>
      <c r="F19" s="20" t="s">
        <v>476</v>
      </c>
      <c r="G19" s="26" t="s">
        <v>476</v>
      </c>
    </row>
    <row r="20" spans="1:7">
      <c r="A20" s="9" t="s">
        <v>475</v>
      </c>
      <c r="B20" s="15">
        <v>0</v>
      </c>
      <c r="C20" s="20" t="s">
        <v>476</v>
      </c>
      <c r="D20" s="20" t="s">
        <v>476</v>
      </c>
      <c r="E20" s="20" t="s">
        <v>476</v>
      </c>
      <c r="F20" s="20" t="s">
        <v>476</v>
      </c>
      <c r="G20" s="26" t="s">
        <v>476</v>
      </c>
    </row>
    <row r="21" spans="1:7">
      <c r="A21" s="11" t="s">
        <v>238</v>
      </c>
      <c r="B21" s="16">
        <v>0</v>
      </c>
      <c r="C21" s="28" t="s">
        <v>476</v>
      </c>
      <c r="D21" s="28" t="s">
        <v>476</v>
      </c>
      <c r="E21" s="28" t="s">
        <v>476</v>
      </c>
      <c r="F21" s="28" t="s">
        <v>476</v>
      </c>
      <c r="G21" s="29" t="s">
        <v>476</v>
      </c>
    </row>
    <row r="22" spans="1:7" ht="30" customHeight="1">
      <c r="A22" t="s">
        <v>477</v>
      </c>
    </row>
    <row r="23" spans="1:7">
      <c r="A23" t="s">
        <v>94</v>
      </c>
    </row>
    <row r="24" spans="1:7">
      <c r="A24" t="s">
        <v>479</v>
      </c>
    </row>
    <row r="25" spans="1:7">
      <c r="A25" t="s">
        <v>480</v>
      </c>
    </row>
    <row r="26" spans="1:7">
      <c r="A26" t="s">
        <v>481</v>
      </c>
    </row>
    <row r="27" spans="1:7">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5C825E154BF6418B2AF6233B31B98A" ma:contentTypeVersion="8" ma:contentTypeDescription="Create a new document." ma:contentTypeScope="" ma:versionID="dd0b1907b40496270bc72d7357db019e">
  <xsd:schema xmlns:xsd="http://www.w3.org/2001/XMLSchema" xmlns:xs="http://www.w3.org/2001/XMLSchema" xmlns:p="http://schemas.microsoft.com/office/2006/metadata/properties" xmlns:ns2="40b48965-5b74-4088-b430-b5b4d24607f5" xmlns:ns3="fc59b0ed-4470-448c-82fe-ce7472394354" targetNamespace="http://schemas.microsoft.com/office/2006/metadata/properties" ma:root="true" ma:fieldsID="2bc1bfe2217d08cc824ae521adfe65de" ns2:_="" ns3:_="">
    <xsd:import namespace="40b48965-5b74-4088-b430-b5b4d24607f5"/>
    <xsd:import namespace="fc59b0ed-4470-448c-82fe-ce7472394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48965-5b74-4088-b430-b5b4d2460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59b0ed-4470-448c-82fe-ce747239435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b6a5190f-ebbd-42e3-bc8b-869af9a80cc9"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0318E4-FCA0-4F59-B1AC-8ADCF3A115C7}"/>
</file>

<file path=customXml/itemProps2.xml><?xml version="1.0" encoding="utf-8"?>
<ds:datastoreItem xmlns:ds="http://schemas.openxmlformats.org/officeDocument/2006/customXml" ds:itemID="{0029C212-8BFC-4BB5-9FE4-2C6838017F94}"/>
</file>

<file path=customXml/itemProps3.xml><?xml version="1.0" encoding="utf-8"?>
<ds:datastoreItem xmlns:ds="http://schemas.openxmlformats.org/officeDocument/2006/customXml" ds:itemID="{6E6C2153-89B4-4B3E-A445-903E1765B8F6}"/>
</file>

<file path=customXml/itemProps4.xml><?xml version="1.0" encoding="utf-8"?>
<ds:datastoreItem xmlns:ds="http://schemas.openxmlformats.org/officeDocument/2006/customXml" ds:itemID="{24DEE72B-7BCC-4536-83FE-740921B386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Contents</vt:lpstr>
      <vt:lpstr>Technical Information</vt:lpstr>
      <vt:lpstr>Sample</vt:lpstr>
      <vt:lpstr>Table 1</vt:lpstr>
      <vt:lpstr>Table 2</vt:lpstr>
      <vt:lpstr>Table 3</vt:lpstr>
      <vt:lpstr>Table 4</vt:lpstr>
      <vt:lpstr>Table 5</vt:lpstr>
      <vt:lpstr>Table 6</vt:lpstr>
      <vt:lpstr>Table 7a</vt:lpstr>
      <vt:lpstr>Table 7b</vt:lpstr>
      <vt:lpstr>Table 7c</vt:lpstr>
      <vt:lpstr>Table 8a</vt:lpstr>
      <vt:lpstr>Table 8b</vt:lpstr>
      <vt:lpstr>Table 8c</vt:lpstr>
      <vt:lpstr>Table 9a</vt:lpstr>
      <vt:lpstr>Table 9b</vt:lpstr>
      <vt:lpstr>Table 9c</vt:lpstr>
      <vt:lpstr>Table 10a</vt:lpstr>
      <vt:lpstr>Table 10b</vt:lpstr>
      <vt:lpstr>Table 10c</vt:lpstr>
      <vt:lpstr>Table 11a</vt:lpstr>
      <vt:lpstr>Table 11b</vt:lpstr>
      <vt:lpstr>Table 11c</vt:lpstr>
      <vt:lpstr>Table 12a</vt:lpstr>
      <vt:lpstr>Table 12b</vt:lpstr>
      <vt:lpstr>Table 12c</vt:lpstr>
      <vt:lpstr>Table 13a</vt:lpstr>
      <vt:lpstr>Table 13b</vt:lpstr>
      <vt:lpstr>Table 13c</vt:lpstr>
      <vt:lpstr>Table 14a</vt:lpstr>
      <vt:lpstr>Table 14b</vt:lpstr>
      <vt:lpstr>Table 15a</vt:lpstr>
      <vt:lpstr>Table 15b</vt:lpstr>
      <vt:lpstr>Table 16a</vt:lpstr>
      <vt:lpstr>Table 16b</vt:lpstr>
      <vt:lpstr>Table P1</vt:lpstr>
      <vt:lpstr>Table P2</vt:lpstr>
      <vt:lpstr>Table P3</vt:lpstr>
      <vt:lpstr>Table P4</vt:lpstr>
      <vt:lpstr>Table P5</vt:lpstr>
      <vt:lpstr>Table P6</vt:lpstr>
      <vt:lpstr>Table P7</vt:lpstr>
      <vt:lpstr>Table P8</vt:lpstr>
      <vt:lpstr>Table P9</vt:lpstr>
      <vt:lpstr>Table S1</vt:lpstr>
      <vt:lpstr>Table S2</vt:lpstr>
      <vt:lpstr>Table S3</vt:lpstr>
      <vt:lpstr>Table S4</vt:lpstr>
      <vt:lpstr>Table S5</vt:lpstr>
      <vt:lpstr>Table S6</vt:lpstr>
      <vt:lpstr>Table S7</vt:lpstr>
      <vt:lpstr>Table S8</vt:lpstr>
      <vt:lpstr>Table S9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HRandall</dc:creator>
  <cp:lastModifiedBy>Hayley Randall</cp:lastModifiedBy>
  <dcterms:created xsi:type="dcterms:W3CDTF">2022-11-18T14:57:40Z</dcterms:created>
  <dcterms:modified xsi:type="dcterms:W3CDTF">2022-11-18T14:58:05Z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0x010100755C825E154BF6418B2AF6233B31B98A</vt:lpwstr>
  </property>
</Properties>
</file>